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2260" windowHeight="12645" tabRatio="749" firstSheet="1" activeTab="2"/>
  </bookViews>
  <sheets>
    <sheet name="Extended Profile (EP)" sheetId="4" r:id="rId1"/>
    <sheet name="Response Score Calc." sheetId="7" r:id="rId2"/>
    <sheet name="Autonomous 107m" sheetId="1" r:id="rId3"/>
    <sheet name="107(Qn&amp;Ql)m-GS" sheetId="16" r:id="rId4"/>
    <sheet name="55m-Gradesheet(GS)" sheetId="5" state="hidden" r:id="rId5"/>
    <sheet name="Qn (72m)" sheetId="13" r:id="rId6"/>
    <sheet name="72 Qnm-GS" sheetId="10" r:id="rId7"/>
    <sheet name="Ql (35m)" sheetId="9" r:id="rId8"/>
    <sheet name="35 Qlm-GS (2)" sheetId="15" r:id="rId9"/>
    <sheet name="21m-GS" sheetId="11" state="hidden" r:id="rId10"/>
  </sheets>
  <definedNames>
    <definedName name="_xlnm._FilterDatabase" localSheetId="2" hidden="1">'Autonomous 107m'!$A$2:$R$110</definedName>
    <definedName name="_xlnm._FilterDatabase" localSheetId="7" hidden="1">'Ql (35m)'!$A$2:$P$23</definedName>
    <definedName name="_xlnm._FilterDatabase" localSheetId="5" hidden="1">'Qn (72m)'!$A$2:$V$73</definedName>
    <definedName name="_xlnm._FilterDatabase" localSheetId="1" hidden="1">'Response Score Calc.'!$A$2:$G$36</definedName>
    <definedName name="_xlnm.Print_Titles" localSheetId="3">'107(Qn&amp;Ql)m-GS'!$23:$23</definedName>
    <definedName name="_xlnm.Print_Titles" localSheetId="9">'21m-GS'!$20:$20</definedName>
    <definedName name="_xlnm.Print_Titles" localSheetId="8">'35 Qlm-GS (2)'!$24:$24</definedName>
    <definedName name="_xlnm.Print_Titles" localSheetId="4">'55m-Gradesheet(GS)'!$16:$16</definedName>
    <definedName name="_xlnm.Print_Titles" localSheetId="6">'72 Qnm-GS'!$23:$23</definedName>
  </definedNames>
  <calcPr calcId="162913"/>
  <pivotCaches>
    <pivotCache cacheId="12" r:id="rId11"/>
    <pivotCache cacheId="13" r:id="rId12"/>
    <pivotCache cacheId="14" r:id="rId13"/>
    <pivotCache cacheId="15" r:id="rId14"/>
    <pivotCache cacheId="16" r:id="rId15"/>
    <pivotCache cacheId="17" r:id="rId16"/>
    <pivotCache cacheId="18" r:id="rId17"/>
    <pivotCache cacheId="19" r:id="rId1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6" i="10" l="1"/>
  <c r="D69" i="15"/>
  <c r="D46" i="15"/>
  <c r="D53" i="15"/>
  <c r="D52" i="15"/>
  <c r="C53" i="15"/>
  <c r="D39" i="15"/>
  <c r="D33" i="15"/>
  <c r="D12" i="15"/>
  <c r="D11" i="15"/>
  <c r="D10" i="15"/>
  <c r="D9" i="15"/>
  <c r="D8" i="15"/>
  <c r="D7" i="15"/>
  <c r="K23" i="9" l="1"/>
  <c r="K24" i="9"/>
  <c r="L24" i="9" s="1"/>
  <c r="K25" i="9"/>
  <c r="K26" i="9"/>
  <c r="L26" i="9" s="1"/>
  <c r="M26" i="9" s="1"/>
  <c r="N26" i="9" s="1"/>
  <c r="K27" i="9"/>
  <c r="L27" i="9" s="1"/>
  <c r="K28" i="9"/>
  <c r="L28" i="9" s="1"/>
  <c r="K29" i="9"/>
  <c r="L29" i="9" s="1"/>
  <c r="K30" i="9"/>
  <c r="L30" i="9" s="1"/>
  <c r="K31" i="9"/>
  <c r="L31" i="9" s="1"/>
  <c r="K32" i="9"/>
  <c r="L32" i="9" s="1"/>
  <c r="K33" i="9"/>
  <c r="L33" i="9" s="1"/>
  <c r="K34" i="9"/>
  <c r="L34" i="9" s="1"/>
  <c r="K35" i="9"/>
  <c r="L35" i="9" s="1"/>
  <c r="K36" i="9"/>
  <c r="L36" i="9" s="1"/>
  <c r="M36" i="9" s="1"/>
  <c r="N36" i="9" s="1"/>
  <c r="K37" i="9"/>
  <c r="L37" i="9"/>
  <c r="M37" i="9" s="1"/>
  <c r="N37" i="9" s="1"/>
  <c r="L25" i="9"/>
  <c r="M24" i="9" l="1"/>
  <c r="N24" i="9" s="1"/>
  <c r="M29" i="9"/>
  <c r="N29" i="9" s="1"/>
  <c r="M31" i="9"/>
  <c r="N31" i="9" s="1"/>
  <c r="O31" i="9" s="1"/>
  <c r="P31" i="9" s="1"/>
  <c r="M27" i="9"/>
  <c r="N27" i="9" s="1"/>
  <c r="D73" i="10"/>
  <c r="D69" i="10"/>
  <c r="D68" i="10"/>
  <c r="D67" i="10"/>
  <c r="D66" i="10"/>
  <c r="D62" i="10"/>
  <c r="D61" i="10"/>
  <c r="D60" i="10"/>
  <c r="D59" i="10"/>
  <c r="D55" i="10"/>
  <c r="D54" i="10"/>
  <c r="D53" i="10"/>
  <c r="D52" i="10"/>
  <c r="D48" i="10"/>
  <c r="D47" i="10"/>
  <c r="D46" i="10"/>
  <c r="D45" i="10"/>
  <c r="D44" i="10"/>
  <c r="D43" i="10"/>
  <c r="D42" i="10"/>
  <c r="D38" i="10"/>
  <c r="D37" i="10"/>
  <c r="D36" i="10"/>
  <c r="D35" i="10"/>
  <c r="D34" i="10"/>
  <c r="D33" i="10"/>
  <c r="D32" i="10"/>
  <c r="D28" i="10"/>
  <c r="D27" i="10"/>
  <c r="D26" i="10"/>
  <c r="D25" i="10"/>
  <c r="C29" i="10"/>
  <c r="O69" i="13"/>
  <c r="P69" i="13" s="1"/>
  <c r="N69" i="13"/>
  <c r="N68" i="13"/>
  <c r="N67" i="13"/>
  <c r="N64" i="13"/>
  <c r="O63" i="13"/>
  <c r="P63" i="13" s="1"/>
  <c r="N63" i="13"/>
  <c r="N62" i="13"/>
  <c r="N60" i="13"/>
  <c r="N57" i="13"/>
  <c r="O52" i="13"/>
  <c r="P52" i="13" s="1"/>
  <c r="N52" i="13"/>
  <c r="N51" i="13"/>
  <c r="N48" i="13"/>
  <c r="N45" i="13"/>
  <c r="O43" i="13"/>
  <c r="P43" i="13" s="1"/>
  <c r="N43" i="13"/>
  <c r="N41" i="13"/>
  <c r="N38" i="13"/>
  <c r="N36" i="13"/>
  <c r="N30" i="13"/>
  <c r="N29" i="13"/>
  <c r="N25" i="13"/>
  <c r="O23" i="13"/>
  <c r="P23" i="13" s="1"/>
  <c r="N23" i="13"/>
  <c r="N22" i="13"/>
  <c r="N21" i="13"/>
  <c r="N19" i="13"/>
  <c r="N16" i="13"/>
  <c r="N15" i="13"/>
  <c r="N14" i="13"/>
  <c r="O12" i="13"/>
  <c r="P12" i="13" s="1"/>
  <c r="N12" i="13"/>
  <c r="N10" i="13"/>
  <c r="N7" i="13"/>
  <c r="N5" i="13"/>
  <c r="O3" i="13"/>
  <c r="P3" i="13" s="1"/>
  <c r="N3" i="13"/>
  <c r="K106" i="1"/>
  <c r="K103" i="1"/>
  <c r="K102" i="1"/>
  <c r="K101" i="1"/>
  <c r="K100" i="1"/>
  <c r="K98" i="1"/>
  <c r="K96" i="1"/>
  <c r="K86" i="1"/>
  <c r="K81" i="1"/>
  <c r="K73" i="1"/>
  <c r="K71" i="1"/>
  <c r="K66" i="1"/>
  <c r="K60" i="1"/>
  <c r="K41" i="1"/>
  <c r="K13" i="1"/>
  <c r="D7" i="10" l="1"/>
  <c r="D9" i="10"/>
  <c r="D8" i="10"/>
  <c r="D12" i="10"/>
  <c r="D6" i="10"/>
  <c r="D10" i="10"/>
  <c r="D11" i="10"/>
  <c r="J4" i="13"/>
  <c r="K4" i="13" s="1"/>
  <c r="J5" i="13"/>
  <c r="K5" i="13" s="1"/>
  <c r="J6" i="13"/>
  <c r="K6" i="13" s="1"/>
  <c r="J7" i="13"/>
  <c r="K7" i="13" s="1"/>
  <c r="J8" i="13"/>
  <c r="K8" i="13" s="1"/>
  <c r="J9" i="13"/>
  <c r="K9" i="13" s="1"/>
  <c r="J10" i="13"/>
  <c r="K10" i="13" s="1"/>
  <c r="J11" i="13"/>
  <c r="K11" i="13" s="1"/>
  <c r="J12" i="13"/>
  <c r="K12" i="13" s="1"/>
  <c r="J13" i="13"/>
  <c r="K13" i="13" s="1"/>
  <c r="J14" i="13"/>
  <c r="K14" i="13" s="1"/>
  <c r="J15" i="13"/>
  <c r="K15" i="13" s="1"/>
  <c r="J16" i="13"/>
  <c r="K16" i="13" s="1"/>
  <c r="J17" i="13"/>
  <c r="K17" i="13" s="1"/>
  <c r="J18" i="13"/>
  <c r="K18" i="13" s="1"/>
  <c r="J19" i="13"/>
  <c r="K19" i="13" s="1"/>
  <c r="J20" i="13"/>
  <c r="K20" i="13" s="1"/>
  <c r="J21" i="13"/>
  <c r="K21" i="13" s="1"/>
  <c r="J22" i="13"/>
  <c r="K22" i="13" s="1"/>
  <c r="J23" i="13"/>
  <c r="K23" i="13" s="1"/>
  <c r="J24" i="13"/>
  <c r="K24" i="13" s="1"/>
  <c r="J25" i="13"/>
  <c r="K25" i="13" s="1"/>
  <c r="J26" i="13"/>
  <c r="K26" i="13" s="1"/>
  <c r="J27" i="13"/>
  <c r="K27" i="13" s="1"/>
  <c r="J28" i="13"/>
  <c r="K28" i="13" s="1"/>
  <c r="J29" i="13"/>
  <c r="K29" i="13" s="1"/>
  <c r="J30" i="13"/>
  <c r="K30" i="13" s="1"/>
  <c r="J31" i="13"/>
  <c r="K31" i="13" s="1"/>
  <c r="J32" i="13"/>
  <c r="K32" i="13" s="1"/>
  <c r="J33" i="13"/>
  <c r="K33" i="13" s="1"/>
  <c r="J34" i="13"/>
  <c r="K34" i="13" s="1"/>
  <c r="J35" i="13"/>
  <c r="K35" i="13" s="1"/>
  <c r="J36" i="13"/>
  <c r="K36" i="13" s="1"/>
  <c r="J37" i="13"/>
  <c r="K37" i="13" s="1"/>
  <c r="J38" i="13"/>
  <c r="K38" i="13" s="1"/>
  <c r="J39" i="13"/>
  <c r="K39" i="13" s="1"/>
  <c r="J40" i="13"/>
  <c r="K40" i="13" s="1"/>
  <c r="J41" i="13"/>
  <c r="K41" i="13" s="1"/>
  <c r="J42" i="13"/>
  <c r="K42" i="13" s="1"/>
  <c r="J43" i="13"/>
  <c r="K43" i="13" s="1"/>
  <c r="J44" i="13"/>
  <c r="K44" i="13" s="1"/>
  <c r="J45" i="13"/>
  <c r="K45" i="13" s="1"/>
  <c r="J46" i="13"/>
  <c r="K46" i="13" s="1"/>
  <c r="J47" i="13"/>
  <c r="K47" i="13" s="1"/>
  <c r="J48" i="13"/>
  <c r="K48" i="13" s="1"/>
  <c r="J49" i="13"/>
  <c r="K49" i="13" s="1"/>
  <c r="J50" i="13"/>
  <c r="K50" i="13" s="1"/>
  <c r="J51" i="13"/>
  <c r="K51" i="13" s="1"/>
  <c r="J52" i="13"/>
  <c r="K52" i="13" s="1"/>
  <c r="J53" i="13"/>
  <c r="K53" i="13" s="1"/>
  <c r="J54" i="13"/>
  <c r="K54" i="13" s="1"/>
  <c r="J55" i="13"/>
  <c r="K55" i="13" s="1"/>
  <c r="J56" i="13"/>
  <c r="K56" i="13" s="1"/>
  <c r="J57" i="13"/>
  <c r="K57" i="13" s="1"/>
  <c r="J58" i="13"/>
  <c r="K58" i="13" s="1"/>
  <c r="J59" i="13"/>
  <c r="K59" i="13" s="1"/>
  <c r="J60" i="13"/>
  <c r="K60" i="13" s="1"/>
  <c r="J61" i="13"/>
  <c r="K61" i="13" s="1"/>
  <c r="J62" i="13"/>
  <c r="K62" i="13" s="1"/>
  <c r="J63" i="13"/>
  <c r="K63" i="13" s="1"/>
  <c r="J64" i="13"/>
  <c r="K64" i="13" s="1"/>
  <c r="J65" i="13"/>
  <c r="K65" i="13" s="1"/>
  <c r="J66" i="13"/>
  <c r="K66" i="13" s="1"/>
  <c r="J67" i="13"/>
  <c r="K67" i="13" s="1"/>
  <c r="J68" i="13"/>
  <c r="K68" i="13" s="1"/>
  <c r="J69" i="13"/>
  <c r="K69" i="13" s="1"/>
  <c r="J70" i="13"/>
  <c r="K70" i="13" s="1"/>
  <c r="J71" i="13"/>
  <c r="K71" i="13" s="1"/>
  <c r="J72" i="13"/>
  <c r="K72" i="13" s="1"/>
  <c r="J73" i="13"/>
  <c r="K73" i="13" s="1"/>
  <c r="J74" i="13"/>
  <c r="K74" i="13" s="1"/>
  <c r="J3" i="13"/>
  <c r="L8" i="1" l="1"/>
  <c r="L16" i="1"/>
  <c r="L18" i="1"/>
  <c r="L19" i="1"/>
  <c r="L21" i="1"/>
  <c r="L27" i="1"/>
  <c r="L28" i="1"/>
  <c r="L29" i="1"/>
  <c r="L32" i="1"/>
  <c r="L39" i="1"/>
  <c r="L49" i="1"/>
  <c r="L55" i="1"/>
  <c r="L56" i="1"/>
  <c r="L59" i="1"/>
  <c r="L63" i="1"/>
  <c r="L68" i="1"/>
  <c r="L78" i="1"/>
  <c r="L80" i="1"/>
  <c r="L82" i="1"/>
  <c r="L83" i="1"/>
  <c r="L84" i="1"/>
  <c r="L85" i="1"/>
  <c r="L87" i="1"/>
  <c r="L91" i="1"/>
  <c r="L93" i="1"/>
  <c r="L94" i="1"/>
  <c r="L95" i="1"/>
  <c r="L97" i="1"/>
  <c r="L99" i="1"/>
  <c r="L104" i="1"/>
  <c r="L105" i="1"/>
  <c r="L107" i="1"/>
  <c r="L108" i="1"/>
  <c r="L109" i="1"/>
  <c r="K65" i="1"/>
  <c r="L65" i="1" s="1"/>
  <c r="L106" i="1"/>
  <c r="L103" i="1"/>
  <c r="L101" i="1"/>
  <c r="L98" i="1"/>
  <c r="L96" i="1"/>
  <c r="L86" i="1"/>
  <c r="L73" i="1"/>
  <c r="L71" i="1"/>
  <c r="L66" i="1"/>
  <c r="L41" i="1"/>
  <c r="L13" i="1"/>
  <c r="K50" i="1" l="1"/>
  <c r="L50" i="1" s="1"/>
  <c r="K75" i="1"/>
  <c r="L75" i="1" s="1"/>
  <c r="K74" i="1"/>
  <c r="L74" i="1" s="1"/>
  <c r="K72" i="1"/>
  <c r="L72" i="1" s="1"/>
  <c r="K70" i="1"/>
  <c r="L70" i="1" s="1"/>
  <c r="K69" i="1"/>
  <c r="L69" i="1" s="1"/>
  <c r="K64" i="1"/>
  <c r="L64" i="1" s="1"/>
  <c r="K57" i="1"/>
  <c r="L57" i="1" s="1"/>
  <c r="K51" i="1"/>
  <c r="L51" i="1" s="1"/>
  <c r="K46" i="1"/>
  <c r="L46" i="1" s="1"/>
  <c r="K31" i="1"/>
  <c r="L31" i="1" s="1"/>
  <c r="K12" i="1"/>
  <c r="L12" i="1" s="1"/>
  <c r="K11" i="1"/>
  <c r="L11" i="1" s="1"/>
  <c r="M109" i="1" l="1"/>
  <c r="M108" i="1"/>
  <c r="M82" i="1"/>
  <c r="D67" i="16" s="1"/>
  <c r="N108" i="1" l="1"/>
  <c r="D76" i="16"/>
  <c r="N109" i="1"/>
  <c r="D77" i="16"/>
  <c r="L102" i="1"/>
  <c r="L100" i="1"/>
  <c r="K92" i="1"/>
  <c r="L92" i="1" s="1"/>
  <c r="K90" i="1"/>
  <c r="L90" i="1" s="1"/>
  <c r="K89" i="1"/>
  <c r="L89" i="1" s="1"/>
  <c r="K88" i="1"/>
  <c r="L88" i="1" s="1"/>
  <c r="L81" i="1"/>
  <c r="K79" i="1"/>
  <c r="L79" i="1" s="1"/>
  <c r="K77" i="1"/>
  <c r="L77" i="1" s="1"/>
  <c r="K76" i="1"/>
  <c r="L76" i="1" s="1"/>
  <c r="K67" i="1"/>
  <c r="L67" i="1" s="1"/>
  <c r="K62" i="1"/>
  <c r="L62" i="1" s="1"/>
  <c r="K61" i="1"/>
  <c r="L61" i="1" s="1"/>
  <c r="L60" i="1"/>
  <c r="K58" i="1"/>
  <c r="L58" i="1" s="1"/>
  <c r="K54" i="1"/>
  <c r="L54" i="1" s="1"/>
  <c r="K53" i="1"/>
  <c r="L53" i="1" s="1"/>
  <c r="K52" i="1"/>
  <c r="L52" i="1" s="1"/>
  <c r="K48" i="1"/>
  <c r="L48" i="1" s="1"/>
  <c r="K47" i="1"/>
  <c r="L47" i="1" s="1"/>
  <c r="K45" i="1"/>
  <c r="L45" i="1" s="1"/>
  <c r="K44" i="1"/>
  <c r="L44" i="1" s="1"/>
  <c r="K43" i="1"/>
  <c r="L43" i="1" s="1"/>
  <c r="K42" i="1"/>
  <c r="L42" i="1" s="1"/>
  <c r="K40" i="1"/>
  <c r="L40" i="1" s="1"/>
  <c r="K38" i="1"/>
  <c r="L38" i="1" s="1"/>
  <c r="K37" i="1"/>
  <c r="L37" i="1" s="1"/>
  <c r="K36" i="1"/>
  <c r="L36" i="1" s="1"/>
  <c r="K35" i="1"/>
  <c r="L35" i="1" s="1"/>
  <c r="K34" i="1"/>
  <c r="L34" i="1" s="1"/>
  <c r="K33" i="1"/>
  <c r="L33" i="1" s="1"/>
  <c r="M31" i="1"/>
  <c r="K30" i="1"/>
  <c r="L30" i="1" s="1"/>
  <c r="K26" i="1"/>
  <c r="L26" i="1" s="1"/>
  <c r="K25" i="1"/>
  <c r="L25" i="1" s="1"/>
  <c r="K24" i="1"/>
  <c r="L24" i="1" s="1"/>
  <c r="K23" i="1"/>
  <c r="L23" i="1" s="1"/>
  <c r="K22" i="1"/>
  <c r="L22" i="1" s="1"/>
  <c r="K20" i="1"/>
  <c r="L20" i="1" s="1"/>
  <c r="K17" i="1"/>
  <c r="L17" i="1" s="1"/>
  <c r="K15" i="1"/>
  <c r="L15" i="1" s="1"/>
  <c r="K14" i="1"/>
  <c r="L14" i="1" s="1"/>
  <c r="K10" i="1"/>
  <c r="L10" i="1" s="1"/>
  <c r="K9" i="1"/>
  <c r="L9" i="1" s="1"/>
  <c r="K7" i="1"/>
  <c r="L7" i="1" s="1"/>
  <c r="K6" i="1"/>
  <c r="L6" i="1" s="1"/>
  <c r="K5" i="1"/>
  <c r="L5" i="1" s="1"/>
  <c r="N31" i="1" l="1"/>
  <c r="D39" i="16"/>
  <c r="M53" i="1"/>
  <c r="M91" i="1"/>
  <c r="M94" i="1"/>
  <c r="M84" i="1"/>
  <c r="D68" i="16" s="1"/>
  <c r="M67" i="1"/>
  <c r="M80" i="1"/>
  <c r="M6" i="1"/>
  <c r="M14" i="1"/>
  <c r="M22" i="1"/>
  <c r="M47" i="1"/>
  <c r="M63" i="1"/>
  <c r="M77" i="1"/>
  <c r="M87" i="1"/>
  <c r="M59" i="1"/>
  <c r="M69" i="1"/>
  <c r="D60" i="16" s="1"/>
  <c r="M97" i="1"/>
  <c r="D75" i="16" s="1"/>
  <c r="M41" i="1"/>
  <c r="M35" i="1"/>
  <c r="M74" i="1"/>
  <c r="M12" i="1"/>
  <c r="E60" i="11"/>
  <c r="C59" i="11"/>
  <c r="E54" i="11"/>
  <c r="C53" i="11"/>
  <c r="E46" i="11"/>
  <c r="C45" i="11"/>
  <c r="E42" i="11"/>
  <c r="C41" i="11"/>
  <c r="E36" i="11"/>
  <c r="C35" i="11"/>
  <c r="E31" i="11"/>
  <c r="C30" i="11"/>
  <c r="E25" i="11"/>
  <c r="C24" i="11"/>
  <c r="C13" i="11"/>
  <c r="C67" i="15"/>
  <c r="D66" i="15"/>
  <c r="D65" i="15"/>
  <c r="D64" i="15"/>
  <c r="D67" i="15" s="1"/>
  <c r="C61" i="15"/>
  <c r="D60" i="15"/>
  <c r="C48" i="15"/>
  <c r="C41" i="15"/>
  <c r="C35" i="15"/>
  <c r="C28" i="15"/>
  <c r="C69" i="15" s="1"/>
  <c r="C22" i="15"/>
  <c r="C21" i="15"/>
  <c r="C13" i="15"/>
  <c r="C3" i="15"/>
  <c r="C2" i="15"/>
  <c r="L23" i="9"/>
  <c r="K22" i="9"/>
  <c r="L22" i="9" s="1"/>
  <c r="K21" i="9"/>
  <c r="L21" i="9" s="1"/>
  <c r="M21" i="9" s="1"/>
  <c r="N21" i="9" s="1"/>
  <c r="K20" i="9"/>
  <c r="L20" i="9" s="1"/>
  <c r="M20" i="9" s="1"/>
  <c r="N20" i="9" s="1"/>
  <c r="K19" i="9"/>
  <c r="L19" i="9" s="1"/>
  <c r="M19" i="9" s="1"/>
  <c r="N19" i="9" s="1"/>
  <c r="K18" i="9"/>
  <c r="L18" i="9" s="1"/>
  <c r="M18" i="9" s="1"/>
  <c r="N18" i="9" s="1"/>
  <c r="K17" i="9"/>
  <c r="L17" i="9" s="1"/>
  <c r="M17" i="9" s="1"/>
  <c r="N17" i="9" s="1"/>
  <c r="K16" i="9"/>
  <c r="L16" i="9" s="1"/>
  <c r="K15" i="9"/>
  <c r="L15" i="9" s="1"/>
  <c r="K14" i="9"/>
  <c r="L14" i="9" s="1"/>
  <c r="M14" i="9" s="1"/>
  <c r="N14" i="9" s="1"/>
  <c r="K13" i="9"/>
  <c r="L13" i="9" s="1"/>
  <c r="M13" i="9" s="1"/>
  <c r="N13" i="9" s="1"/>
  <c r="K12" i="9"/>
  <c r="L12" i="9" s="1"/>
  <c r="M12" i="9" s="1"/>
  <c r="N12" i="9" s="1"/>
  <c r="K11" i="9"/>
  <c r="L11" i="9" s="1"/>
  <c r="K10" i="9"/>
  <c r="L10" i="9" s="1"/>
  <c r="K9" i="9"/>
  <c r="L9" i="9" s="1"/>
  <c r="M9" i="9" s="1"/>
  <c r="N9" i="9" s="1"/>
  <c r="K8" i="9"/>
  <c r="L8" i="9" s="1"/>
  <c r="K7" i="9"/>
  <c r="L7" i="9" s="1"/>
  <c r="K6" i="9"/>
  <c r="L6" i="9" s="1"/>
  <c r="K5" i="9"/>
  <c r="L5" i="9" s="1"/>
  <c r="M5" i="9" s="1"/>
  <c r="N5" i="9" s="1"/>
  <c r="K4" i="9"/>
  <c r="L4" i="9" s="1"/>
  <c r="K3" i="9"/>
  <c r="L3" i="9" s="1"/>
  <c r="C74" i="10"/>
  <c r="C70" i="10"/>
  <c r="C63" i="10"/>
  <c r="C56" i="10"/>
  <c r="C49" i="10"/>
  <c r="C39" i="10"/>
  <c r="C21" i="10"/>
  <c r="C20" i="10"/>
  <c r="C13" i="10"/>
  <c r="C3" i="10"/>
  <c r="C2" i="10"/>
  <c r="L36" i="13"/>
  <c r="L35" i="13"/>
  <c r="L34" i="13"/>
  <c r="L33" i="13"/>
  <c r="L32" i="13"/>
  <c r="L31" i="13"/>
  <c r="L30" i="13"/>
  <c r="L29" i="13"/>
  <c r="L28" i="13"/>
  <c r="L27" i="13"/>
  <c r="L26" i="13"/>
  <c r="L25" i="13"/>
  <c r="L24" i="13"/>
  <c r="L23" i="13"/>
  <c r="L22" i="13"/>
  <c r="L21" i="13"/>
  <c r="L20" i="13"/>
  <c r="L19" i="13"/>
  <c r="L18" i="13"/>
  <c r="L17" i="13"/>
  <c r="L16" i="13"/>
  <c r="L15" i="13"/>
  <c r="L14" i="13"/>
  <c r="L13" i="13"/>
  <c r="L12" i="13"/>
  <c r="L11" i="13"/>
  <c r="L10" i="13"/>
  <c r="L9" i="13"/>
  <c r="L8" i="13"/>
  <c r="L7" i="13"/>
  <c r="L6" i="13"/>
  <c r="L5" i="13"/>
  <c r="L4" i="13"/>
  <c r="K3" i="13"/>
  <c r="L3" i="13" s="1"/>
  <c r="E69" i="5"/>
  <c r="C68" i="5"/>
  <c r="E63" i="5"/>
  <c r="C62" i="5"/>
  <c r="E55" i="5"/>
  <c r="C54" i="5"/>
  <c r="E48" i="5"/>
  <c r="C47" i="5"/>
  <c r="E41" i="5"/>
  <c r="C40" i="5"/>
  <c r="E33" i="5"/>
  <c r="C32" i="5"/>
  <c r="C22" i="5"/>
  <c r="C13" i="5"/>
  <c r="C78" i="16"/>
  <c r="C72" i="16"/>
  <c r="C64" i="16"/>
  <c r="C57" i="16"/>
  <c r="C50" i="16"/>
  <c r="C40" i="16"/>
  <c r="A31" i="16"/>
  <c r="E30" i="16"/>
  <c r="C29" i="16"/>
  <c r="C21" i="16"/>
  <c r="C20" i="16"/>
  <c r="C13" i="16"/>
  <c r="C3" i="16"/>
  <c r="C2" i="16"/>
  <c r="M49" i="1"/>
  <c r="M39" i="1"/>
  <c r="M32" i="1"/>
  <c r="D43" i="16" s="1"/>
  <c r="M25" i="1"/>
  <c r="M16" i="1"/>
  <c r="M8" i="1"/>
  <c r="K4" i="1"/>
  <c r="L4" i="1" s="1"/>
  <c r="L3" i="1"/>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A68" i="15" l="1"/>
  <c r="O12" i="9"/>
  <c r="P12" i="9" s="1"/>
  <c r="O20" i="9"/>
  <c r="P20" i="9" s="1"/>
  <c r="M6" i="9"/>
  <c r="N6" i="9" s="1"/>
  <c r="M10" i="9"/>
  <c r="N10" i="9" s="1"/>
  <c r="M22" i="9"/>
  <c r="N22" i="9" s="1"/>
  <c r="O22" i="9" s="1"/>
  <c r="P22" i="9" s="1"/>
  <c r="M3" i="9"/>
  <c r="D22" i="11" s="1"/>
  <c r="M15" i="9"/>
  <c r="N15" i="9" s="1"/>
  <c r="O15" i="9" s="1"/>
  <c r="P15" i="9" s="1"/>
  <c r="D57" i="15"/>
  <c r="D33" i="11"/>
  <c r="D27" i="15"/>
  <c r="D56" i="15"/>
  <c r="D56" i="11"/>
  <c r="D44" i="11"/>
  <c r="D45" i="11" s="1"/>
  <c r="D27" i="11"/>
  <c r="D39" i="11"/>
  <c r="D34" i="15"/>
  <c r="D38" i="15"/>
  <c r="D40" i="11"/>
  <c r="D47" i="15"/>
  <c r="D51" i="11"/>
  <c r="D51" i="15"/>
  <c r="A54" i="15" s="1"/>
  <c r="D52" i="11"/>
  <c r="D58" i="11"/>
  <c r="D59" i="15"/>
  <c r="D29" i="11"/>
  <c r="D26" i="15"/>
  <c r="D23" i="11"/>
  <c r="D38" i="11"/>
  <c r="D32" i="15"/>
  <c r="D49" i="11"/>
  <c r="D44" i="15"/>
  <c r="D50" i="11"/>
  <c r="D45" i="15"/>
  <c r="C76" i="10"/>
  <c r="N35" i="1"/>
  <c r="D44" i="16"/>
  <c r="N59" i="1"/>
  <c r="D54" i="16"/>
  <c r="N47" i="1"/>
  <c r="D47" i="16"/>
  <c r="N91" i="1"/>
  <c r="D70" i="16"/>
  <c r="N16" i="1"/>
  <c r="D34" i="16"/>
  <c r="N49" i="1"/>
  <c r="D48" i="16"/>
  <c r="N41" i="1"/>
  <c r="D46" i="16"/>
  <c r="N87" i="1"/>
  <c r="D69" i="16"/>
  <c r="N22" i="1"/>
  <c r="D36" i="16"/>
  <c r="N67" i="1"/>
  <c r="D56" i="16"/>
  <c r="N53" i="1"/>
  <c r="D49" i="16"/>
  <c r="N25" i="1"/>
  <c r="D37" i="16"/>
  <c r="N12" i="1"/>
  <c r="D28" i="16"/>
  <c r="N77" i="1"/>
  <c r="D62" i="16"/>
  <c r="N14" i="1"/>
  <c r="D33" i="16"/>
  <c r="N8" i="1"/>
  <c r="D27" i="16"/>
  <c r="N39" i="1"/>
  <c r="D45" i="16"/>
  <c r="N80" i="1"/>
  <c r="D63" i="16"/>
  <c r="N74" i="1"/>
  <c r="D61" i="16"/>
  <c r="N63" i="1"/>
  <c r="D55" i="16"/>
  <c r="N6" i="1"/>
  <c r="D26" i="16"/>
  <c r="N94" i="1"/>
  <c r="D71" i="16"/>
  <c r="C80" i="16"/>
  <c r="O82" i="1"/>
  <c r="N84" i="1"/>
  <c r="M55" i="1"/>
  <c r="O69" i="1"/>
  <c r="N69" i="1"/>
  <c r="O32" i="1"/>
  <c r="N32" i="1"/>
  <c r="M3" i="1"/>
  <c r="M18" i="1"/>
  <c r="D35" i="16" s="1"/>
  <c r="M28" i="1"/>
  <c r="O97" i="1"/>
  <c r="N97" i="1"/>
  <c r="D31" i="5"/>
  <c r="D37" i="5"/>
  <c r="D38" i="5"/>
  <c r="D46" i="5"/>
  <c r="D53" i="5"/>
  <c r="D59" i="5"/>
  <c r="D21" i="5"/>
  <c r="D27" i="5"/>
  <c r="D30" i="5"/>
  <c r="D36" i="5"/>
  <c r="D39" i="5"/>
  <c r="D45" i="5"/>
  <c r="D51" i="5"/>
  <c r="D52" i="5"/>
  <c r="D58" i="5"/>
  <c r="D60" i="5"/>
  <c r="D67" i="5"/>
  <c r="D19" i="5"/>
  <c r="D20" i="5"/>
  <c r="D35" i="5"/>
  <c r="D50" i="5"/>
  <c r="D57" i="5"/>
  <c r="D25" i="5"/>
  <c r="D26" i="5"/>
  <c r="D28" i="5"/>
  <c r="D29" i="5"/>
  <c r="D43" i="5"/>
  <c r="D44" i="5"/>
  <c r="D61" i="5"/>
  <c r="D65" i="5"/>
  <c r="D66" i="5"/>
  <c r="D18" i="5"/>
  <c r="O5" i="9" l="1"/>
  <c r="P5" i="9" s="1"/>
  <c r="D57" i="11"/>
  <c r="D59" i="11" s="1"/>
  <c r="D58" i="15"/>
  <c r="D61" i="15" s="1"/>
  <c r="A62" i="15" s="1"/>
  <c r="D28" i="11"/>
  <c r="D30" i="11" s="1"/>
  <c r="D48" i="11"/>
  <c r="D53" i="11" s="1"/>
  <c r="D40" i="15"/>
  <c r="D41" i="15" s="1"/>
  <c r="A42" i="15" s="1"/>
  <c r="D31" i="15"/>
  <c r="D35" i="15" s="1"/>
  <c r="A36" i="15" s="1"/>
  <c r="D48" i="15"/>
  <c r="A49" i="15" s="1"/>
  <c r="N3" i="9"/>
  <c r="O3" i="9"/>
  <c r="D41" i="11"/>
  <c r="D24" i="11"/>
  <c r="D28" i="15"/>
  <c r="A29" i="15" s="1"/>
  <c r="E10" i="15"/>
  <c r="D10" i="11"/>
  <c r="E10" i="11" s="1"/>
  <c r="D9" i="11"/>
  <c r="E9" i="11" s="1"/>
  <c r="E9" i="15"/>
  <c r="D7" i="11"/>
  <c r="E7" i="11" s="1"/>
  <c r="E11" i="15"/>
  <c r="D11" i="11"/>
  <c r="E11" i="11" s="1"/>
  <c r="D34" i="11"/>
  <c r="D35" i="11" s="1"/>
  <c r="D6" i="11"/>
  <c r="D12" i="11"/>
  <c r="E12" i="11" s="1"/>
  <c r="E12" i="15"/>
  <c r="D56" i="10"/>
  <c r="A57" i="10" s="1"/>
  <c r="E7" i="10"/>
  <c r="N28" i="1"/>
  <c r="D38" i="16"/>
  <c r="P82" i="1"/>
  <c r="D11" i="16"/>
  <c r="D25" i="16"/>
  <c r="P69" i="1"/>
  <c r="D10" i="16"/>
  <c r="E10" i="16" s="1"/>
  <c r="P32" i="1"/>
  <c r="D8" i="16"/>
  <c r="E8" i="16" s="1"/>
  <c r="P97" i="1"/>
  <c r="D12" i="16"/>
  <c r="E12" i="16" s="1"/>
  <c r="O55" i="1"/>
  <c r="D53" i="16"/>
  <c r="N55" i="1"/>
  <c r="N18" i="1"/>
  <c r="O14" i="1"/>
  <c r="O3" i="1"/>
  <c r="N3" i="1"/>
  <c r="D47" i="5"/>
  <c r="D32" i="5"/>
  <c r="D10" i="5"/>
  <c r="E10" i="5" s="1"/>
  <c r="D9" i="5"/>
  <c r="E9" i="5" s="1"/>
  <c r="D7" i="5"/>
  <c r="E7" i="5" s="1"/>
  <c r="D54" i="5"/>
  <c r="D22" i="5"/>
  <c r="D12" i="5"/>
  <c r="E12" i="5" s="1"/>
  <c r="D62" i="5"/>
  <c r="D40" i="5"/>
  <c r="D6" i="5"/>
  <c r="D68" i="5"/>
  <c r="E11" i="16"/>
  <c r="D11" i="5"/>
  <c r="E11" i="5" s="1"/>
  <c r="D8" i="5"/>
  <c r="E8" i="5" s="1"/>
  <c r="D29" i="10"/>
  <c r="D70" i="10"/>
  <c r="A71" i="10" s="1"/>
  <c r="D49" i="10"/>
  <c r="A50" i="10" s="1"/>
  <c r="D78" i="16"/>
  <c r="D74" i="10"/>
  <c r="A75" i="10" s="1"/>
  <c r="D63" i="10"/>
  <c r="A64" i="10" s="1"/>
  <c r="E11" i="10"/>
  <c r="E8" i="10"/>
  <c r="E9" i="10"/>
  <c r="P3" i="9" l="1"/>
  <c r="D6" i="15"/>
  <c r="E6" i="15" s="1"/>
  <c r="E7" i="15"/>
  <c r="A30" i="10"/>
  <c r="A70" i="15"/>
  <c r="A71" i="15" s="1"/>
  <c r="D8" i="11"/>
  <c r="E8" i="11" s="1"/>
  <c r="E8" i="15"/>
  <c r="E6" i="11"/>
  <c r="D39" i="10"/>
  <c r="A40" i="10" s="1"/>
  <c r="P3" i="1"/>
  <c r="D6" i="16"/>
  <c r="E6" i="16" s="1"/>
  <c r="P14" i="1"/>
  <c r="D7" i="16"/>
  <c r="E7" i="16" s="1"/>
  <c r="P55" i="1"/>
  <c r="D9" i="16"/>
  <c r="E9" i="16" s="1"/>
  <c r="D72" i="16"/>
  <c r="A73" i="16" s="1"/>
  <c r="D50" i="16"/>
  <c r="A51" i="16" s="1"/>
  <c r="D29" i="16"/>
  <c r="D40" i="16"/>
  <c r="A41" i="16" s="1"/>
  <c r="D57" i="16"/>
  <c r="A58" i="16" s="1"/>
  <c r="E6" i="5"/>
  <c r="D13" i="5"/>
  <c r="E13" i="5" s="1"/>
  <c r="E14" i="5" s="1"/>
  <c r="D64" i="16"/>
  <c r="A65" i="16" s="1"/>
  <c r="E10" i="10"/>
  <c r="A79" i="16"/>
  <c r="E12" i="10"/>
  <c r="D80" i="16" l="1"/>
  <c r="A77" i="10"/>
  <c r="A78" i="10" s="1"/>
  <c r="D13" i="15"/>
  <c r="E13" i="15" s="1"/>
  <c r="D13" i="11"/>
  <c r="E13" i="11" s="1"/>
  <c r="E14" i="11" s="1"/>
  <c r="D13" i="16"/>
  <c r="A15" i="16" s="1"/>
  <c r="A17" i="16" s="1"/>
  <c r="A81" i="16"/>
  <c r="A82" i="16" s="1"/>
  <c r="D13" i="10"/>
  <c r="E6" i="10"/>
  <c r="A15" i="15" l="1"/>
  <c r="A17" i="15" s="1"/>
  <c r="E13" i="16"/>
  <c r="E13" i="10"/>
  <c r="A15" i="10"/>
  <c r="A17" i="10" s="1"/>
</calcChain>
</file>

<file path=xl/sharedStrings.xml><?xml version="1.0" encoding="utf-8"?>
<sst xmlns="http://schemas.openxmlformats.org/spreadsheetml/2006/main" count="2404" uniqueCount="457">
  <si>
    <t>Metric
Num</t>
  </si>
  <si>
    <t>S.
No</t>
  </si>
  <si>
    <t>Metric
Description</t>
  </si>
  <si>
    <t>1.1.1</t>
  </si>
  <si>
    <t>1.2.1</t>
  </si>
  <si>
    <t>1.2.2</t>
  </si>
  <si>
    <t>1.3.1</t>
  </si>
  <si>
    <t>1.3.2</t>
  </si>
  <si>
    <t>1.4.1</t>
  </si>
  <si>
    <t>2.1.1</t>
  </si>
  <si>
    <t>2.1.2</t>
  </si>
  <si>
    <t>2.2.1</t>
  </si>
  <si>
    <t>2.3.1</t>
  </si>
  <si>
    <t>2.4.1</t>
  </si>
  <si>
    <t>2.4.2</t>
  </si>
  <si>
    <t>2.5.1</t>
  </si>
  <si>
    <t>2.6.1</t>
  </si>
  <si>
    <t>2.6.2</t>
  </si>
  <si>
    <t>2.7.1</t>
  </si>
  <si>
    <t>3.1.1</t>
  </si>
  <si>
    <t>3.2.1</t>
  </si>
  <si>
    <t>3.2.2</t>
  </si>
  <si>
    <t>3.3.1</t>
  </si>
  <si>
    <t>3.3.2</t>
  </si>
  <si>
    <t>3.4.1</t>
  </si>
  <si>
    <t>3.4.2</t>
  </si>
  <si>
    <t>3.4.3</t>
  </si>
  <si>
    <t>3.5.1</t>
  </si>
  <si>
    <t>4.1.1</t>
  </si>
  <si>
    <t>4.1.2</t>
  </si>
  <si>
    <t>4.2.1</t>
  </si>
  <si>
    <t>4.3.1</t>
  </si>
  <si>
    <t>4.3.2</t>
  </si>
  <si>
    <t>4.4.1</t>
  </si>
  <si>
    <t>5.1.1</t>
  </si>
  <si>
    <t>5.1.2</t>
  </si>
  <si>
    <t>5.1.3</t>
  </si>
  <si>
    <t>5.1.4</t>
  </si>
  <si>
    <t>5.2.1</t>
  </si>
  <si>
    <t>5.2.2</t>
  </si>
  <si>
    <t>5.3.1</t>
  </si>
  <si>
    <t>5.3.2</t>
  </si>
  <si>
    <t>5.4.1</t>
  </si>
  <si>
    <t>6.1.1</t>
  </si>
  <si>
    <t>6.2.1</t>
  </si>
  <si>
    <t>6.2.2</t>
  </si>
  <si>
    <t>6.3.1</t>
  </si>
  <si>
    <t>6.3.2</t>
  </si>
  <si>
    <t>6.3.3</t>
  </si>
  <si>
    <t>6.4.1</t>
  </si>
  <si>
    <t>6.5.1</t>
  </si>
  <si>
    <t>6.5.2</t>
  </si>
  <si>
    <t>7.1.1</t>
  </si>
  <si>
    <t>7.1.2</t>
  </si>
  <si>
    <t>7.1.3</t>
  </si>
  <si>
    <t>7.1.4</t>
  </si>
  <si>
    <t>7.2.1</t>
  </si>
  <si>
    <t>7.3.1</t>
  </si>
  <si>
    <t>QlM</t>
  </si>
  <si>
    <t>QnM</t>
  </si>
  <si>
    <t>1.1 Curriculum Planning and Implementation</t>
  </si>
  <si>
    <t>1.2 Academic Flexibility</t>
  </si>
  <si>
    <t>1.3 Curriculum Enrichment</t>
  </si>
  <si>
    <t>1.4 Feedback System</t>
  </si>
  <si>
    <t>2.1 Student Enrolment and Profile</t>
  </si>
  <si>
    <t>2.2 Student Teacher Ratio</t>
  </si>
  <si>
    <t>2.4 Teacher Profile and Quality</t>
  </si>
  <si>
    <t>2.5 Evaluation Process and Reforms</t>
  </si>
  <si>
    <t>2.6 Student Performance and Learning Outcomes</t>
  </si>
  <si>
    <t>2.7 Student Satisfaction Survey</t>
  </si>
  <si>
    <t>3.1 Resource Mobilization for Research</t>
  </si>
  <si>
    <t>3.2 Innovation Ecosystem</t>
  </si>
  <si>
    <t>3.3 Research Publications and Awards</t>
  </si>
  <si>
    <t>3.4 Extension Activities</t>
  </si>
  <si>
    <t>3.5 Collaboration</t>
  </si>
  <si>
    <t>4.1 Physical Facilities</t>
  </si>
  <si>
    <t>4.2 Library as a Learning Resource</t>
  </si>
  <si>
    <t>4.3 IT Infrastructure</t>
  </si>
  <si>
    <t>4.4 Maintenance of Campus Infrastructure</t>
  </si>
  <si>
    <t>5.1 Student Support</t>
  </si>
  <si>
    <t>5.2 Student Progression</t>
  </si>
  <si>
    <t>5.3 Student Participation and Activities</t>
  </si>
  <si>
    <t>5.4 Alumni Engagement</t>
  </si>
  <si>
    <t>6.1 Institutional Vision and Leadership</t>
  </si>
  <si>
    <t>6.2 Strategy Development and Deployment</t>
  </si>
  <si>
    <t>6.3 Faculty Empowerment Strategies</t>
  </si>
  <si>
    <t>6.4 Financial Management and Resource Mobilization</t>
  </si>
  <si>
    <t>6.5 Internal Quality Assurance System (IQAS)</t>
  </si>
  <si>
    <t>7.1 Institutional Values and Social Responsibilities</t>
  </si>
  <si>
    <t>7.2 Best Practices</t>
  </si>
  <si>
    <t>7.3 Institutional Distinctiveness</t>
  </si>
  <si>
    <t>1. Curricular Aspects</t>
  </si>
  <si>
    <t>2. Teaching-Learning and Evaluation</t>
  </si>
  <si>
    <t>3. Research, Innovations and Extension</t>
  </si>
  <si>
    <t>4. Infrastructure and Learning Resources</t>
  </si>
  <si>
    <t>5. Student Support and Progression</t>
  </si>
  <si>
    <t>6. Governance, Leadership and Management</t>
  </si>
  <si>
    <t>7. Institutional Values and Best Practices</t>
  </si>
  <si>
    <t>Number of students year wise during the last five years</t>
  </si>
  <si>
    <t>Year</t>
  </si>
  <si>
    <t>Number</t>
  </si>
  <si>
    <t>Number of full time teachers during the last five years
(Without repeat count):</t>
  </si>
  <si>
    <t>Number of full time teachers year wise during the last five years</t>
  </si>
  <si>
    <t>Expenditure excluding salary component year wise during the last five years (INR in lakhs)</t>
  </si>
  <si>
    <t>INR in
Lakhs</t>
  </si>
  <si>
    <t>1 Student:</t>
  </si>
  <si>
    <t>2 Teachers:</t>
  </si>
  <si>
    <t>3. Expenditure:</t>
  </si>
  <si>
    <t>Criteria</t>
  </si>
  <si>
    <t>Response</t>
  </si>
  <si>
    <t>Grade</t>
  </si>
  <si>
    <r>
      <rPr>
        <b/>
        <sz val="16"/>
        <color theme="1"/>
        <rFont val="Calibri"/>
        <family val="2"/>
        <scheme val="minor"/>
      </rPr>
      <t>©</t>
    </r>
    <r>
      <rPr>
        <sz val="11"/>
        <color theme="1"/>
        <rFont val="Calibri"/>
        <family val="2"/>
        <scheme val="minor"/>
      </rPr>
      <t xml:space="preserve">
Wt</t>
    </r>
  </si>
  <si>
    <r>
      <t xml:space="preserve">Criteria
</t>
    </r>
    <r>
      <rPr>
        <b/>
        <sz val="18"/>
        <color theme="1"/>
        <rFont val="Calibri"/>
        <family val="2"/>
        <scheme val="minor"/>
      </rPr>
      <t>©</t>
    </r>
  </si>
  <si>
    <r>
      <t xml:space="preserve">Metric
</t>
    </r>
    <r>
      <rPr>
        <b/>
        <sz val="14"/>
        <color theme="1"/>
        <rFont val="Calibri"/>
        <family val="2"/>
        <scheme val="minor"/>
      </rPr>
      <t>(M)</t>
    </r>
    <r>
      <rPr>
        <sz val="11"/>
        <color theme="1"/>
        <rFont val="Calibri"/>
        <family val="2"/>
        <scheme val="minor"/>
      </rPr>
      <t xml:space="preserve">
Type</t>
    </r>
  </si>
  <si>
    <r>
      <t xml:space="preserve">Key
Indicator
</t>
    </r>
    <r>
      <rPr>
        <b/>
        <sz val="11"/>
        <color theme="1"/>
        <rFont val="Calibri"/>
        <family val="2"/>
        <scheme val="minor"/>
      </rPr>
      <t xml:space="preserve"> (</t>
    </r>
    <r>
      <rPr>
        <b/>
        <sz val="14"/>
        <color theme="1"/>
        <rFont val="Calibri"/>
        <family val="2"/>
        <scheme val="minor"/>
      </rPr>
      <t>KI</t>
    </r>
    <r>
      <rPr>
        <b/>
        <sz val="11"/>
        <color theme="1"/>
        <rFont val="Calibri"/>
        <family val="2"/>
        <scheme val="minor"/>
      </rPr>
      <t>)</t>
    </r>
  </si>
  <si>
    <r>
      <t xml:space="preserve">Metric
</t>
    </r>
    <r>
      <rPr>
        <b/>
        <sz val="14"/>
        <color theme="1"/>
        <rFont val="Calibri"/>
        <family val="2"/>
        <scheme val="minor"/>
      </rPr>
      <t>(M)</t>
    </r>
    <r>
      <rPr>
        <sz val="11"/>
        <color theme="1"/>
        <rFont val="Calibri"/>
        <family val="2"/>
        <scheme val="minor"/>
      </rPr>
      <t xml:space="preserve">
Num</t>
    </r>
  </si>
  <si>
    <r>
      <rPr>
        <b/>
        <sz val="12"/>
        <color theme="1"/>
        <rFont val="Arial"/>
        <family val="2"/>
      </rPr>
      <t>KI</t>
    </r>
    <r>
      <rPr>
        <sz val="8"/>
        <color theme="1"/>
        <rFont val="Arial"/>
        <family val="2"/>
      </rPr>
      <t>wise
weighted
Grade
points</t>
    </r>
  </si>
  <si>
    <r>
      <rPr>
        <b/>
        <sz val="12"/>
        <color theme="1"/>
        <rFont val="Arial"/>
        <family val="2"/>
      </rPr>
      <t>KI</t>
    </r>
    <r>
      <rPr>
        <sz val="8"/>
        <color theme="1"/>
        <rFont val="Arial"/>
        <family val="2"/>
      </rPr>
      <t>wise
weighted
Grade
points
Average</t>
    </r>
  </si>
  <si>
    <r>
      <rPr>
        <b/>
        <sz val="16"/>
        <color theme="1"/>
        <rFont val="Calibri"/>
        <family val="2"/>
        <scheme val="minor"/>
      </rPr>
      <t>©</t>
    </r>
    <r>
      <rPr>
        <sz val="8"/>
        <color theme="1"/>
        <rFont val="Arial"/>
        <family val="2"/>
      </rPr>
      <t>Wise
Weighted
Grade
Point
Average</t>
    </r>
  </si>
  <si>
    <r>
      <rPr>
        <b/>
        <sz val="16"/>
        <color theme="1"/>
        <rFont val="Calibri"/>
        <family val="2"/>
        <scheme val="minor"/>
      </rPr>
      <t>©</t>
    </r>
    <r>
      <rPr>
        <sz val="8"/>
        <color theme="1"/>
        <rFont val="Arial"/>
        <family val="2"/>
      </rPr>
      <t>Wise
Weighted 
Average</t>
    </r>
  </si>
  <si>
    <r>
      <rPr>
        <b/>
        <sz val="12"/>
        <color theme="1"/>
        <rFont val="Arial"/>
        <family val="2"/>
      </rPr>
      <t>M</t>
    </r>
    <r>
      <rPr>
        <sz val="8"/>
        <color theme="1"/>
        <rFont val="Arial"/>
        <family val="2"/>
      </rPr>
      <t xml:space="preserve">
wise weighted Grade points</t>
    </r>
  </si>
  <si>
    <r>
      <t xml:space="preserve">Metric
Grade
scale
</t>
    </r>
    <r>
      <rPr>
        <b/>
        <sz val="14"/>
        <color theme="1"/>
        <rFont val="Arial"/>
        <family val="2"/>
      </rPr>
      <t>(0-4</t>
    </r>
    <r>
      <rPr>
        <b/>
        <sz val="11"/>
        <color theme="1"/>
        <rFont val="Arial"/>
        <family val="2"/>
      </rPr>
      <t>)</t>
    </r>
  </si>
  <si>
    <r>
      <rPr>
        <b/>
        <sz val="12"/>
        <color theme="1"/>
        <rFont val="Arial"/>
        <family val="2"/>
      </rPr>
      <t>M</t>
    </r>
    <r>
      <rPr>
        <sz val="11"/>
        <color theme="1"/>
        <rFont val="Calibri"/>
        <family val="2"/>
        <scheme val="minor"/>
      </rPr>
      <t xml:space="preserve">
Wt</t>
    </r>
  </si>
  <si>
    <r>
      <rPr>
        <b/>
        <sz val="12"/>
        <color theme="1"/>
        <rFont val="Arial"/>
        <family val="2"/>
      </rPr>
      <t>KI</t>
    </r>
    <r>
      <rPr>
        <sz val="11"/>
        <color theme="1"/>
        <rFont val="Calibri"/>
        <family val="2"/>
        <scheme val="minor"/>
      </rPr>
      <t xml:space="preserve">
Wt</t>
    </r>
  </si>
  <si>
    <r>
      <t>Metric (</t>
    </r>
    <r>
      <rPr>
        <b/>
        <sz val="12"/>
        <color theme="1"/>
        <rFont val="Arial"/>
        <family val="2"/>
      </rPr>
      <t xml:space="preserve">M) </t>
    </r>
    <r>
      <rPr>
        <sz val="11"/>
        <color theme="1"/>
        <rFont val="Calibri"/>
        <family val="2"/>
        <scheme val="minor"/>
      </rPr>
      <t>Description</t>
    </r>
  </si>
  <si>
    <t>A</t>
  </si>
  <si>
    <t>B</t>
  </si>
  <si>
    <t>D</t>
  </si>
  <si>
    <t>C</t>
  </si>
  <si>
    <t>Best Practices</t>
  </si>
  <si>
    <t>Weightage
(Wi</t>
  </si>
  <si>
    <t>Curricular Aspects</t>
  </si>
  <si>
    <t>Teaching-learning and
Evaluation</t>
  </si>
  <si>
    <t>Research, Innovations
and Extension</t>
  </si>
  <si>
    <t>Infrastructure and Learning Resources</t>
  </si>
  <si>
    <t>Student Support and Progression</t>
  </si>
  <si>
    <t>Governance, Leadership and Management</t>
  </si>
  <si>
    <t>Institutional Values and Best Practices</t>
  </si>
  <si>
    <t>Status</t>
  </si>
  <si>
    <t>3.51-4.00</t>
  </si>
  <si>
    <t>A++</t>
  </si>
  <si>
    <t>Accredited</t>
  </si>
  <si>
    <t>3.26-3.500</t>
  </si>
  <si>
    <t>3.01-3.25</t>
  </si>
  <si>
    <t>2.76-3.00</t>
  </si>
  <si>
    <t>2.51-2.75</t>
  </si>
  <si>
    <t>2.01-2.50</t>
  </si>
  <si>
    <t>≤ 1.50</t>
  </si>
  <si>
    <t>1.51-2.00</t>
  </si>
  <si>
    <t>A+</t>
  </si>
  <si>
    <t>B++</t>
  </si>
  <si>
    <t>B+</t>
  </si>
  <si>
    <t>Not Accredited</t>
  </si>
  <si>
    <t>Range of Institutional
Cumulative Grade
Point Average (CGPA)</t>
  </si>
  <si>
    <t>Letter
Grade</t>
  </si>
  <si>
    <t>Criteria and Key Indicators</t>
  </si>
  <si>
    <t>Key Indicator
Weightage
(Wi)</t>
  </si>
  <si>
    <t>Key Indicator Wise
Weighted
Grade Points
(KIWGP)i</t>
  </si>
  <si>
    <t>Key Indicator wise
Grade
Point
Averages
(CrWGPi/Wi)</t>
  </si>
  <si>
    <t>Criterionwise
Grade Point
Averages
(CrWGPi/Wi)</t>
  </si>
  <si>
    <t>Criterion-wise
weighted Grade
Point 
(CrWGPi)</t>
  </si>
  <si>
    <t>Criterion 1: Curricular Aspects</t>
  </si>
  <si>
    <t>Criterion 2: Teaching-learning and Evaluation</t>
  </si>
  <si>
    <t>No</t>
  </si>
  <si>
    <t>Teacher Profile and Quality</t>
  </si>
  <si>
    <t>Evaluation Process and Reforms</t>
  </si>
  <si>
    <t>Student Performance and Learning Outcomes</t>
  </si>
  <si>
    <t>Student Satisfaction Survey</t>
  </si>
  <si>
    <t>Student Enrollment and Profile</t>
  </si>
  <si>
    <t>Catering to Student Diversity</t>
  </si>
  <si>
    <t>Teaching- Learning Process</t>
  </si>
  <si>
    <t>Criterion 3: Research, Innovations and Extension</t>
  </si>
  <si>
    <t>Resource Mobilization for Research</t>
  </si>
  <si>
    <t>Innovation Ecosystem</t>
  </si>
  <si>
    <t>Research Publications and Awards</t>
  </si>
  <si>
    <t>Extension Activities</t>
  </si>
  <si>
    <t>Collaboration</t>
  </si>
  <si>
    <t>Criterion 4: Infrastructure and Learning Resources</t>
  </si>
  <si>
    <t>Physical Facilities</t>
  </si>
  <si>
    <t>Library as a Learning Resource</t>
  </si>
  <si>
    <t>IT Infrastructure</t>
  </si>
  <si>
    <t>Maintenance of Campus Infrastructure</t>
  </si>
  <si>
    <t>Criterion 5: Student Support and Progression</t>
  </si>
  <si>
    <t>Student Support</t>
  </si>
  <si>
    <t>Student Progression</t>
  </si>
  <si>
    <t>Student Participation and Activities</t>
  </si>
  <si>
    <t>Alumni Engagement</t>
  </si>
  <si>
    <t>Criterion 6: Governance, Leadership and Management</t>
  </si>
  <si>
    <t>Institutional Vision and Leadership</t>
  </si>
  <si>
    <t>Strategy Development and Development</t>
  </si>
  <si>
    <t>Faculty Empowerment Strategies</t>
  </si>
  <si>
    <t>Financial Management and Resource Mobilization</t>
  </si>
  <si>
    <t>Internal Quality Assurance System</t>
  </si>
  <si>
    <t>Criterion 7: Institutional Values and Best Practices</t>
  </si>
  <si>
    <t>Institutional Values and Social Responsibilities</t>
  </si>
  <si>
    <t>Institutional Distinctiveness</t>
  </si>
  <si>
    <r>
      <rPr>
        <b/>
        <sz val="16"/>
        <color theme="1"/>
        <rFont val="Calibri"/>
        <family val="2"/>
        <scheme val="minor"/>
      </rPr>
      <t>P</t>
    </r>
    <r>
      <rPr>
        <sz val="11"/>
        <color theme="1"/>
        <rFont val="Calibri"/>
        <family val="2"/>
        <scheme val="minor"/>
      </rPr>
      <t xml:space="preserve">
Response 
Score</t>
    </r>
  </si>
  <si>
    <r>
      <t xml:space="preserve">HEI
</t>
    </r>
    <r>
      <rPr>
        <b/>
        <sz val="12"/>
        <color theme="1"/>
        <rFont val="Calibri"/>
        <family val="2"/>
        <scheme val="minor"/>
      </rPr>
      <t>I/P</t>
    </r>
    <r>
      <rPr>
        <b/>
        <sz val="11"/>
        <color theme="1"/>
        <rFont val="Calibri"/>
        <family val="2"/>
        <scheme val="minor"/>
      </rPr>
      <t xml:space="preserve">
(Response)</t>
    </r>
  </si>
  <si>
    <t>Academic Flexibility</t>
  </si>
  <si>
    <t>Curriculum Enrichment</t>
  </si>
  <si>
    <t>Feedback System</t>
  </si>
  <si>
    <t>Curriculum Planning and Implementation</t>
  </si>
  <si>
    <t>Qualitative Grade Sheet</t>
  </si>
  <si>
    <t>Name of the Institution:</t>
  </si>
  <si>
    <t>Type of the Institution:</t>
  </si>
  <si>
    <t>Dates of Visit:</t>
  </si>
  <si>
    <t>Quantitative Grade Sheet</t>
  </si>
  <si>
    <t>Key
Indicator
Weightage
(Wi)</t>
  </si>
  <si>
    <t>Key Indicator 
Wise Weighted
Grade Points
(KIWGP)i</t>
  </si>
  <si>
    <t xml:space="preserve"> Curriculum Planning and Implementation</t>
  </si>
  <si>
    <t xml:space="preserve"> Academic Flexibility</t>
  </si>
  <si>
    <t>*</t>
  </si>
  <si>
    <t>RESPONSE</t>
  </si>
  <si>
    <t>Institute
Name</t>
  </si>
  <si>
    <t>Criterion-
wise Grade 
Point
Averages
(CrWGPi/Wi)</t>
  </si>
  <si>
    <t>Total</t>
  </si>
  <si>
    <t>Grand Total</t>
  </si>
  <si>
    <t>Criterion wise - Quantitative Grade Sheet</t>
  </si>
  <si>
    <t xml:space="preserve"> Grade Sheet</t>
  </si>
  <si>
    <t>Criterion wise - Grade Sheet</t>
  </si>
  <si>
    <t>Row Labels</t>
  </si>
  <si>
    <t>Average of Metric</t>
  </si>
  <si>
    <t>Graphical Representation of Grade points</t>
  </si>
  <si>
    <t>Metric Wise QnM Grade Points(0-4)</t>
  </si>
  <si>
    <t>Key Indicator Wise QnM Grade Points(0-4)</t>
  </si>
  <si>
    <t>Criteria Wise QnM Grade Points(0-4)</t>
  </si>
  <si>
    <t>Metric Wise QlM Grade Points(0-4)</t>
  </si>
  <si>
    <t>Criteria Wise QlM Grade Points(0-4)</t>
  </si>
  <si>
    <t>Key Indicator Wise QlM Grade Points(0-4)</t>
  </si>
  <si>
    <t>Criteria Wise Grade Points(0-4)</t>
  </si>
  <si>
    <t>Key Indicator Wise Grade Points(0-4)</t>
  </si>
  <si>
    <t>Each Metric Wise Grade Points(0-4)</t>
  </si>
  <si>
    <t>QnM/QlM Wise Grade Points(0-4)</t>
  </si>
  <si>
    <t xml:space="preserve">Curricula developed and implemented have relevance to the local, national, regional and global developmental needs which is reflected in Programme outcomes (POs), Programme Specific outcomes (PSOs) and Course Outcomes (COs) of the Programmes offered by the Institution 
Write description in maximum of 500 words 
</t>
  </si>
  <si>
    <t>1.1.2</t>
  </si>
  <si>
    <t xml:space="preserve">Percentage of Programmes where syllabus revision was carried out during the last five years 
1.1.2.1: How many Programmes were revised out of total number of Programmes offered during the same period within last five years? 
1.1.2.2 : Number of all Programmes offered by the institution during the last five years
</t>
  </si>
  <si>
    <t>1.1.3</t>
  </si>
  <si>
    <t xml:space="preserve">Average percentage of courses having focus on employability/ entrepreneurship/ skill development offered by the institution during the last five years 
1.1.3.1: Number of courses having focus on employability/ entrepreneurship/ skill development year wise during last five years 
</t>
  </si>
  <si>
    <t xml:space="preserve">Percentage of new courses introduced of the total number of courses across all programs offered during the last five years 
1.2.1.1: How many new courses are introduced within the last five years 
1.2.1.2 : Number of courses offered by the institution across all Programmes during the last five years 
</t>
  </si>
  <si>
    <t xml:space="preserve">Percentage of Programmes in which Choice Based Credit System (CBCS)/elective course system has been implemented (Data for the latest completed academic year ) 
1.2.2.1: Number of Programmes in which CBCS/Elective course system implemented.
</t>
  </si>
  <si>
    <t xml:space="preserve">Institution integrates crosscutting issues relevant to Professional Ethics, Gender, Human Values, Environment and Sustainability, Human Values into the Curriculum 
Write description in maximum of 500 words
 </t>
  </si>
  <si>
    <t xml:space="preserve">Number of value-added courses for imparting transferable and life skills offered during last five years 
1.3.2.1: How many new value-added courses are added within the last 5 years 
</t>
  </si>
  <si>
    <t>1.3.3</t>
  </si>
  <si>
    <t xml:space="preserve">Average Percentage of students enrolled in the courses under 1.3.2 above 
1.3.3.1: Number of students enrolled in value added courses (beyond the curriculum) offered year wise during last five year
</t>
  </si>
  <si>
    <t>1.3.4</t>
  </si>
  <si>
    <t xml:space="preserve">Percentage of students undertaking field projects/ internships / student projects (Data for the latest completed academic year) 
1.3.4.1: Number of students undertaking field projects / internships / student projects </t>
  </si>
  <si>
    <t xml:space="preserve">Structured feedback for design and review of syllabus ( semester wise / year wise) is obtained from 1) Students, 2) Teachers, 3) Employers, 4) Alumni 
</t>
  </si>
  <si>
    <t>1.4.2</t>
  </si>
  <si>
    <t xml:space="preserve">The feedback system of the Institution comprises of the following : 
A. Feedback collected, analysed and action taken and report made available on website 
B. Feedback collected, analysed and action taken 
C. Feedback collected and analysed 
D. Feedback collected 
E. Feedback not obtained 
</t>
  </si>
  <si>
    <t xml:space="preserve">Average Enrolment percentage (Average of last five years) 
2.1.1.1: Number of students admitted year wise during last five years 
2.1.1.2: Number of sanctioned seats year wise during last five years </t>
  </si>
  <si>
    <t>Average percentage of seats filled against reserved categories (SC, ST, OBC, Divyangjan, etc. as per applicable reservation policy ) during the last five years  ( exclusive of supernumerary seats) 
2.1.2.1: Number of actual students admitted from the reserved categories year wise during last five years</t>
  </si>
  <si>
    <t xml:space="preserve">The institution assesses the learning levels of the students and organises special Programmes for advanced learners and slow learners.
Write description in of 500 words 
</t>
  </si>
  <si>
    <t>2.2.2</t>
  </si>
  <si>
    <t xml:space="preserve">Student - Full time teacher ratio (Data for the latest completed academic year) </t>
  </si>
  <si>
    <t xml:space="preserve">Student centric methods, such as experiential learning, participative learning and problem solving methodologies are used for enhancing learning experiences 
Write description in maximum of 500 words </t>
  </si>
  <si>
    <t>2.3.2</t>
  </si>
  <si>
    <t xml:space="preserve">Teachers use ICT enabled tools including online resources for effective teaching and learning process 
Write description in maximum of 500 words </t>
  </si>
  <si>
    <t>2.3.3</t>
  </si>
  <si>
    <t>Ratio of students to mentor for academic and other related issues (Data for the latest completed academic year ) 
2.3.3.1: Number of mentors 
             Number of students assigned to each Mentor</t>
  </si>
  <si>
    <t>2.3.4</t>
  </si>
  <si>
    <t>Preparation and adherence of Academic Calendar and Teaching plans by the institution 
Describe the Preparation and adherence to Academic Calendar and Teaching plans by the institution within the minimum of 500 Characters and maximum of 500 words.</t>
  </si>
  <si>
    <t xml:space="preserve">Average percentage of full time teachers against sanctioned posts during the last five years 
</t>
  </si>
  <si>
    <t xml:space="preserve">Average percentage of full time teachers with Ph.D. / D.M. / M.Ch. / D.N.B Super speciality / D.Sc. / D.Litt. during the last five years 
2.4.2.1: Number of full time teachers with Ph.D./ D.M. / M.Ch. / D.N.B Super speciality / D.Sc. / D.Litt. year wise during last five years 
</t>
  </si>
  <si>
    <t>2.4.3</t>
  </si>
  <si>
    <t xml:space="preserve">Average teaching experience of full time teachers in the same institution (Data for the latest completed academic year in number of  years
2.4.3.1: Total experience of full-time teachers </t>
  </si>
  <si>
    <t xml:space="preserve">Average number of days from the date of last semester-end/ year- end examination till the declaration of results during the last five years 
2.5.1.1: Number of days from the date of last semester-end/ year- end examination till the declaration of results year wise during the last five years
</t>
  </si>
  <si>
    <t>2.5.2</t>
  </si>
  <si>
    <t xml:space="preserve">Average percentage of student complaints/grievances about evaluation against total number appeared in the examinations during the last five years 
2.5.2.1: Number of complaints/grievances about evaluation year wise during last five years </t>
  </si>
  <si>
    <t>2.5.3</t>
  </si>
  <si>
    <t xml:space="preserve">IT integration and reforms in the examination procedures and processes including Continuous Internal Assessment (CIA) have brought in considerable improvement in Examination Management System (EMS) of the Institution 
Describe the examination reforms with reference to the following within a minimum of 500 words and maximum 1000 words:  
</t>
  </si>
  <si>
    <t xml:space="preserve">Programme outcomes and course outcomes for all Programmes offered by the institution are stated and displayed on website and communicated to teachers and students 
Describe Course Outcomes (COs) for all courses and mechanism of communication within a maximum of 500 words 
</t>
  </si>
  <si>
    <t xml:space="preserve">Attainment of program outcomes and course outcomes are evaluated by the institution 
Describe the method of measuring attainment of POs , PSOs and COs in not more than 500 words and the level of attainment of POs , PSOs and COs. </t>
  </si>
  <si>
    <t>2.6.3</t>
  </si>
  <si>
    <t>Pass percentage of students (Data for the latest completed academic year) 
2.6.3.1: Total number of final year students who passed the examination conducted by Institution. 
2.6.3.2: Total number of final year students who appeared for the examination</t>
  </si>
  <si>
    <t xml:space="preserve">Online student satisfaction survey regarding to teaching learning process. (Online survey to be conducted) </t>
  </si>
  <si>
    <t xml:space="preserve">The institution Research facilities are frequently updated and there is well defined policy for promotion of research which is uploaded on the institutional website and implemented 
Write description in maximum of 500 words </t>
  </si>
  <si>
    <t>3.1.2</t>
  </si>
  <si>
    <t xml:space="preserve">The institution provides seed money to its teachers for research 
(Average per year) 
3.1.2.1: The amount of seed money provided by institution to its teachers for research year wise during last five years (INR in lakhs) </t>
  </si>
  <si>
    <t>3.1.3</t>
  </si>
  <si>
    <t>Percentage of teachers awarded national / international fellowship for advanced studies/research during the last five years 
3.1.3.1: The number of teachers awarded national / international fellowship for advanced studies / research year wise during last five years</t>
  </si>
  <si>
    <t>Grants received from Government and non-governmental agencies for research projects, endowments, Chairs in the institution during the last five years (INR in Lakhs) 
3.2.1.1: Total Grants from Government and non-governmental agencies for research projects , endowments, Chairs in the institution during the last five years (INR in Lakhs)</t>
  </si>
  <si>
    <t xml:space="preserve">Percentage of teachers having research projects during the last five years 
3.2.2.1: Number of teachers having research projects during the last five years 
</t>
  </si>
  <si>
    <t>3.2.3</t>
  </si>
  <si>
    <t>Percentage of teachers recognised as research guides 
3.2.3.1: Number of teachers recognised as research guides</t>
  </si>
  <si>
    <t>3.2.4</t>
  </si>
  <si>
    <t xml:space="preserve">Average percentage of departments having Research projects funded by government and non-government agencies during the last five years 
3.2.4.1: Number of departments having Research projects funded by government and non-government agencies during the last five years </t>
  </si>
  <si>
    <t>Institution has created an eco system for innovations, creation and transfer of knowledge supported by dedicated centers for research, entrepreneurship, community orientation, Incubation etc. 
Write description in maximum of 500 words</t>
  </si>
  <si>
    <t xml:space="preserve">Number of workshops/seminars conducted on Research Methodology, Intellectual Property Rights (IPR), entrepreneurship and skills development during the last five years 
3.3.2.1: Total number of workshops/seminars conducted on Research Methodology, Intellectual Property Rights (IPR) and entrepreneurship and skills development year wise during last five years </t>
  </si>
  <si>
    <t>The Institution ensures implementation of its stated Code of Ethics for research through the following: 
1. Inclusion of research ethics in the research methodology course work 
2. Presence of Ethics committee 
3. Plagiarism check through software 
4. Research Advisory Committee</t>
  </si>
  <si>
    <t xml:space="preserve">Number of Ph.D’s registered per teacher (as per the data given w.r.t recognized Ph.D guides/ supervisors provided at 3.2.3 metric) during the last five years 
3.4.2.1: How many Ph.Ds are registered within last 5 years 
3.4.2.2 : Number of teachers recognized as guides during the last five years </t>
  </si>
  <si>
    <t xml:space="preserve">Number of research papers per teacher in the Journals notified on UGC website during the last five years 
3.4.3.1: Number of research papers in the Journals notified on UGC website during the last five </t>
  </si>
  <si>
    <t>3.4.4</t>
  </si>
  <si>
    <t>Number of books and chapters in edited volumes / books published per teacher during the last five years 
3.4.4.1: Total number of books and chapters in edited volumes / books published, and papers in national/international conference-proceedings year wise during last five years</t>
  </si>
  <si>
    <t>3.4.5</t>
  </si>
  <si>
    <t xml:space="preserve">Bibliometrics of the publications during the last five years based on average Citation index in Scopus/ Web of Science/ PubMed 
3.4.5.1:  Total number of Citations in Scopus in 5 years 
              Total number of Citations in Web of Science in 5 years 
3.4.5.2 : Total number of Publications in Scopus in 5 years 
              Total number of Publications in Web of Science in 5 years  
</t>
  </si>
  <si>
    <t>3.4.6</t>
  </si>
  <si>
    <t xml:space="preserve">Bibliometrics of the publications during the last five years based on Scopus/ Web of Science – h-index of the Institution 
3.4.6.1: h-index of Scopus during the last five years 
h-index of Web of Science during the last five years </t>
  </si>
  <si>
    <t xml:space="preserve">Revenue generated from consultancy and corporate training during the last five years (INR in Lakhs) 
3.5.1.1: Total amount generated from consultancy and corporate training year wise during last five years (INR in lakhs) </t>
  </si>
  <si>
    <t>3.5.2</t>
  </si>
  <si>
    <t xml:space="preserve">Total amount spent on developing facilities, training teachers and staff for undertaking consultancy during the last five years 
3.5.2.1: Total amount spent on developing facilities, training teachers and staff for undertaking consultancy during the last five years 
</t>
  </si>
  <si>
    <t>3.6.1</t>
  </si>
  <si>
    <t xml:space="preserve">Extension activities are carried out in the neighbourhood community, sensitising students to social issues, for their holistic development, and impact thereof during the last five years 
Describe the impact of extension activities in sensitising students to social issues and holistic development within a maximum of 500 words 
</t>
  </si>
  <si>
    <t>3.6.2</t>
  </si>
  <si>
    <t xml:space="preserve">Number of awards and recognition received by the Institution, its teachers and students for extension activities from Government / Government recognised bodies during last five years 
3.6.2.1: Total number of awards and recognition received for extension activities from Government /recognised bodies year wise during last five years 
</t>
  </si>
  <si>
    <t>3.6.3</t>
  </si>
  <si>
    <t xml:space="preserve">Number of extension and outreach programs conducted by the institution through NSS/NCC/Red cross/YRC etc., during the last five years ( including Government initiated programs such as Swachh Bharat, Aids Awareness, Gender Issue, etc. and those organised in collaboration with industry, community and NGOs) 
3.6.3.1: Number of extension and outreach programs conducted in collaboration with industry, community and Non-Government Organisations through NSS/NCC/Red cross/YRC etc., year wise during last five years
</t>
  </si>
  <si>
    <t>3.6.4</t>
  </si>
  <si>
    <t xml:space="preserve">Average percentage of students participating in extension activities listed at 3.6.3 above during the last five years 
3.6.4.1: Total number of students participating in extension activities with Government Organisations, Non-Government Organisations and Programmes such as Swachh Bharat, Aids Awareness, Gender Issue, etc. year wise during last five years 
</t>
  </si>
  <si>
    <t>3.7.1</t>
  </si>
  <si>
    <t xml:space="preserve">Number of Collaborative activities per year for research/ faculty exchange/ student exchange/ internship/ on –the-job training/ project work 
3.7.1.1: Total number of Collaborative activities per year for research/ faculty exchange/ student exchange/ internship/ on –the-job training/ project work  
</t>
  </si>
  <si>
    <t>3.7.2</t>
  </si>
  <si>
    <t xml:space="preserve">Number of functional MoUs with institutions of national, international importance, other universities, industries, corporate houses etc. during the last five years (only functional MoUs with ongoing activities to be considered) 
3.7.2.1: Number of functional MoUs with institutions of national, international importance, other Institutions, industries, corporate houses etc. year wise during last five years  
Data Template
</t>
  </si>
  <si>
    <t xml:space="preserve">The Institution has adequate infrastructure and physical facilities for teaching – learning, viz., classrooms, laboratories, computing equipment, etc. 
Describe the adequacy of facilities for teaching –learning as per the minimum specified requirement by statutory bodies within a maximum of 500 words 
</t>
  </si>
  <si>
    <t xml:space="preserve">The institution has adequate facilities for cultural activities, yoga, games (indoor, outdoor) and sports. (gymnasium, yoga centre, auditorium, etc.) 
Describe the adequacy facilities for cultural activities, yoga, games (indoor, outdoor) and sports which include specification about area/size, year of establishment and user rate within minimum of 500 characters and maximum of 500 words
</t>
  </si>
  <si>
    <t>4.1.3</t>
  </si>
  <si>
    <t xml:space="preserve">Percentage of classrooms and seminar halls with ICT – enabled facilities such as smart class, LMS, etc. (Data for the latest completed academic year) 
4.1.3.1: Number of classrooms and seminar halls with ICT facilities 
</t>
  </si>
  <si>
    <t>4.1.4</t>
  </si>
  <si>
    <t xml:space="preserve">Average percentage of expenditure for infrastructure augmentation excluding salary during the last five years (INR in Lakhs) 
4.1.4.1: Expenditure for infrastructure augmentation, excluding salary year wise during last five years (INR in lakhs) 
</t>
  </si>
  <si>
    <t xml:space="preserve">Library is automated using Integrated Library Management System (ILMS) 
</t>
  </si>
  <si>
    <t>4.2.2</t>
  </si>
  <si>
    <t>Institution has access to the following: 
1. e-journals 
2. e-ShodhSindhu 
3. Shodhganga Membership 
4. e-books 
5. Databases 
6. Remote access to e-resources</t>
  </si>
  <si>
    <t>4.2.3</t>
  </si>
  <si>
    <t xml:space="preserve">Average annual expenditure for purchase of books/ e-books and subscription to journals/e-journals during the last five years (INR in Lakhs) 
4.2.3.1: Annual expenditure for purchase of books / e-books and subscription to journals/e-journals year wise during last five years (INR in lakhs)  </t>
  </si>
  <si>
    <t>4.2.4</t>
  </si>
  <si>
    <t xml:space="preserve">Percentage per day usage of library by teachers and students ( foot falls and login data for online access) 
4.2.6.1: Number of teachers and students using library per day over last one year 
</t>
  </si>
  <si>
    <t xml:space="preserve">Institution has an IT policy covering wi-fi, cyber security, etc., and allocated budget for updating its IT facilities 
Describe IT facilities including Wi-Fi with date and nature of updation within a maximum of 500 words </t>
  </si>
  <si>
    <t xml:space="preserve">Student - Computer ratio(Data for the latest completed academic year) 
</t>
  </si>
  <si>
    <t>4.3.3</t>
  </si>
  <si>
    <t xml:space="preserve">Bandwidth of internet connection in the Institution 
Options: 
A. ≥50 MBPS 
B. 35 MBPS - 50 MBPS 
C. 20 MBPS - 35 MBPS Opt One 
D. 5 MBPS - 20 MBPS 
E. &lt;5 MBPS </t>
  </si>
  <si>
    <t>4.3.4</t>
  </si>
  <si>
    <t xml:space="preserve">Institution has Facilities for e-content development 
Facilities available for e-content development : 
1. Media centre 
2. Audio visual centre, 
3. Lecture Capturing System(LCS) 
4. Mixing equipment's and software's for editing  
</t>
  </si>
  <si>
    <t xml:space="preserve">Average percentage expenditure incurred on maintenance of physical facilities and academic support facilities excluding salary component, during the last five years 
4.4.1.1: Expenditure incurred on maintenance of physical facilities and academic support facilities excluding salary component year wise during last five years (INR in lakhs) </t>
  </si>
  <si>
    <t>4.4.2</t>
  </si>
  <si>
    <t xml:space="preserve">There are established systems and procedures for maintaining and utilizing physical, academic and support facilities – laboratory, library, sports complex, computers, classrooms etc. 
Describe policy details of systems and procedures for maintaining and utilizing physical, academic and support facilities on the website within a minimum of 500 word and maximum of 1000 words  
</t>
  </si>
  <si>
    <t xml:space="preserve">Average percentage of students benefited by scholarships and 
freeships provided by the Government during the last five years 
5.1.1.1: Number of students benefited by scholarships and freeships provided by the Government year wise during last five years 
</t>
  </si>
  <si>
    <t xml:space="preserve">Average percentage of students benefited by scholarships, freeships, etc. provided by the institution and non-government agencies during the last five years 
5.1.2.1: Total number of students benefited by scholarships, freeships, etc provided by the institution and non-government agencies year wise during last five years </t>
  </si>
  <si>
    <t>Following Capacity development and skills enhancement activities are organised for improving students capability 
1. Soft skills 
2. Language and communication skills 
3. Life skills (Yoga, physical fitness, health and hygiene) 
4. Awareness of trends in technology</t>
  </si>
  <si>
    <t xml:space="preserve">Average percentage of students benefited by guidance for competitive examinations and career counselling offered by the institution during the last five years 
5.1.4.1: Number of students benefited by guidance for competitive examinations and career counselling offered by the institution year wise during last five years </t>
  </si>
  <si>
    <t>5.1.5</t>
  </si>
  <si>
    <t xml:space="preserve">The institution adopts the following for redressal of student grievances including sexual harassment and ragging cases 
1. Implementation of guidelines of statutory/regulatory bodies 
2. Organisation wide awareness and undertakings on policies with zero tolerance 
3. Mechanisms for submission of online/offline students’ grievances 
4. Timely redressal of the grievances through appropriate committees 
</t>
  </si>
  <si>
    <t>Average percentage of placement of outgoing students during the last five years 
5.2.1.1: Number of outgoing students placed year wise during last five years</t>
  </si>
  <si>
    <t xml:space="preserve">Percentage of student progression to higher education (previous graduating batch) 
5.2.2.1: Number of outgoing students progressing to higher education 
Data Requirements: (As per Data Template) 
Number of students proceeding from 
UG to PG:. 
PG to MPhil: 
PG to PhD: 
MPhil to PhD: 
PhD to Post doctoral: </t>
  </si>
  <si>
    <t>5.2.3</t>
  </si>
  <si>
    <t xml:space="preserve">Average percentage of students qualifying in state/ national/ international level examinations during the last five years 
(eg: IIT/JAM/NET/SLET/GATE/GMAT/CAT/ GRE/TOEFL/Civil Services/State government examinations etc.) 
5.2.3.1: Number of students qualifying in state/ national/ international level examinations (eg: IIT/JAM/NET/SLET/GATE/GMAT/CAT/ GRE/TOEFL/Civil Services/State government examinations) year wise during last five years  
5.2.3.2: Number of students appearing in state/ national/ international level examinations (eg: IIT/JAM/ NET/SLET/GATE/GMAT/CAT, GRE/TOEFL/Civil Services/State government examinations) year wise during last five years  
</t>
  </si>
  <si>
    <t xml:space="preserve">Number of awards/medals for outstanding performance in sports/cultural activities at inter-university / state /national / international events (award for a team event should be counted as one) during the last five years 
5.3.1.1: Number of awards/medals for outstanding performance in sports/cultural activities at inter-university / state / national / international level (award for a team event should be counted as one) year wise during last five years </t>
  </si>
  <si>
    <t xml:space="preserve">Presence of an active Student Council &amp; representation of students on academic &amp; administrative bodies/committees of the institution 
Describe the Student Council activity and students role in academic &amp; administrative bodies within a minimum of 500 characters and maximum of 500 words  
</t>
  </si>
  <si>
    <t>5.3.3</t>
  </si>
  <si>
    <t xml:space="preserve">Average number of sports and cultural events / competitions organised by the institution per year 
5.3.3.1: Number of sports and cultural events / competitions organised by the institution year wise during last five years  
</t>
  </si>
  <si>
    <t xml:space="preserve">The Alumni Association/Chapters (registered and functional)contributes significantly to the development of the institution through financial and other support services 
Describe contribution of alumni association to the institution within a maximum of 500 words 
</t>
  </si>
  <si>
    <t>5.4.2</t>
  </si>
  <si>
    <t xml:space="preserve">Alumni financial contribution during the last five years (in INR) 
Options: 
A. ≥ 15 Lakhs 
B. 10Lakhs - 15 Lakhs 
C. 5 Lakhs - 10 Lakhs 
D. 2 Lakhs - 5 </t>
  </si>
  <si>
    <t xml:space="preserve">The governance of the institution is reflective of an effective leadership in tune with the vision and mission of the Institution 
Describe the vision and mission statement of the institution on the nature of governance, perspective plans and participation of the teachers in the decision making bodies of the institution within a maximum of 500 words. </t>
  </si>
  <si>
    <t>6.1.2</t>
  </si>
  <si>
    <t xml:space="preserve">The effective leadership is reflected in various institutional practices such as decentralization and participative management 
Upload a case study showing practicing decentralisation and participative management in the institution in not more than 500 words </t>
  </si>
  <si>
    <t xml:space="preserve">The institutional Strategic/ Perspective plan is effectively deployed 
Describe one activity successfully implemented based on the strategic plan within a maximum of 500 words  
</t>
  </si>
  <si>
    <t xml:space="preserve">The functioning of the institutional bodies is effective and efficient as visible from policies, administrative setup appointment and service rules, procedures, etc. 
Describe the Organogram of the Institution within a maximum of 500 words
</t>
  </si>
  <si>
    <t>6.2.3</t>
  </si>
  <si>
    <t xml:space="preserve">Implementation of e-governance in areas of operation: 
1. Administration 
2. Finance and Accounts 
3. Student Admission and Support 
4. Examination </t>
  </si>
  <si>
    <t xml:space="preserve">The institution has effective welfare measures for teaching and non-teaching staff and avenues for career development/ progression 
Provide the list of existing welfare measures for teaching and non-teaching staff in maximum of 500 words </t>
  </si>
  <si>
    <t xml:space="preserve">Average percentage of teachers provided with financial support to attend conferences / workshops and towards membership fee of professional bodies during the last five years 
6.3.2.1: Number of teachers provided with financial support to attend conferences / workshops and towards membership fee of professional bodies year wise during last five years </t>
  </si>
  <si>
    <t>Average number of professional development / administrative training programs organized by the Institution for teaching and non teaching staff during the last five years 
6.3.3.1: Total number of professional development / administrative training Programmes organized by the Institution for teaching and non teaching staff year wise during last five  years</t>
  </si>
  <si>
    <t>6.3.4</t>
  </si>
  <si>
    <t xml:space="preserve">Average percentage of teachers undergoing online/ face-to-face Faculty Development Programmes during the last five years 
(Professional Development Programmes, Orientation / Induction Programmes, Refresher Course, Short Term Course etc.,) 
6.3.4.1: Total number of teachers attending professional development Programmes, viz., Orientation Programme, Refresher Course, Short Term Course, Faculty Development Programmes year wise during last five years. 
</t>
  </si>
  <si>
    <t xml:space="preserve">Institution conducts internal and external financial audits regularly 
Enumerate the various internal and external financial audits carried out during the last five years with the mechanism for settling audit objections within a maximum of 500 words </t>
  </si>
  <si>
    <t>6.4.2</t>
  </si>
  <si>
    <t xml:space="preserve">Funds / Grants received from non-government bodies, individuals, philanthropists during the last five years (not covered in Criterion III and V) (INR in Lakhs) 
6.4.2.1: Total Grants received from non-government bodies, individuals, philanthropists year wise during last five years (INR in Lakhs)
</t>
  </si>
  <si>
    <t>6.4.3</t>
  </si>
  <si>
    <t xml:space="preserve">Institutional strategies for mobilisation of funds and the optimal utilisation of resources 
Describe the resource mobilisation policy and procedures of the Institution within a maximum of 500 words 
</t>
  </si>
  <si>
    <t xml:space="preserve">Internal Quality Assurance Cell (IQAC) has contributed significantly for institutionalizing the quality assurance strategies and processes visible in terms of – 
Incremental improvements made for the preceding five years with regard to quality (in case of first cycle) 
Incremental improvements made for the preceding five years with regard to quality and post accreditation quality initiatives (second and subsequent cycles) 
Describe two practices institutionalized as a result of IQAC initiatives within a maximum of 500 words </t>
  </si>
  <si>
    <t xml:space="preserve">The institution reviews its teaching learning process, structures &amp; methodologies of operations and learning outcomes at periodic intervals through IQAC set up as per norms 
Describe any two examples of institutional reviews and implementation of teaching learning reforms facilitated by the IQAC within a maximum of 500 words each </t>
  </si>
  <si>
    <t>6.5.3</t>
  </si>
  <si>
    <t xml:space="preserve">Quality assurance initiatives of the institution include: 
1. Regular meeting of Internal Quality Assurance Cell (IQAC); Feedback collected, analysed and used for improvements 
2. Collaborative quality initiatives with other institution(s) 
3. Participation in NIRF 
4. Any other quality audit recognized by state, national or international agencies (ISO Certification) 
</t>
  </si>
  <si>
    <t xml:space="preserve">Measures initiated by the Institution for the promotion of gender equity during the last five years. 
Describe gender equity &amp; sensitization in curricular and co-curricular activities, facilities for women on campus etc., within 500 words 
</t>
  </si>
  <si>
    <t xml:space="preserve">The Institution has facilities for alternate sources of energy and energy conservation measures 
1. Solar energy 
2. Biogas plant 
3. Wheeling to the Grid 
4. Sensor-based energy conservation 
5. Use of LED bulbs/ power efficient equipment 
</t>
  </si>
  <si>
    <t xml:space="preserve">Describe the facilities in the Institution for the management of the following types of degradable and non-degradable waste (within 500 words) 
1. Solid waste management 
2. Liquid waste management 
3. Biomedical waste management 
4. E-waste management 
5. Waste recycling system 
6. Hazardous chemicals and radioactive waste management 
</t>
  </si>
  <si>
    <t xml:space="preserve">Water conservation facilities available in the Institution: 
1. Rain water harvesting 
2. Borewell /Open well recharge 
3. Construction of tanks and bunds 
4. Waste water recycling 
5. Maintenance of water bodies and distribution system in the campus  
</t>
  </si>
  <si>
    <t>7.1.5</t>
  </si>
  <si>
    <t xml:space="preserve">Green campus initiatives include (4) 
7.1.5.1. The institutional initiatives for greening the campus are as follows: 
1. Restricted entry of automobiles 
2. Use of Bicycles/ Battery powered vehicles 
3. Pedestrian Friendly pathways 
4. Ban on use of Plastic 
5. landscaping with trees and plants 
</t>
  </si>
  <si>
    <t>7.1.6</t>
  </si>
  <si>
    <t xml:space="preserve">Quality audits on environment and energy are regularly undertaken by the institution (5) 
7.1.7.1. The institutional environment and energy initiatives are confirmed through the following 
1.Green audit 
2. Energy audit 
3.Environment audit 
4.Clean and green campus recognitions/awards 
5. Beyond the campus environmental promotional activities  
</t>
  </si>
  <si>
    <t>7.1.7</t>
  </si>
  <si>
    <t xml:space="preserve">The Institution has disabled-friendly, barrier free environment 
1. Built environment with ramps/lifts for easy access to classrooms. 
2. Disabled-friendly washrooms 
3. Signage including tactile path, lights, display boards and signposts 
4. Assistive technology and facilities for persons with disabilities ( Divyangjan) accessible website, screen-reading software, mechanized equipment 
5. Provision for enquiry and information : Human assistance, reader, scribe, soft      copies of reading material, screen reading 
</t>
  </si>
  <si>
    <t>7.1.8</t>
  </si>
  <si>
    <t xml:space="preserve">Describe the Institutional efforts/initiatives in providing an inclusive environment i.e., tolerance and harmony towards cultural, regional, linguistic, communal socioeconomic and other diversities (within 500 words). </t>
  </si>
  <si>
    <t>7.1.9</t>
  </si>
  <si>
    <t xml:space="preserve">Sensitization of students and employees of the Institution to the constitutional obligations: values, rights, duties and responsibilities of citizens 
Describe the various activities in the Institution for inculcating values for being responsible citizens as reflected in the Constitution of India within 500 words. </t>
  </si>
  <si>
    <t>7.1.10</t>
  </si>
  <si>
    <t xml:space="preserve">The Institution has a prescribed code of conduct for students, teachers, administrators and other staff and conducts periodic programmes in this regard. 
1. The Code of Conduct is displayed on the website 
2. There is a committee to monitor adherence to the Code of Conduct 
3. Institution organizes professional ethics programmes for students, teachers,  administrators and other staff 
4. Annual awareness programmes on Code of Conduct are organized 
</t>
  </si>
  <si>
    <t>7.1.11</t>
  </si>
  <si>
    <t xml:space="preserve">Institution celebrates / organizes national and international commemorative days, events and festivals 
Describe the efforts of the Institution in celebrating /organizing national and international commemorative days, events and festivals during the last five years within 500 words </t>
  </si>
  <si>
    <t xml:space="preserve">Describe two best practices successfully implemented by the Institution as per NAAC format provided in the Manual. </t>
  </si>
  <si>
    <t xml:space="preserve">Portray the performance of the Institution in one area distinctive to its priority and thrust within 1000 words  </t>
  </si>
  <si>
    <t>4 (= 100%)</t>
  </si>
  <si>
    <t>4 (&gt; 50%)</t>
  </si>
  <si>
    <t>4 (&gt; 100)</t>
  </si>
  <si>
    <t>4 (&gt; 75%)</t>
  </si>
  <si>
    <t>4 (&gt; 90%)</t>
  </si>
  <si>
    <t>4 (all of the Above)</t>
  </si>
  <si>
    <t>4 (&gt; 90)</t>
  </si>
  <si>
    <t>4 (15 : 01)</t>
  </si>
  <si>
    <t>4 (15-20)</t>
  </si>
  <si>
    <t>4 (100)</t>
  </si>
  <si>
    <t>4 (&gt; 80)</t>
  </si>
  <si>
    <t>4 (&gt; 15)</t>
  </si>
  <si>
    <t>4 (&lt; 10-15)</t>
  </si>
  <si>
    <t>4 (&lt; 1)</t>
  </si>
  <si>
    <t>3.5 (&gt;3.5)</t>
  </si>
  <si>
    <t>4 (&gt; 10L)</t>
  </si>
  <si>
    <t>4 (&gt;10%)</t>
  </si>
  <si>
    <t>4 (&gt; 300L)</t>
  </si>
  <si>
    <t>4 (&gt; 3)</t>
  </si>
  <si>
    <t>4 (&gt; 20)</t>
  </si>
  <si>
    <t>4 (&gt; 40)</t>
  </si>
  <si>
    <t>4 (&gt; 5)</t>
  </si>
  <si>
    <t>4 (&gt; 10)</t>
  </si>
  <si>
    <t>4 (&gt; 50)</t>
  </si>
  <si>
    <t>4 (&gt; 100L)</t>
  </si>
  <si>
    <t>4 (&gt; 30)</t>
  </si>
  <si>
    <t>4 (&gt; 150)</t>
  </si>
  <si>
    <t>4 (&gt; 20L)</t>
  </si>
  <si>
    <t>4 (&gt; 20%)</t>
  </si>
  <si>
    <t>4 (&lt; 4:1)</t>
  </si>
  <si>
    <t>4 (&gt; 25%)</t>
  </si>
  <si>
    <t>4 (&gt; 10%)</t>
  </si>
  <si>
    <t>4 (&gt; 80%)</t>
  </si>
  <si>
    <t>4 (&gt; 60%)</t>
  </si>
  <si>
    <t>4 (&gt; 30%)</t>
  </si>
  <si>
    <t>4 (&gt;15 L)</t>
  </si>
  <si>
    <t>4 (&gt; 100 L)</t>
  </si>
  <si>
    <t>4 (all 4 of  the above)</t>
  </si>
  <si>
    <t>4 (Any 4 or all of the above )</t>
  </si>
  <si>
    <t>2.2 Catering to Student Diversity</t>
  </si>
  <si>
    <t>2.3 Teaching-Learning Process</t>
  </si>
  <si>
    <t>3.1 Promotion of Research and Facilities</t>
  </si>
  <si>
    <t>3.2 Resource Mobilization for Research</t>
  </si>
  <si>
    <t>3.3 Innovation Ecosystem</t>
  </si>
  <si>
    <t>3.4 Research Publications and Awards</t>
  </si>
  <si>
    <t>3.5 Consultancy</t>
  </si>
  <si>
    <t>3.6 Extension Activities</t>
  </si>
  <si>
    <t>3.7 Collaboration</t>
  </si>
  <si>
    <t xml:space="preserve">The Institution has adequate infrastructure and physical facilities for teaching – learning, viz., classrooms, laboratories, computing equipment, etc. 
Describe the adequacy of facilities for teaching –learning as per the minimum specified requirement by statutory bodies within a maximum of 500 words </t>
  </si>
  <si>
    <t>The institution has adequate facilities for cultural activities, yoga, games (indoor, outdoor) and sports. (gymnasium, yoga centre, auditorium, etc.) 
Describe the adequacy facilities for cultural activities, yoga, games (indoor, outdoor) and sports which include specification about area/size, year of establishment and user rate within minimum of 500 characters and maximum of 500 words</t>
  </si>
  <si>
    <t xml:space="preserve">The Alumni Association/Chapters (registered and functional)contributes significantly to the development of the institution through financial and other support services 
Describe contribution of alumni association to the institution within a maximum of 500 words </t>
  </si>
  <si>
    <t>Autonomous</t>
  </si>
  <si>
    <t>Promotion of Research and Facilities</t>
  </si>
  <si>
    <t>Consultancy</t>
  </si>
  <si>
    <t xml:space="preserve">ibliometrics of the publications during the last five years based on Scopus/ Web of Science – h-index of the Institution 
3.4.6.1: h-index of Scopus during the last five years 
h-index of Web of Science during the last five years </t>
  </si>
  <si>
    <t xml:space="preserve">The feedback system of the Institution comprises of the following : 
A. Feedback collected, analysed and action taken and report made available on website 
B. Feedback collected, analysed and action taken 
C. Feedback collected and analysed 
D. Feedback collected 
E. Feedback not obtained 
</t>
  </si>
  <si>
    <t xml:space="preserve">The institution provides seed money to its teachers for research 
(Average per year) 
3.1.2.1: The amount of seed money provided by institution to its teachers for research year wise during last five years (INR in lakhs) 
</t>
  </si>
  <si>
    <t xml:space="preserve">Grants received from Government and non-governmental agencies for research projects, endowments, Chairs in the institution during the last five years (INR in Lakhs) 
3.2.1.1: Total Grants from Government and non-governmental agencies for research projects , endowments, Chairs in the institution during the last five years (INR in Lakhs)
</t>
  </si>
  <si>
    <t xml:space="preserve">Number of research papers per teacher in the Journals notified on UGC website during the last five years 
3.4.3.1: Number of research papers in the Journals notified on UGC website during the last five 
</t>
  </si>
  <si>
    <t xml:space="preserve">Institution has access to the following: 
1. e-journals 
2. e-ShodhSindhu 
3. Shodhganga Membership 
4. e-books 
5. Databases 
6. Remote access to e-resources
</t>
  </si>
  <si>
    <t xml:space="preserve">Average annual expenditure for purchase of books/ e-books and subscription to journals/e-journals during the last five years (INR in Lakhs) 
4.2.3.1: Annual expenditure for purchase of books / e-books and subscription to journals/e-journals year wise during last five years (INR in lakhs)  
</t>
  </si>
  <si>
    <t xml:space="preserve">Bandwidth of internet connection in the Institution 
Options: 
A. ≥50 MBPS 
B. 35 MBPS - 50 MBPS 
C. 20 MBPS - 35 MBPS Opt One 
D. 5 MBPS - 20 MBPS 
E. &lt;5 MBPS 
</t>
  </si>
  <si>
    <t>(blank)</t>
  </si>
  <si>
    <t>Sum of KI</t>
  </si>
  <si>
    <t>Teaching-Learning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</si>
</sst>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x14ac:knownFonts="1">
    <font>
      <sz val="11"/>
      <color theme="1"/>
      <name val="Calibri"/>
      <family val="2"/>
      <scheme val="minor"/>
    </font>
    <font>
      <sz val="10"/>
      <color theme="1"/>
      <name val="Arial"/>
      <family val="2"/>
    </font>
    <font>
      <sz val="10"/>
      <color rgb="FFFF0000"/>
      <name val="Arial"/>
      <family val="2"/>
    </font>
    <font>
      <b/>
      <sz val="11"/>
      <color theme="1"/>
      <name val="Calibri"/>
      <family val="2"/>
      <scheme val="minor"/>
    </font>
    <font>
      <sz val="8"/>
      <color theme="1"/>
      <name val="Arial"/>
      <family val="2"/>
    </font>
    <font>
      <b/>
      <sz val="16"/>
      <color theme="1"/>
      <name val="Calibri"/>
      <family val="2"/>
      <scheme val="minor"/>
    </font>
    <font>
      <b/>
      <sz val="12"/>
      <color theme="1"/>
      <name val="Arial"/>
      <family val="2"/>
    </font>
    <font>
      <b/>
      <sz val="11"/>
      <color theme="1"/>
      <name val="Arial"/>
      <family val="2"/>
    </font>
    <font>
      <b/>
      <sz val="18"/>
      <color theme="1"/>
      <name val="Calibri"/>
      <family val="2"/>
      <scheme val="minor"/>
    </font>
    <font>
      <b/>
      <sz val="14"/>
      <color theme="1"/>
      <name val="Calibri"/>
      <family val="2"/>
      <scheme val="minor"/>
    </font>
    <font>
      <b/>
      <sz val="14"/>
      <color theme="1"/>
      <name val="Arial"/>
      <family val="2"/>
    </font>
    <font>
      <sz val="11"/>
      <color theme="1"/>
      <name val="Arial"/>
      <family val="2"/>
    </font>
    <font>
      <b/>
      <sz val="12"/>
      <color theme="1"/>
      <name val="Calibri"/>
      <family val="2"/>
      <scheme val="minor"/>
    </font>
    <font>
      <b/>
      <sz val="18"/>
      <color theme="0"/>
      <name val="Calibri"/>
      <family val="2"/>
      <scheme val="minor"/>
    </font>
    <font>
      <sz val="12"/>
      <color theme="1"/>
      <name val="Calibri"/>
      <family val="2"/>
      <scheme val="minor"/>
    </font>
    <font>
      <sz val="10"/>
      <color theme="1"/>
      <name val="Calibri"/>
      <family val="2"/>
      <scheme val="minor"/>
    </font>
    <font>
      <b/>
      <sz val="18"/>
      <color theme="0"/>
      <name val="Arial"/>
      <family val="2"/>
    </font>
    <font>
      <sz val="12"/>
      <color theme="1"/>
      <name val="Arial"/>
      <family val="2"/>
    </font>
    <font>
      <b/>
      <sz val="14"/>
      <color theme="0"/>
      <name val="Arial"/>
      <family val="2"/>
    </font>
    <font>
      <sz val="14"/>
      <color theme="1"/>
      <name val="Arial"/>
      <family val="2"/>
    </font>
    <font>
      <b/>
      <sz val="16"/>
      <color theme="0"/>
      <name val="Arial"/>
      <family val="2"/>
    </font>
    <font>
      <b/>
      <sz val="14"/>
      <color theme="1"/>
      <name val="Times New Roman"/>
      <family val="1"/>
    </font>
    <font>
      <b/>
      <sz val="18"/>
      <color theme="1"/>
      <name val="Times New Roman"/>
      <family val="1"/>
    </font>
    <font>
      <b/>
      <sz val="19"/>
      <color theme="0"/>
      <name val="Arial"/>
      <family val="2"/>
    </font>
    <font>
      <sz val="14"/>
      <color theme="1"/>
      <name val="Calibri"/>
      <family val="2"/>
      <scheme val="minor"/>
    </font>
    <font>
      <b/>
      <sz val="16"/>
      <color theme="1"/>
      <name val="Arial"/>
      <family val="2"/>
    </font>
  </fonts>
  <fills count="9">
    <fill>
      <patternFill patternType="none"/>
    </fill>
    <fill>
      <patternFill patternType="gray125"/>
    </fill>
    <fill>
      <patternFill patternType="solid">
        <fgColor theme="4"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0070C0"/>
        <bgColor indexed="64"/>
      </patternFill>
    </fill>
    <fill>
      <patternFill patternType="solid">
        <fgColor theme="4" tint="0.59999389629810485"/>
        <bgColor indexed="64"/>
      </patternFill>
    </fill>
    <fill>
      <patternFill patternType="solid">
        <fgColor theme="9"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style="thin">
        <color indexed="64"/>
      </bottom>
      <diagonal/>
    </border>
  </borders>
  <cellStyleXfs count="1">
    <xf numFmtId="0" fontId="0" fillId="0" borderId="0"/>
  </cellStyleXfs>
  <cellXfs count="261">
    <xf numFmtId="0" fontId="0" fillId="0" borderId="0" xfId="0"/>
    <xf numFmtId="0" fontId="0" fillId="0" borderId="0" xfId="0"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0" fillId="0" borderId="1" xfId="0" applyBorder="1" applyAlignment="1">
      <alignment vertical="center" wrapText="1"/>
    </xf>
    <xf numFmtId="0" fontId="0"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0"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0" xfId="0" applyFont="1" applyAlignment="1">
      <alignment vertical="center"/>
    </xf>
    <xf numFmtId="0" fontId="0" fillId="0" borderId="1" xfId="0" applyBorder="1" applyAlignment="1">
      <alignment vertical="center"/>
    </xf>
    <xf numFmtId="0" fontId="4"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2" fontId="4" fillId="0"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xf numFmtId="0" fontId="0" fillId="0" borderId="1" xfId="0" applyBorder="1" applyAlignment="1">
      <alignment horizontal="center"/>
    </xf>
    <xf numFmtId="1" fontId="0" fillId="0" borderId="1" xfId="0" applyNumberFormat="1" applyFont="1" applyBorder="1" applyAlignment="1">
      <alignment horizontal="center" vertical="center"/>
    </xf>
    <xf numFmtId="1" fontId="11" fillId="0" borderId="1" xfId="0" applyNumberFormat="1" applyFont="1" applyBorder="1" applyAlignment="1">
      <alignment horizontal="center" vertical="center" wrapText="1"/>
    </xf>
    <xf numFmtId="1" fontId="0" fillId="0" borderId="0" xfId="0" applyNumberFormat="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0" borderId="0" xfId="0" applyFill="1" applyBorder="1" applyAlignment="1">
      <alignment horizontal="center" vertical="center"/>
    </xf>
    <xf numFmtId="0" fontId="0" fillId="0" borderId="0" xfId="0" applyBorder="1" applyAlignment="1">
      <alignment horizontal="center"/>
    </xf>
    <xf numFmtId="0" fontId="0" fillId="0" borderId="2" xfId="0" applyBorder="1" applyAlignment="1">
      <alignment horizontal="center"/>
    </xf>
    <xf numFmtId="2" fontId="0" fillId="0" borderId="1" xfId="0" applyNumberFormat="1" applyBorder="1" applyAlignment="1">
      <alignment horizontal="center" vertical="center"/>
    </xf>
    <xf numFmtId="0" fontId="0" fillId="0" borderId="3" xfId="0" applyBorder="1" applyAlignment="1">
      <alignment horizontal="center"/>
    </xf>
    <xf numFmtId="2" fontId="0" fillId="0" borderId="3" xfId="0" applyNumberFormat="1" applyBorder="1" applyAlignment="1">
      <alignment horizontal="center" vertical="center"/>
    </xf>
    <xf numFmtId="0" fontId="0" fillId="0" borderId="5" xfId="0" applyBorder="1" applyAlignment="1">
      <alignment horizontal="center"/>
    </xf>
    <xf numFmtId="0" fontId="3" fillId="5" borderId="6" xfId="0" applyFont="1" applyFill="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2" fontId="0" fillId="0" borderId="0" xfId="0" applyNumberFormat="1" applyAlignment="1">
      <alignment horizontal="center" vertical="center"/>
    </xf>
    <xf numFmtId="0" fontId="0" fillId="0" borderId="0" xfId="0" applyAlignment="1">
      <alignment vertical="center"/>
    </xf>
    <xf numFmtId="0" fontId="0" fillId="0" borderId="1" xfId="0" applyBorder="1" applyAlignment="1">
      <alignment horizontal="center" vertical="center" wrapText="1"/>
    </xf>
    <xf numFmtId="0" fontId="0" fillId="0" borderId="5" xfId="0" applyBorder="1" applyAlignment="1">
      <alignment horizontal="center" vertical="center"/>
    </xf>
    <xf numFmtId="0" fontId="14" fillId="0" borderId="0" xfId="0" applyFont="1" applyAlignment="1">
      <alignment vertical="center"/>
    </xf>
    <xf numFmtId="0" fontId="0" fillId="0" borderId="0" xfId="0" applyBorder="1" applyAlignment="1">
      <alignment horizontal="center" vertical="center"/>
    </xf>
    <xf numFmtId="0" fontId="0" fillId="0" borderId="1" xfId="0" applyBorder="1" applyAlignment="1">
      <alignment horizontal="center" vertical="center"/>
    </xf>
    <xf numFmtId="2" fontId="3" fillId="0" borderId="0" xfId="0" applyNumberFormat="1" applyFont="1" applyAlignment="1">
      <alignment horizontal="center" vertical="center"/>
    </xf>
    <xf numFmtId="0" fontId="15" fillId="0" borderId="1" xfId="0" applyFont="1" applyFill="1" applyBorder="1" applyAlignment="1">
      <alignment horizontal="center" vertical="center" wrapText="1"/>
    </xf>
    <xf numFmtId="0" fontId="11" fillId="0" borderId="0" xfId="0" applyFont="1" applyAlignment="1">
      <alignment vertical="center"/>
    </xf>
    <xf numFmtId="0" fontId="17" fillId="0" borderId="0" xfId="0" applyFont="1" applyAlignment="1">
      <alignment vertical="center"/>
    </xf>
    <xf numFmtId="0" fontId="11" fillId="0" borderId="0" xfId="0" applyFont="1" applyAlignment="1">
      <alignment horizontal="center"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11" fillId="0" borderId="1" xfId="0" applyFont="1" applyBorder="1" applyAlignment="1">
      <alignment horizontal="center" vertical="center"/>
    </xf>
    <xf numFmtId="0" fontId="11" fillId="0" borderId="0" xfId="0" applyFont="1" applyBorder="1" applyAlignment="1">
      <alignment horizontal="center" vertical="center"/>
    </xf>
    <xf numFmtId="0" fontId="11" fillId="0" borderId="0" xfId="0" applyFont="1" applyFill="1" applyBorder="1" applyAlignment="1">
      <alignment horizontal="center" vertical="center"/>
    </xf>
    <xf numFmtId="0" fontId="7" fillId="0" borderId="0" xfId="0" applyFont="1" applyAlignment="1">
      <alignment vertical="center"/>
    </xf>
    <xf numFmtId="0" fontId="11" fillId="0" borderId="0" xfId="0" applyFont="1" applyFill="1" applyBorder="1" applyAlignment="1">
      <alignment vertical="center"/>
    </xf>
    <xf numFmtId="0" fontId="7" fillId="0" borderId="1" xfId="0" applyFont="1" applyBorder="1" applyAlignment="1">
      <alignment horizontal="center" vertical="center"/>
    </xf>
    <xf numFmtId="0" fontId="10" fillId="2" borderId="1" xfId="0" applyFont="1" applyFill="1" applyBorder="1" applyAlignment="1">
      <alignment horizontal="center" vertical="top"/>
    </xf>
    <xf numFmtId="0" fontId="10" fillId="2" borderId="1" xfId="0" applyFont="1" applyFill="1" applyBorder="1" applyAlignment="1">
      <alignment horizontal="center" vertical="top" wrapText="1"/>
    </xf>
    <xf numFmtId="0" fontId="19" fillId="0" borderId="1" xfId="0" applyFont="1" applyBorder="1" applyAlignment="1">
      <alignment horizontal="center" vertical="center"/>
    </xf>
    <xf numFmtId="0" fontId="19" fillId="0" borderId="1" xfId="0" applyFont="1" applyBorder="1" applyAlignment="1">
      <alignment vertical="center"/>
    </xf>
    <xf numFmtId="0" fontId="10" fillId="2" borderId="1" xfId="0" applyFont="1" applyFill="1" applyBorder="1" applyAlignment="1">
      <alignment horizontal="left" vertical="center" indent="9"/>
    </xf>
    <xf numFmtId="0" fontId="19" fillId="0" borderId="0" xfId="0" applyFont="1" applyAlignment="1">
      <alignment horizontal="center" vertical="center"/>
    </xf>
    <xf numFmtId="0" fontId="19" fillId="0" borderId="0" xfId="0" applyFont="1" applyAlignment="1">
      <alignment vertical="center"/>
    </xf>
    <xf numFmtId="0" fontId="19" fillId="0" borderId="12" xfId="0" applyFont="1" applyBorder="1" applyAlignment="1">
      <alignment horizontal="center" vertical="center"/>
    </xf>
    <xf numFmtId="0" fontId="10" fillId="5" borderId="13" xfId="0" applyFont="1" applyFill="1" applyBorder="1" applyAlignment="1">
      <alignment horizontal="center" vertical="center"/>
    </xf>
    <xf numFmtId="0" fontId="10" fillId="2" borderId="1" xfId="0" applyFont="1" applyFill="1" applyBorder="1" applyAlignment="1">
      <alignment horizontal="left" vertical="center" indent="8"/>
    </xf>
    <xf numFmtId="0" fontId="10" fillId="2" borderId="2" xfId="0" applyFont="1" applyFill="1" applyBorder="1" applyAlignment="1">
      <alignment horizontal="left" vertical="center" indent="8"/>
    </xf>
    <xf numFmtId="1" fontId="10" fillId="2" borderId="2" xfId="0" applyNumberFormat="1" applyFont="1" applyFill="1" applyBorder="1" applyAlignment="1">
      <alignment horizontal="left" vertical="center" indent="7"/>
    </xf>
    <xf numFmtId="0" fontId="10" fillId="2" borderId="4" xfId="0" applyFont="1" applyFill="1" applyBorder="1" applyAlignment="1">
      <alignment horizontal="left" vertical="center" indent="8"/>
    </xf>
    <xf numFmtId="0" fontId="10" fillId="2" borderId="2" xfId="0" applyFont="1" applyFill="1" applyBorder="1" applyAlignment="1">
      <alignment horizontal="left" vertical="center" indent="7"/>
    </xf>
    <xf numFmtId="1" fontId="10" fillId="0" borderId="1" xfId="0" quotePrefix="1" applyNumberFormat="1"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vertical="center"/>
    </xf>
    <xf numFmtId="2" fontId="10" fillId="0" borderId="1" xfId="0" applyNumberFormat="1" applyFont="1" applyBorder="1" applyAlignment="1">
      <alignment horizontal="center" vertical="center"/>
    </xf>
    <xf numFmtId="0" fontId="10" fillId="0" borderId="1" xfId="0" applyFont="1" applyBorder="1" applyAlignment="1">
      <alignment horizontal="right" vertical="center"/>
    </xf>
    <xf numFmtId="0" fontId="19" fillId="0" borderId="0" xfId="0" applyFont="1" applyFill="1" applyBorder="1" applyAlignment="1">
      <alignment horizontal="center" vertical="center"/>
    </xf>
    <xf numFmtId="0" fontId="19" fillId="0" borderId="0" xfId="0" applyFont="1" applyFill="1" applyBorder="1" applyAlignment="1">
      <alignment vertical="center"/>
    </xf>
    <xf numFmtId="0" fontId="10" fillId="0" borderId="0" xfId="0" applyFont="1" applyFill="1" applyBorder="1" applyAlignment="1">
      <alignment horizontal="center" vertical="center"/>
    </xf>
    <xf numFmtId="0" fontId="19" fillId="0" borderId="0" xfId="0" applyFont="1" applyBorder="1" applyAlignment="1">
      <alignment horizontal="center" vertical="center"/>
    </xf>
    <xf numFmtId="0" fontId="10" fillId="7" borderId="1" xfId="0" applyFont="1" applyFill="1" applyBorder="1" applyAlignment="1">
      <alignment horizontal="center" vertical="top"/>
    </xf>
    <xf numFmtId="0" fontId="10" fillId="7" borderId="1" xfId="0" applyFont="1" applyFill="1" applyBorder="1" applyAlignment="1">
      <alignment horizontal="center" vertical="top" wrapText="1"/>
    </xf>
    <xf numFmtId="0" fontId="19" fillId="3" borderId="1" xfId="0" applyFont="1" applyFill="1" applyBorder="1" applyAlignment="1">
      <alignment horizontal="center" vertical="center" wrapText="1"/>
    </xf>
    <xf numFmtId="0" fontId="19" fillId="3" borderId="1" xfId="0" applyFont="1" applyFill="1" applyBorder="1" applyAlignment="1">
      <alignment horizontal="center" vertical="center"/>
    </xf>
    <xf numFmtId="0" fontId="10" fillId="0" borderId="0" xfId="0" applyFont="1" applyAlignment="1">
      <alignment vertical="center"/>
    </xf>
    <xf numFmtId="0" fontId="19" fillId="0" borderId="1" xfId="0" applyFont="1" applyBorder="1" applyAlignment="1">
      <alignment horizontal="left" vertical="center"/>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0" borderId="0" xfId="0" applyAlignment="1">
      <alignment wrapText="1"/>
    </xf>
    <xf numFmtId="0" fontId="0" fillId="0" borderId="0" xfId="0" applyBorder="1"/>
    <xf numFmtId="1" fontId="22" fillId="0" borderId="0" xfId="0" applyNumberFormat="1" applyFont="1" applyFill="1" applyBorder="1" applyAlignment="1">
      <alignment vertical="center"/>
    </xf>
    <xf numFmtId="0" fontId="0" fillId="0" borderId="0" xfId="0" applyAlignment="1"/>
    <xf numFmtId="0" fontId="0" fillId="0" borderId="0" xfId="0" applyFill="1" applyBorder="1"/>
    <xf numFmtId="0" fontId="21" fillId="0" borderId="0" xfId="0" applyFont="1" applyFill="1" applyBorder="1" applyAlignment="1"/>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0" fillId="0" borderId="0" xfId="0" applyBorder="1" applyAlignment="1">
      <alignment vertical="center" wrapText="1"/>
    </xf>
    <xf numFmtId="0" fontId="1" fillId="0" borderId="0" xfId="0" applyFont="1" applyBorder="1" applyAlignment="1">
      <alignment horizontal="center" vertical="center" wrapText="1"/>
    </xf>
    <xf numFmtId="0" fontId="0" fillId="0" borderId="0" xfId="0"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center" vertical="center"/>
    </xf>
    <xf numFmtId="0" fontId="19" fillId="0" borderId="1" xfId="0" applyFont="1" applyBorder="1" applyAlignment="1">
      <alignment horizontal="center" vertical="center"/>
    </xf>
    <xf numFmtId="2" fontId="19" fillId="0" borderId="1" xfId="0" applyNumberFormat="1" applyFont="1" applyBorder="1" applyAlignment="1">
      <alignment horizontal="center" vertical="center"/>
    </xf>
    <xf numFmtId="0" fontId="11" fillId="0" borderId="0" xfId="0" applyFont="1" applyBorder="1" applyAlignment="1">
      <alignment horizontal="center" vertical="center" wrapText="1"/>
    </xf>
    <xf numFmtId="0" fontId="19" fillId="0" borderId="1" xfId="0" applyFont="1" applyFill="1" applyBorder="1" applyAlignment="1">
      <alignment horizontal="center" vertical="center" wrapText="1"/>
    </xf>
    <xf numFmtId="0" fontId="19" fillId="0" borderId="1" xfId="0" applyFont="1" applyBorder="1" applyAlignment="1">
      <alignment horizontal="center" vertical="center" wrapText="1"/>
    </xf>
    <xf numFmtId="20" fontId="19" fillId="0" borderId="1" xfId="0" applyNumberFormat="1" applyFont="1" applyBorder="1" applyAlignment="1">
      <alignment horizontal="center" vertical="center" wrapText="1"/>
    </xf>
    <xf numFmtId="1" fontId="0" fillId="0" borderId="0" xfId="0" applyNumberFormat="1"/>
    <xf numFmtId="1" fontId="10" fillId="0" borderId="3" xfId="0" quotePrefix="1" applyNumberFormat="1" applyFont="1" applyBorder="1" applyAlignment="1">
      <alignment horizontal="center" vertical="center"/>
    </xf>
    <xf numFmtId="0" fontId="19" fillId="0" borderId="2" xfId="0" applyFont="1" applyBorder="1" applyAlignment="1">
      <alignment horizontal="center" vertical="center"/>
    </xf>
    <xf numFmtId="0" fontId="19" fillId="0" borderId="1" xfId="0" applyFont="1" applyBorder="1" applyAlignment="1">
      <alignment horizontal="center" vertical="center"/>
    </xf>
    <xf numFmtId="0" fontId="19" fillId="0" borderId="14" xfId="0" applyFont="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0" borderId="1" xfId="0" applyFont="1" applyBorder="1" applyAlignment="1">
      <alignment horizontal="right" vertical="center"/>
    </xf>
    <xf numFmtId="0" fontId="1" fillId="0" borderId="1" xfId="0" applyFont="1" applyBorder="1" applyAlignment="1">
      <alignment vertical="center"/>
    </xf>
    <xf numFmtId="2" fontId="1" fillId="0" borderId="1" xfId="0" applyNumberFormat="1" applyFont="1" applyBorder="1" applyAlignment="1">
      <alignment horizontal="center" vertical="center"/>
    </xf>
    <xf numFmtId="0" fontId="10" fillId="0" borderId="1" xfId="0" applyFont="1" applyBorder="1" applyAlignment="1">
      <alignment vertical="center" wrapText="1"/>
    </xf>
    <xf numFmtId="0" fontId="19" fillId="0" borderId="0" xfId="0" applyFont="1" applyFill="1" applyBorder="1" applyAlignment="1">
      <alignment vertical="center" wrapText="1"/>
    </xf>
    <xf numFmtId="0" fontId="19" fillId="0" borderId="0" xfId="0" applyFont="1" applyAlignment="1">
      <alignment vertical="center" wrapText="1"/>
    </xf>
    <xf numFmtId="0" fontId="19" fillId="0" borderId="1" xfId="0" applyFont="1" applyBorder="1" applyAlignment="1">
      <alignment horizontal="left" vertical="center" wrapText="1"/>
    </xf>
    <xf numFmtId="0" fontId="19" fillId="0" borderId="1" xfId="0" applyFont="1" applyBorder="1" applyAlignment="1">
      <alignment vertical="center" wrapText="1"/>
    </xf>
    <xf numFmtId="1" fontId="10" fillId="2" borderId="2" xfId="0" applyNumberFormat="1" applyFont="1" applyFill="1" applyBorder="1" applyAlignment="1">
      <alignment horizontal="center" vertical="center"/>
    </xf>
    <xf numFmtId="0" fontId="10" fillId="2" borderId="4" xfId="0" applyFont="1" applyFill="1" applyBorder="1" applyAlignment="1">
      <alignment horizontal="center" vertical="center"/>
    </xf>
    <xf numFmtId="0" fontId="1" fillId="0" borderId="1" xfId="0" applyFont="1" applyFill="1" applyBorder="1" applyAlignment="1">
      <alignment horizontal="center" vertical="center"/>
    </xf>
    <xf numFmtId="1" fontId="0" fillId="0" borderId="1" xfId="0" applyNumberFormat="1" applyBorder="1" applyAlignment="1">
      <alignment horizontal="center" vertical="center"/>
    </xf>
    <xf numFmtId="0" fontId="0" fillId="0" borderId="1" xfId="0" applyFont="1" applyBorder="1" applyAlignment="1">
      <alignment horizontal="center" vertical="center"/>
    </xf>
    <xf numFmtId="0" fontId="1" fillId="0" borderId="1" xfId="0" applyFont="1" applyFill="1" applyBorder="1" applyAlignment="1">
      <alignment vertical="center"/>
    </xf>
    <xf numFmtId="0" fontId="0" fillId="0" borderId="0" xfId="0" pivotButton="1" applyAlignment="1"/>
    <xf numFmtId="0" fontId="1" fillId="0" borderId="0" xfId="0" applyFont="1" applyBorder="1" applyAlignment="1">
      <alignment vertical="center"/>
    </xf>
    <xf numFmtId="0" fontId="19" fillId="0" borderId="15" xfId="0" applyFont="1" applyBorder="1" applyAlignment="1">
      <alignment vertical="center"/>
    </xf>
    <xf numFmtId="0" fontId="10" fillId="7" borderId="1" xfId="0" applyFont="1" applyFill="1" applyBorder="1" applyAlignment="1">
      <alignment horizontal="center" vertical="center" wrapText="1"/>
    </xf>
    <xf numFmtId="0" fontId="0" fillId="0" borderId="1" xfId="0" applyBorder="1" applyAlignment="1">
      <alignment horizontal="left"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2" fontId="19" fillId="0" borderId="3" xfId="0" applyNumberFormat="1" applyFont="1" applyBorder="1" applyAlignment="1">
      <alignment horizontal="center" vertical="center"/>
    </xf>
    <xf numFmtId="2" fontId="19" fillId="0" borderId="4" xfId="0" applyNumberFormat="1" applyFont="1" applyBorder="1" applyAlignment="1">
      <alignment horizontal="center" vertical="center"/>
    </xf>
    <xf numFmtId="2" fontId="19" fillId="0" borderId="2" xfId="0" applyNumberFormat="1" applyFont="1" applyBorder="1" applyAlignment="1">
      <alignment horizontal="center" vertical="center"/>
    </xf>
    <xf numFmtId="0" fontId="19" fillId="0" borderId="1" xfId="0"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19" fillId="0" borderId="2" xfId="0" applyFont="1" applyBorder="1" applyAlignment="1">
      <alignment horizontal="center" vertical="center"/>
    </xf>
    <xf numFmtId="2" fontId="24" fillId="0" borderId="3" xfId="0" applyNumberFormat="1" applyFont="1" applyBorder="1" applyAlignment="1">
      <alignment horizontal="center"/>
    </xf>
    <xf numFmtId="2" fontId="24" fillId="0" borderId="4" xfId="0" applyNumberFormat="1" applyFont="1" applyBorder="1" applyAlignment="1">
      <alignment horizontal="center"/>
    </xf>
    <xf numFmtId="2" fontId="24" fillId="0" borderId="2" xfId="0" applyNumberFormat="1" applyFont="1" applyBorder="1" applyAlignment="1">
      <alignment horizontal="center"/>
    </xf>
    <xf numFmtId="0" fontId="1" fillId="0" borderId="1" xfId="0" applyFont="1" applyBorder="1" applyAlignment="1">
      <alignment horizontal="center" vertical="center"/>
    </xf>
    <xf numFmtId="0" fontId="21" fillId="8" borderId="5" xfId="0" applyFont="1" applyFill="1" applyBorder="1" applyAlignment="1">
      <alignment horizontal="center"/>
    </xf>
    <xf numFmtId="0" fontId="21" fillId="8" borderId="10" xfId="0" applyFont="1" applyFill="1" applyBorder="1" applyAlignment="1">
      <alignment horizontal="center"/>
    </xf>
    <xf numFmtId="0" fontId="21" fillId="8" borderId="11" xfId="0" applyFont="1" applyFill="1" applyBorder="1" applyAlignment="1">
      <alignment horizontal="center"/>
    </xf>
    <xf numFmtId="2" fontId="19" fillId="0" borderId="1" xfId="0" applyNumberFormat="1" applyFont="1" applyBorder="1" applyAlignment="1">
      <alignment horizontal="center" vertical="center"/>
    </xf>
    <xf numFmtId="0" fontId="11" fillId="0" borderId="1" xfId="0" applyFont="1" applyBorder="1" applyAlignment="1">
      <alignment horizontal="center"/>
    </xf>
    <xf numFmtId="1" fontId="22" fillId="2" borderId="5" xfId="0" applyNumberFormat="1" applyFont="1" applyFill="1" applyBorder="1" applyAlignment="1">
      <alignment horizontal="center" vertical="center"/>
    </xf>
    <xf numFmtId="1" fontId="22" fillId="2" borderId="10" xfId="0" applyNumberFormat="1" applyFont="1" applyFill="1" applyBorder="1" applyAlignment="1">
      <alignment horizontal="center" vertical="center"/>
    </xf>
    <xf numFmtId="1" fontId="22" fillId="2" borderId="11" xfId="0" applyNumberFormat="1" applyFont="1" applyFill="1" applyBorder="1" applyAlignment="1">
      <alignment horizontal="center" vertical="center"/>
    </xf>
    <xf numFmtId="0" fontId="10" fillId="0" borderId="5"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8" xfId="0" applyFont="1" applyBorder="1" applyAlignment="1">
      <alignment horizontal="center" vertical="center"/>
    </xf>
    <xf numFmtId="0" fontId="10" fillId="0" borderId="9" xfId="0" applyFont="1" applyBorder="1" applyAlignment="1">
      <alignment horizontal="center" vertical="center"/>
    </xf>
    <xf numFmtId="1" fontId="10" fillId="0" borderId="18" xfId="0" applyNumberFormat="1" applyFont="1" applyBorder="1" applyAlignment="1">
      <alignment horizontal="center" vertical="center"/>
    </xf>
    <xf numFmtId="1" fontId="10" fillId="0" borderId="9" xfId="0" applyNumberFormat="1" applyFont="1" applyBorder="1" applyAlignment="1">
      <alignment horizontal="center" vertical="center"/>
    </xf>
    <xf numFmtId="2" fontId="10" fillId="0" borderId="5" xfId="0" applyNumberFormat="1" applyFont="1" applyBorder="1" applyAlignment="1">
      <alignment horizontal="center" vertical="center"/>
    </xf>
    <xf numFmtId="2" fontId="10" fillId="0" borderId="10" xfId="0" applyNumberFormat="1" applyFont="1" applyBorder="1" applyAlignment="1">
      <alignment horizontal="center" vertical="center"/>
    </xf>
    <xf numFmtId="2" fontId="10" fillId="0" borderId="11" xfId="0" applyNumberFormat="1" applyFont="1" applyBorder="1" applyAlignment="1">
      <alignment horizontal="center" vertical="center"/>
    </xf>
    <xf numFmtId="0" fontId="19" fillId="0" borderId="14" xfId="0" applyFont="1" applyBorder="1" applyAlignment="1">
      <alignment horizontal="center" vertical="center"/>
    </xf>
    <xf numFmtId="0" fontId="19" fillId="0" borderId="15" xfId="0" applyFont="1" applyBorder="1" applyAlignment="1">
      <alignment horizontal="center" vertical="center"/>
    </xf>
    <xf numFmtId="2" fontId="10" fillId="0" borderId="5" xfId="0" applyNumberFormat="1" applyFont="1" applyBorder="1" applyAlignment="1">
      <alignment horizontal="left" vertical="center" indent="57"/>
    </xf>
    <xf numFmtId="2" fontId="10" fillId="0" borderId="10" xfId="0" applyNumberFormat="1" applyFont="1" applyBorder="1" applyAlignment="1">
      <alignment horizontal="left" vertical="center" indent="57"/>
    </xf>
    <xf numFmtId="2" fontId="10" fillId="0" borderId="11" xfId="0" applyNumberFormat="1" applyFont="1" applyBorder="1" applyAlignment="1">
      <alignment horizontal="left" vertical="center" indent="57"/>
    </xf>
    <xf numFmtId="0" fontId="10" fillId="2" borderId="1" xfId="0" applyFont="1" applyFill="1" applyBorder="1" applyAlignment="1">
      <alignment horizontal="center" vertical="center"/>
    </xf>
    <xf numFmtId="0" fontId="10" fillId="2" borderId="14" xfId="0" applyFont="1" applyFill="1" applyBorder="1" applyAlignment="1">
      <alignment horizontal="right" vertical="center"/>
    </xf>
    <xf numFmtId="0" fontId="10" fillId="2" borderId="15" xfId="0" applyFont="1" applyFill="1" applyBorder="1" applyAlignment="1">
      <alignment horizontal="right" vertical="center"/>
    </xf>
    <xf numFmtId="0" fontId="10" fillId="2" borderId="14" xfId="0" applyFont="1" applyFill="1" applyBorder="1" applyAlignment="1">
      <alignment horizontal="left" vertical="center" indent="14"/>
    </xf>
    <xf numFmtId="0" fontId="10" fillId="2" borderId="15" xfId="0" applyFont="1" applyFill="1" applyBorder="1" applyAlignment="1">
      <alignment horizontal="left" vertical="center" indent="14"/>
    </xf>
    <xf numFmtId="2" fontId="10" fillId="0" borderId="8" xfId="0" applyNumberFormat="1" applyFont="1" applyBorder="1" applyAlignment="1">
      <alignment horizontal="left" vertical="center" indent="58"/>
    </xf>
    <xf numFmtId="2" fontId="10" fillId="0" borderId="19" xfId="0" applyNumberFormat="1" applyFont="1" applyBorder="1" applyAlignment="1">
      <alignment horizontal="left" vertical="center" indent="57"/>
    </xf>
    <xf numFmtId="0" fontId="10" fillId="2" borderId="18" xfId="0" applyFont="1" applyFill="1" applyBorder="1" applyAlignment="1">
      <alignment horizontal="right" vertical="center"/>
    </xf>
    <xf numFmtId="0" fontId="10" fillId="2" borderId="9" xfId="0" applyFont="1" applyFill="1" applyBorder="1" applyAlignment="1">
      <alignment horizontal="right" vertical="center"/>
    </xf>
    <xf numFmtId="0" fontId="10" fillId="2" borderId="18" xfId="0" applyFont="1" applyFill="1" applyBorder="1" applyAlignment="1">
      <alignment horizontal="left" vertical="center" indent="15"/>
    </xf>
    <xf numFmtId="0" fontId="10" fillId="2" borderId="9" xfId="0" applyFont="1" applyFill="1" applyBorder="1" applyAlignment="1">
      <alignment horizontal="left" vertical="center" indent="15"/>
    </xf>
    <xf numFmtId="0" fontId="10" fillId="2" borderId="14" xfId="0" applyFont="1" applyFill="1" applyBorder="1" applyAlignment="1">
      <alignment horizontal="left" vertical="center" indent="15"/>
    </xf>
    <xf numFmtId="0" fontId="10" fillId="2" borderId="15" xfId="0" applyFont="1" applyFill="1" applyBorder="1" applyAlignment="1">
      <alignment horizontal="left" vertical="center" indent="15"/>
    </xf>
    <xf numFmtId="0" fontId="10" fillId="2" borderId="16" xfId="0" applyFont="1" applyFill="1" applyBorder="1" applyAlignment="1">
      <alignment horizontal="left" vertical="center" indent="15"/>
    </xf>
    <xf numFmtId="0" fontId="10" fillId="2" borderId="17" xfId="0" applyFont="1" applyFill="1" applyBorder="1" applyAlignment="1">
      <alignment horizontal="left" vertical="center" indent="15"/>
    </xf>
    <xf numFmtId="0" fontId="10" fillId="0" borderId="0" xfId="0" applyFont="1" applyAlignment="1">
      <alignment horizontal="left" vertical="center" indent="59"/>
    </xf>
    <xf numFmtId="2" fontId="10" fillId="0" borderId="8" xfId="0" applyNumberFormat="1" applyFont="1" applyBorder="1" applyAlignment="1">
      <alignment horizontal="left" vertical="center" indent="60"/>
    </xf>
    <xf numFmtId="0" fontId="10" fillId="2" borderId="1" xfId="0" applyFont="1" applyFill="1" applyBorder="1" applyAlignment="1">
      <alignment horizontal="right" vertical="center"/>
    </xf>
    <xf numFmtId="0" fontId="10" fillId="2" borderId="1" xfId="0" applyFont="1" applyFill="1" applyBorder="1" applyAlignment="1">
      <alignment horizontal="left" vertical="center" indent="15"/>
    </xf>
    <xf numFmtId="2" fontId="10" fillId="0" borderId="8" xfId="0" applyNumberFormat="1" applyFont="1" applyFill="1" applyBorder="1" applyAlignment="1">
      <alignment horizontal="left" vertical="center" indent="60"/>
    </xf>
    <xf numFmtId="0" fontId="10" fillId="2" borderId="16" xfId="0" applyFont="1" applyFill="1" applyBorder="1" applyAlignment="1">
      <alignment horizontal="left" vertical="center" indent="16"/>
    </xf>
    <xf numFmtId="0" fontId="10" fillId="2" borderId="17" xfId="0" applyFont="1" applyFill="1" applyBorder="1" applyAlignment="1">
      <alignment horizontal="left" vertical="center" indent="16"/>
    </xf>
    <xf numFmtId="2" fontId="10" fillId="0" borderId="5" xfId="0" applyNumberFormat="1" applyFont="1" applyBorder="1" applyAlignment="1">
      <alignment horizontal="left" vertical="center" indent="60"/>
    </xf>
    <xf numFmtId="2" fontId="10" fillId="0" borderId="10" xfId="0" applyNumberFormat="1" applyFont="1" applyBorder="1" applyAlignment="1">
      <alignment horizontal="left" vertical="center" indent="60"/>
    </xf>
    <xf numFmtId="2" fontId="10" fillId="0" borderId="11" xfId="0" applyNumberFormat="1" applyFont="1" applyBorder="1" applyAlignment="1">
      <alignment horizontal="left" vertical="center" indent="60"/>
    </xf>
    <xf numFmtId="0" fontId="10" fillId="2" borderId="2" xfId="0" applyFont="1" applyFill="1" applyBorder="1" applyAlignment="1">
      <alignment horizontal="center" vertical="center"/>
    </xf>
    <xf numFmtId="0" fontId="10" fillId="0" borderId="1" xfId="0" applyFont="1" applyBorder="1" applyAlignment="1">
      <alignment horizontal="right" vertical="center"/>
    </xf>
    <xf numFmtId="2" fontId="10" fillId="0" borderId="5" xfId="0" applyNumberFormat="1" applyFont="1" applyBorder="1" applyAlignment="1">
      <alignment horizontal="left" vertical="center" indent="61"/>
    </xf>
    <xf numFmtId="2" fontId="10" fillId="0" borderId="10" xfId="0" applyNumberFormat="1" applyFont="1" applyBorder="1" applyAlignment="1">
      <alignment horizontal="left" vertical="center" indent="61"/>
    </xf>
    <xf numFmtId="2" fontId="10" fillId="0" borderId="11" xfId="0" applyNumberFormat="1" applyFont="1" applyBorder="1" applyAlignment="1">
      <alignment horizontal="left" vertical="center" indent="61"/>
    </xf>
    <xf numFmtId="0" fontId="10" fillId="0" borderId="5" xfId="0" applyFont="1" applyBorder="1" applyAlignment="1">
      <alignment horizontal="left" vertical="center" indent="50"/>
    </xf>
    <xf numFmtId="0" fontId="10" fillId="0" borderId="10" xfId="0" applyFont="1" applyBorder="1" applyAlignment="1">
      <alignment horizontal="left" vertical="center" indent="50"/>
    </xf>
    <xf numFmtId="0" fontId="10" fillId="0" borderId="11" xfId="0" applyFont="1" applyBorder="1" applyAlignment="1">
      <alignment horizontal="left" vertical="center" indent="50"/>
    </xf>
    <xf numFmtId="0" fontId="20" fillId="6" borderId="1" xfId="0" applyFont="1" applyFill="1" applyBorder="1" applyAlignment="1">
      <alignment horizontal="center" vertical="center"/>
    </xf>
    <xf numFmtId="0" fontId="10" fillId="0" borderId="0" xfId="0" applyFont="1" applyAlignment="1">
      <alignment horizontal="left" vertical="center"/>
    </xf>
    <xf numFmtId="0" fontId="10" fillId="0" borderId="7" xfId="0" applyFont="1" applyBorder="1" applyAlignment="1">
      <alignment horizontal="left" vertical="center"/>
    </xf>
    <xf numFmtId="0" fontId="10" fillId="0" borderId="0" xfId="0" applyFont="1" applyAlignment="1">
      <alignment horizontal="center" vertical="center"/>
    </xf>
    <xf numFmtId="0" fontId="10" fillId="2" borderId="14" xfId="0" applyFont="1" applyFill="1" applyBorder="1" applyAlignment="1">
      <alignment horizontal="center" vertical="top" wrapText="1"/>
    </xf>
    <xf numFmtId="0" fontId="10" fillId="2" borderId="15" xfId="0" applyFont="1" applyFill="1" applyBorder="1" applyAlignment="1">
      <alignment horizontal="center" vertical="top" wrapText="1"/>
    </xf>
    <xf numFmtId="0" fontId="23" fillId="6" borderId="1" xfId="0" applyFont="1" applyFill="1" applyBorder="1" applyAlignment="1">
      <alignment horizontal="center" vertic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3" fillId="4" borderId="1" xfId="0" applyFont="1" applyFill="1" applyBorder="1" applyAlignment="1">
      <alignment horizontal="center" vertical="center"/>
    </xf>
    <xf numFmtId="0" fontId="21" fillId="8" borderId="5" xfId="0" applyFont="1" applyFill="1" applyBorder="1" applyAlignment="1">
      <alignment horizontal="center" vertical="center"/>
    </xf>
    <xf numFmtId="0" fontId="21" fillId="8" borderId="10" xfId="0" applyFont="1" applyFill="1" applyBorder="1" applyAlignment="1">
      <alignment horizontal="center" vertical="center"/>
    </xf>
    <xf numFmtId="0" fontId="21" fillId="8" borderId="11" xfId="0" applyFont="1" applyFill="1" applyBorder="1" applyAlignment="1">
      <alignment horizontal="center" vertical="center"/>
    </xf>
    <xf numFmtId="2" fontId="0" fillId="0" borderId="1" xfId="0" applyNumberFormat="1" applyBorder="1" applyAlignment="1">
      <alignment horizontal="center" vertical="center"/>
    </xf>
    <xf numFmtId="0" fontId="0" fillId="0" borderId="1" xfId="0"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xf>
    <xf numFmtId="2" fontId="1" fillId="0" borderId="1" xfId="0" applyNumberFormat="1"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1" fontId="10" fillId="0" borderId="14" xfId="0" applyNumberFormat="1" applyFont="1" applyBorder="1" applyAlignment="1">
      <alignment horizontal="center" vertical="center"/>
    </xf>
    <xf numFmtId="1" fontId="10" fillId="0" borderId="15" xfId="0" applyNumberFormat="1" applyFont="1" applyBorder="1" applyAlignment="1">
      <alignment horizontal="center" vertical="center"/>
    </xf>
    <xf numFmtId="2" fontId="10" fillId="0" borderId="14" xfId="0" applyNumberFormat="1" applyFont="1" applyBorder="1" applyAlignment="1">
      <alignment horizontal="center" vertical="center"/>
    </xf>
    <xf numFmtId="2" fontId="10" fillId="0" borderId="19" xfId="0" applyNumberFormat="1" applyFont="1" applyBorder="1" applyAlignment="1">
      <alignment horizontal="center" vertical="center"/>
    </xf>
    <xf numFmtId="2" fontId="10" fillId="0" borderId="15" xfId="0" applyNumberFormat="1" applyFont="1" applyBorder="1" applyAlignment="1">
      <alignment horizontal="center" vertical="center"/>
    </xf>
    <xf numFmtId="0" fontId="18" fillId="6" borderId="1" xfId="0" applyFont="1" applyFill="1" applyBorder="1" applyAlignment="1">
      <alignment horizontal="center" vertical="center"/>
    </xf>
    <xf numFmtId="2" fontId="10" fillId="0" borderId="8" xfId="0" applyNumberFormat="1" applyFont="1" applyFill="1" applyBorder="1" applyAlignment="1">
      <alignment horizontal="center" vertical="center"/>
    </xf>
    <xf numFmtId="2" fontId="10" fillId="0" borderId="8" xfId="0" applyNumberFormat="1" applyFont="1" applyBorder="1" applyAlignment="1">
      <alignment horizontal="center" vertical="center"/>
    </xf>
    <xf numFmtId="2" fontId="10" fillId="0" borderId="0" xfId="0" applyNumberFormat="1" applyFont="1" applyAlignment="1">
      <alignment horizontal="center" vertical="center"/>
    </xf>
    <xf numFmtId="2" fontId="1" fillId="0" borderId="0" xfId="0" applyNumberFormat="1" applyFont="1" applyBorder="1" applyAlignment="1">
      <alignment horizontal="center" vertical="center"/>
    </xf>
    <xf numFmtId="0" fontId="0" fillId="0" borderId="1" xfId="0" applyBorder="1" applyAlignment="1">
      <alignment horizontal="center"/>
    </xf>
    <xf numFmtId="0" fontId="25" fillId="0" borderId="8" xfId="0" applyFont="1" applyBorder="1" applyAlignment="1">
      <alignment horizontal="center" vertical="center"/>
    </xf>
    <xf numFmtId="0" fontId="10" fillId="2" borderId="14" xfId="0" applyFont="1" applyFill="1" applyBorder="1" applyAlignment="1">
      <alignment horizontal="right" vertical="center" indent="18"/>
    </xf>
    <xf numFmtId="0" fontId="10" fillId="2" borderId="15" xfId="0" applyFont="1" applyFill="1" applyBorder="1" applyAlignment="1">
      <alignment horizontal="right" vertical="center" indent="18"/>
    </xf>
    <xf numFmtId="0" fontId="10" fillId="0" borderId="8" xfId="0" applyFont="1" applyBorder="1" applyAlignment="1">
      <alignment horizontal="center" vertical="center"/>
    </xf>
    <xf numFmtId="0" fontId="6" fillId="0" borderId="7" xfId="0" applyFont="1" applyBorder="1" applyAlignment="1">
      <alignment horizontal="left" vertical="center"/>
    </xf>
    <xf numFmtId="0" fontId="6" fillId="0" borderId="0" xfId="0" applyFont="1" applyAlignment="1">
      <alignment horizontal="center" vertical="center"/>
    </xf>
    <xf numFmtId="0" fontId="16" fillId="6" borderId="1" xfId="0" applyFont="1" applyFill="1" applyBorder="1" applyAlignment="1">
      <alignment horizontal="center" vertical="center"/>
    </xf>
    <xf numFmtId="0" fontId="6" fillId="0" borderId="0" xfId="0" applyFont="1" applyAlignment="1">
      <alignment horizontal="left"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13" fillId="6" borderId="1" xfId="0" applyFont="1" applyFill="1" applyBorder="1" applyAlignment="1">
      <alignment horizontal="center" vertical="center"/>
    </xf>
    <xf numFmtId="0" fontId="12" fillId="0" borderId="0" xfId="0" applyFont="1" applyAlignment="1">
      <alignment horizontal="left" vertical="center"/>
    </xf>
    <xf numFmtId="0" fontId="12" fillId="0" borderId="7" xfId="0" applyFont="1" applyBorder="1" applyAlignment="1">
      <alignment horizontal="left" vertical="center"/>
    </xf>
    <xf numFmtId="0" fontId="12" fillId="0" borderId="0" xfId="0" applyFont="1" applyAlignment="1">
      <alignment horizontal="center" vertical="center"/>
    </xf>
  </cellXfs>
  <cellStyles count="1">
    <cellStyle name="Normal" xfId="0" builtinId="0"/>
  </cellStyles>
  <dxfs count="93">
    <dxf>
      <alignment wrapText="0" readingOrder="0"/>
    </dxf>
    <dxf>
      <alignment wrapText="0" readingOrder="0"/>
    </dxf>
    <dxf>
      <alignment wrapText="0"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1" readingOrder="0"/>
    </dxf>
    <dxf>
      <alignment wrapText="1"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0" readingOrder="0"/>
    </dxf>
    <dxf>
      <alignment wrapText="0" readingOrder="0"/>
    </dxf>
    <dxf>
      <alignment wrapText="1" readingOrder="0"/>
    </dxf>
    <dxf>
      <alignment wrapText="1" readingOrder="0"/>
    </dxf>
    <dxf>
      <numFmt numFmtId="2" formatCode="0.00"/>
    </dxf>
    <dxf>
      <numFmt numFmtId="2" formatCode="0.00"/>
    </dxf>
    <dxf>
      <numFmt numFmtId="2" formatCode="0.00"/>
    </dxf>
    <dxf>
      <alignment wrapText="0"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1" readingOrder="0"/>
    </dxf>
    <dxf>
      <alignment wrapText="1" readingOrder="0"/>
    </dxf>
    <dxf>
      <alignment wrapText="0" readingOrder="0"/>
    </dxf>
    <dxf>
      <alignment wrapText="0" readingOrder="0"/>
    </dxf>
    <dxf>
      <alignment wrapText="0" readingOrder="0"/>
    </dxf>
    <dxf>
      <alignment wrapText="1" readingOrder="0"/>
    </dxf>
    <dxf>
      <alignment wrapText="1" readingOrder="0"/>
    </dxf>
    <dxf>
      <alignment wrapText="1" readingOrder="0"/>
    </dxf>
    <dxf>
      <numFmt numFmtId="2" formatCode="0.00"/>
    </dxf>
    <dxf>
      <numFmt numFmtId="164" formatCode="0.00000000"/>
    </dxf>
    <dxf>
      <alignment wrapText="0" readingOrder="0"/>
    </dxf>
    <dxf>
      <alignment wrapText="0" readingOrder="0"/>
    </dxf>
    <dxf>
      <alignment wrapText="0" readingOrder="0"/>
    </dxf>
    <dxf>
      <alignment wrapText="1" readingOrder="0"/>
    </dxf>
    <dxf>
      <alignment wrapText="1" readingOrder="0"/>
    </dxf>
    <dxf>
      <alignment wrapText="1" readingOrder="0"/>
    </dxf>
    <dxf>
      <numFmt numFmtId="2" formatCode="0.00"/>
    </dxf>
    <dxf>
      <alignment wrapText="0" readingOrder="0"/>
    </dxf>
    <dxf>
      <alignment wrapText="0" readingOrder="0"/>
    </dxf>
    <dxf>
      <alignment wrapText="0" readingOrder="0"/>
    </dxf>
    <dxf>
      <alignment wrapText="1" readingOrder="0"/>
    </dxf>
    <dxf>
      <alignment wrapText="1" readingOrder="0"/>
    </dxf>
    <dxf>
      <alignment wrapText="1" readingOrder="0"/>
    </dxf>
    <dxf>
      <numFmt numFmtId="2" formatCode="0.00"/>
    </dxf>
    <dxf>
      <numFmt numFmtId="1" formatCode="0"/>
    </dxf>
    <dxf>
      <numFmt numFmtId="165" formatCode="0.0"/>
    </dxf>
    <dxf>
      <numFmt numFmtId="2" formatCode="0.00"/>
    </dxf>
    <dxf>
      <numFmt numFmtId="165" formatCode="0.0"/>
    </dxf>
    <dxf>
      <alignment wrapText="0" readingOrder="0"/>
    </dxf>
    <dxf>
      <alignment wrapText="0"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AUTONOMUS 09-09-2022 (2) (Recovered).xlsx]Autonomous 107m!PivotTable4</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Criteria Wise Grade Points(0-4)</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'Autonomous 107m'!$G$121</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'Autonomous 107m'!$F$122:$F$129</c:f>
              <c:strCache>
                <c:ptCount val="7"/>
                <c:pt idx="0">
                  <c:v>1. Curricular Aspects</c:v>
                </c:pt>
                <c:pt idx="1">
                  <c:v>2. Teaching-Learning and Evaluation</c:v>
                </c:pt>
                <c:pt idx="2">
                  <c:v>3. Research, Innovations and Extension</c:v>
                </c:pt>
                <c:pt idx="3">
                  <c:v>4. Infrastructure and Learning Resources</c:v>
                </c:pt>
                <c:pt idx="4">
                  <c:v>5. Student Support and Progression</c:v>
                </c:pt>
                <c:pt idx="5">
                  <c:v>6. Governance, Leadership and Management</c:v>
                </c:pt>
                <c:pt idx="6">
                  <c:v>7. Institutional Values and Best Practices</c:v>
                </c:pt>
              </c:strCache>
            </c:strRef>
          </c:cat>
          <c:val>
            <c:numRef>
              <c:f>'Autonomous 107m'!$G$122:$G$129</c:f>
              <c:numCache>
                <c:formatCode>General</c:formatCode>
                <c:ptCount val="7"/>
                <c:pt idx="0">
                  <c:v>2.5555555555555554</c:v>
                </c:pt>
                <c:pt idx="1">
                  <c:v>1.5454545454545454</c:v>
                </c:pt>
                <c:pt idx="2">
                  <c:v>0.8</c:v>
                </c:pt>
                <c:pt idx="3">
                  <c:v>1</c:v>
                </c:pt>
                <c:pt idx="4">
                  <c:v>1.4545454545454546</c:v>
                </c:pt>
                <c:pt idx="5">
                  <c:v>2</c:v>
                </c:pt>
                <c:pt idx="6">
                  <c:v>3</c:v>
                </c:pt>
              </c:numCache>
            </c:numRef>
          </c:val>
          <c:extLst>
            <c:ext xmlns:c16="http://schemas.microsoft.com/office/drawing/2014/chart" uri="{C3380CC4-5D6E-409C-BE32-E72D297353CC}">
              <c16:uniqueId val="{00000002-5BF4-4A2E-8642-651BDCD321E3}"/>
            </c:ext>
          </c:extLst>
        </c:ser>
        <c:dLbls>
          <c:showLegendKey val="0"/>
          <c:showVal val="0"/>
          <c:showCatName val="0"/>
          <c:showSerName val="0"/>
          <c:showPercent val="0"/>
          <c:showBubbleSize val="0"/>
        </c:dLbls>
        <c:gapWidth val="219"/>
        <c:overlap val="-27"/>
        <c:axId val="504057520"/>
        <c:axId val="504055024"/>
      </c:barChart>
      <c:catAx>
        <c:axId val="50405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04055024"/>
        <c:crosses val="autoZero"/>
        <c:auto val="1"/>
        <c:lblAlgn val="ctr"/>
        <c:lblOffset val="100"/>
        <c:noMultiLvlLbl val="0"/>
      </c:catAx>
      <c:valAx>
        <c:axId val="50405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04057520"/>
        <c:crosses val="autoZero"/>
        <c:crossBetween val="between"/>
      </c:valAx>
      <c:spPr>
        <a:noFill/>
        <a:ln>
          <a:noFill/>
        </a:ln>
        <a:effectLst/>
      </c:spPr>
    </c:plotArea>
    <c:legend>
      <c:legendPos val="b"/>
      <c:layout>
        <c:manualLayout>
          <c:xMode val="edge"/>
          <c:yMode val="edge"/>
          <c:x val="0.46279640751472051"/>
          <c:y val="0.9015323811267778"/>
          <c:w val="7.864735786592611E-2"/>
          <c:h val="6.440059818104132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AUTONOMUS 09-09-2022 (2) (Recovered).xlsx]Autonomous 107m!PivotTable5</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rgbClr val="FF0000"/>
                </a:solidFill>
              </a:rPr>
              <a:t>Key Indicator Wise Grade Points(0-4)</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'Autonomous 107m'!$G$142</c:f>
              <c:strCache>
                <c:ptCount val="1"/>
                <c:pt idx="0">
                  <c:v>Total</c:v>
                </c:pt>
              </c:strCache>
            </c:strRef>
          </c:tx>
          <c:spPr>
            <a:solidFill>
              <a:schemeClr val="accent1"/>
            </a:solidFill>
            <a:ln>
              <a:noFill/>
            </a:ln>
            <a:effectLst/>
          </c:spPr>
          <c:invertIfNegative val="0"/>
          <c:dLbls>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'Autonomous 107m'!$F$143:$F$177</c:f>
              <c:strCache>
                <c:ptCount val="34"/>
                <c:pt idx="0">
                  <c:v>1.1 Curriculum Planning and Implementation</c:v>
                </c:pt>
                <c:pt idx="1">
                  <c:v>1.2 Academic Flexibility</c:v>
                </c:pt>
                <c:pt idx="2">
                  <c:v>1.3 Curriculum Enrichment</c:v>
                </c:pt>
                <c:pt idx="3">
                  <c:v>1.4 Feedback System</c:v>
                </c:pt>
                <c:pt idx="4">
                  <c:v>2.1 Student Enrolment and Profile</c:v>
                </c:pt>
                <c:pt idx="5">
                  <c:v>2.2 Catering to Student Diversity</c:v>
                </c:pt>
                <c:pt idx="6">
                  <c:v>2.3 Teaching-Learning Process</c:v>
                </c:pt>
                <c:pt idx="7">
                  <c:v>2.4 Teacher Profile and Quality</c:v>
                </c:pt>
                <c:pt idx="8">
                  <c:v>2.5 Evaluation Process and Reforms</c:v>
                </c:pt>
                <c:pt idx="9">
                  <c:v>2.6 Student Performance and Learning Outcomes</c:v>
                </c:pt>
                <c:pt idx="10">
                  <c:v>2.7 Student Satisfaction Survey</c:v>
                </c:pt>
                <c:pt idx="11">
                  <c:v>3.1 Promotion of Research and Facilities</c:v>
                </c:pt>
                <c:pt idx="12">
                  <c:v>3.2 Resource Mobilization for Research</c:v>
                </c:pt>
                <c:pt idx="13">
                  <c:v>3.3 Innovation Ecosystem</c:v>
                </c:pt>
                <c:pt idx="14">
                  <c:v>3.4 Research Publications and Awards</c:v>
                </c:pt>
                <c:pt idx="15">
                  <c:v>3.5 Consultancy</c:v>
                </c:pt>
                <c:pt idx="16">
                  <c:v>3.6 Extension Activities</c:v>
                </c:pt>
                <c:pt idx="17">
                  <c:v>3.7 Collaboration</c:v>
                </c:pt>
                <c:pt idx="18">
                  <c:v>4.1 Physical Facilities</c:v>
                </c:pt>
                <c:pt idx="19">
                  <c:v>4.2 Library as a Learning Resource</c:v>
                </c:pt>
                <c:pt idx="20">
                  <c:v>4.3 IT Infrastructure</c:v>
                </c:pt>
                <c:pt idx="21">
                  <c:v>4.4 Maintenance of Campus Infrastructure</c:v>
                </c:pt>
                <c:pt idx="22">
                  <c:v>5.1 Student Support</c:v>
                </c:pt>
                <c:pt idx="23">
                  <c:v>5.2 Student Progression</c:v>
                </c:pt>
                <c:pt idx="24">
                  <c:v>5.3 Student Participation and Activities</c:v>
                </c:pt>
                <c:pt idx="25">
                  <c:v>5.4 Alumni Engagement</c:v>
                </c:pt>
                <c:pt idx="26">
                  <c:v>6.1 Institutional Vision and Leadership</c:v>
                </c:pt>
                <c:pt idx="27">
                  <c:v>6.2 Strategy Development and Deployment</c:v>
                </c:pt>
                <c:pt idx="28">
                  <c:v>6.3 Faculty Empowerment Strategies</c:v>
                </c:pt>
                <c:pt idx="29">
                  <c:v>6.4 Financial Management and Resource Mobilization</c:v>
                </c:pt>
                <c:pt idx="30">
                  <c:v>6.5 Internal Quality Assurance System (IQAS)</c:v>
                </c:pt>
                <c:pt idx="31">
                  <c:v>7.1 Institutional Values and Social Responsibilities</c:v>
                </c:pt>
                <c:pt idx="32">
                  <c:v>7.2 Best Practices</c:v>
                </c:pt>
                <c:pt idx="33">
                  <c:v>7.3 Institutional Distinctiveness</c:v>
                </c:pt>
              </c:strCache>
            </c:strRef>
          </c:cat>
          <c:val>
            <c:numRef>
              <c:f>'Autonomous 107m'!$G$143:$G$177</c:f>
              <c:numCache>
                <c:formatCode>0.00</c:formatCode>
                <c:ptCount val="34"/>
                <c:pt idx="0">
                  <c:v>4</c:v>
                </c:pt>
                <c:pt idx="1">
                  <c:v>2.5</c:v>
                </c:pt>
                <c:pt idx="2">
                  <c:v>1.6666666666666667</c:v>
                </c:pt>
                <c:pt idx="3">
                  <c:v>2.5</c:v>
                </c:pt>
                <c:pt idx="4">
                  <c:v>4</c:v>
                </c:pt>
                <c:pt idx="5">
                  <c:v>0</c:v>
                </c:pt>
                <c:pt idx="6">
                  <c:v>0</c:v>
                </c:pt>
                <c:pt idx="7">
                  <c:v>1.3333333333333333</c:v>
                </c:pt>
                <c:pt idx="8">
                  <c:v>0.5</c:v>
                </c:pt>
                <c:pt idx="9">
                  <c:v>4</c:v>
                </c:pt>
                <c:pt idx="10">
                  <c:v>0</c:v>
                </c:pt>
                <c:pt idx="11">
                  <c:v>0</c:v>
                </c:pt>
                <c:pt idx="12">
                  <c:v>1.5</c:v>
                </c:pt>
                <c:pt idx="13">
                  <c:v>2</c:v>
                </c:pt>
                <c:pt idx="14">
                  <c:v>0.33333333333333331</c:v>
                </c:pt>
                <c:pt idx="15">
                  <c:v>0</c:v>
                </c:pt>
                <c:pt idx="16">
                  <c:v>1.3333333333333333</c:v>
                </c:pt>
                <c:pt idx="17">
                  <c:v>1</c:v>
                </c:pt>
                <c:pt idx="18">
                  <c:v>0</c:v>
                </c:pt>
                <c:pt idx="19">
                  <c:v>1.3333333333333333</c:v>
                </c:pt>
                <c:pt idx="20">
                  <c:v>1.6666666666666667</c:v>
                </c:pt>
                <c:pt idx="21">
                  <c:v>0</c:v>
                </c:pt>
                <c:pt idx="22">
                  <c:v>1.2</c:v>
                </c:pt>
                <c:pt idx="23">
                  <c:v>1.3333333333333333</c:v>
                </c:pt>
                <c:pt idx="24">
                  <c:v>1</c:v>
                </c:pt>
                <c:pt idx="25">
                  <c:v>4</c:v>
                </c:pt>
                <c:pt idx="27">
                  <c:v>3</c:v>
                </c:pt>
                <c:pt idx="28">
                  <c:v>1.6666666666666667</c:v>
                </c:pt>
                <c:pt idx="29">
                  <c:v>0</c:v>
                </c:pt>
                <c:pt idx="30">
                  <c:v>4</c:v>
                </c:pt>
                <c:pt idx="31">
                  <c:v>3</c:v>
                </c:pt>
              </c:numCache>
            </c:numRef>
          </c:val>
          <c:extLst>
            <c:ext xmlns:c16="http://schemas.microsoft.com/office/drawing/2014/chart" uri="{C3380CC4-5D6E-409C-BE32-E72D297353CC}">
              <c16:uniqueId val="{00000000-FC85-408A-9FF9-B7388071D4A9}"/>
            </c:ext>
          </c:extLst>
        </c:ser>
        <c:dLbls>
          <c:showLegendKey val="0"/>
          <c:showVal val="0"/>
          <c:showCatName val="0"/>
          <c:showSerName val="0"/>
          <c:showPercent val="0"/>
          <c:showBubbleSize val="0"/>
        </c:dLbls>
        <c:gapWidth val="219"/>
        <c:overlap val="-27"/>
        <c:axId val="597878688"/>
        <c:axId val="597884096"/>
      </c:barChart>
      <c:catAx>
        <c:axId val="59787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7884096"/>
        <c:crosses val="autoZero"/>
        <c:auto val="1"/>
        <c:lblAlgn val="ctr"/>
        <c:lblOffset val="100"/>
        <c:noMultiLvlLbl val="0"/>
      </c:catAx>
      <c:valAx>
        <c:axId val="597884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7878688"/>
        <c:crosses val="autoZero"/>
        <c:crossBetween val="between"/>
      </c:valAx>
      <c:spPr>
        <a:noFill/>
        <a:ln>
          <a:noFill/>
        </a:ln>
        <a:effectLst/>
      </c:spPr>
    </c:plotArea>
    <c:legend>
      <c:legendPos val="b"/>
      <c:layout>
        <c:manualLayout>
          <c:xMode val="edge"/>
          <c:yMode val="edge"/>
          <c:x val="0.46059187110281735"/>
          <c:y val="0.88238589967920678"/>
          <c:w val="7.7586651055782802E-2"/>
          <c:h val="5.35116217205223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AUTONOMUS 09-09-2022 (2) (Recovered).xlsx]Autonomous 107m!PivotTable6</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QnM/QlM Wise Grade Points(0-4)</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'Autonomous 107m'!$G$178</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'Autonomous 107m'!$F$179:$F$181</c:f>
              <c:strCache>
                <c:ptCount val="2"/>
                <c:pt idx="0">
                  <c:v>QlM</c:v>
                </c:pt>
                <c:pt idx="1">
                  <c:v>QnM</c:v>
                </c:pt>
              </c:strCache>
            </c:strRef>
          </c:cat>
          <c:val>
            <c:numRef>
              <c:f>'Autonomous 107m'!$G$179:$G$181</c:f>
              <c:numCache>
                <c:formatCode>General</c:formatCode>
                <c:ptCount val="2"/>
                <c:pt idx="0">
                  <c:v>0</c:v>
                </c:pt>
                <c:pt idx="1">
                  <c:v>1.9705882352941178</c:v>
                </c:pt>
              </c:numCache>
            </c:numRef>
          </c:val>
          <c:extLst>
            <c:ext xmlns:c16="http://schemas.microsoft.com/office/drawing/2014/chart" uri="{C3380CC4-5D6E-409C-BE32-E72D297353CC}">
              <c16:uniqueId val="{00000000-DE40-45AE-B6A2-CB2F7F50B448}"/>
            </c:ext>
          </c:extLst>
        </c:ser>
        <c:dLbls>
          <c:showLegendKey val="0"/>
          <c:showVal val="0"/>
          <c:showCatName val="0"/>
          <c:showSerName val="0"/>
          <c:showPercent val="0"/>
          <c:showBubbleSize val="0"/>
        </c:dLbls>
        <c:gapWidth val="219"/>
        <c:overlap val="-27"/>
        <c:axId val="660644240"/>
        <c:axId val="660639664"/>
      </c:barChart>
      <c:catAx>
        <c:axId val="66064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60639664"/>
        <c:crosses val="autoZero"/>
        <c:auto val="1"/>
        <c:lblAlgn val="ctr"/>
        <c:lblOffset val="100"/>
        <c:noMultiLvlLbl val="0"/>
      </c:catAx>
      <c:valAx>
        <c:axId val="66063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6064424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AUTONOMUS 09-09-2022 (2) (Recovered).xlsx]Autonomous 107m!PivotTable7</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Each Metric Wise Grade Points(0-4)</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'Autonomous 107m'!$G$184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'Autonomous 107m'!$F$185:$F$292</c:f>
              <c:strCache>
                <c:ptCount val="107"/>
                <c:pt idx="0">
                  <c:v>1.1.1</c:v>
                </c:pt>
                <c:pt idx="1">
                  <c:v>1.1.2</c:v>
                </c:pt>
                <c:pt idx="2">
                  <c:v>1.1.3</c:v>
                </c:pt>
                <c:pt idx="3">
                  <c:v>1.2.1</c:v>
                </c:pt>
                <c:pt idx="4">
                  <c:v>1.2.2</c:v>
                </c:pt>
                <c:pt idx="5">
                  <c:v>1.3.1</c:v>
                </c:pt>
                <c:pt idx="6">
                  <c:v>1.3.2</c:v>
                </c:pt>
                <c:pt idx="7">
                  <c:v>1.3.3</c:v>
                </c:pt>
                <c:pt idx="8">
                  <c:v>1.3.4</c:v>
                </c:pt>
                <c:pt idx="9">
                  <c:v>1.4.1</c:v>
                </c:pt>
                <c:pt idx="10">
                  <c:v>1.4.2</c:v>
                </c:pt>
                <c:pt idx="11">
                  <c:v>2.1.1</c:v>
                </c:pt>
                <c:pt idx="12">
                  <c:v>2.1.2</c:v>
                </c:pt>
                <c:pt idx="13">
                  <c:v>2.2.1</c:v>
                </c:pt>
                <c:pt idx="14">
                  <c:v>2.2.2</c:v>
                </c:pt>
                <c:pt idx="15">
                  <c:v>2.3.1</c:v>
                </c:pt>
                <c:pt idx="16">
                  <c:v>2.3.2</c:v>
                </c:pt>
                <c:pt idx="17">
                  <c:v>2.3.3</c:v>
                </c:pt>
                <c:pt idx="18">
                  <c:v>2.3.4</c:v>
                </c:pt>
                <c:pt idx="19">
                  <c:v>2.4.1</c:v>
                </c:pt>
                <c:pt idx="20">
                  <c:v>2.4.2</c:v>
                </c:pt>
                <c:pt idx="21">
                  <c:v>2.4.3</c:v>
                </c:pt>
                <c:pt idx="22">
                  <c:v>2.5.1</c:v>
                </c:pt>
                <c:pt idx="23">
                  <c:v>2.5.2</c:v>
                </c:pt>
                <c:pt idx="24">
                  <c:v>2.5.3</c:v>
                </c:pt>
                <c:pt idx="25">
                  <c:v>2.6.1</c:v>
                </c:pt>
                <c:pt idx="26">
                  <c:v>2.6.2</c:v>
                </c:pt>
                <c:pt idx="27">
                  <c:v>2.6.3</c:v>
                </c:pt>
                <c:pt idx="28">
                  <c:v>2.7.1</c:v>
                </c:pt>
                <c:pt idx="29">
                  <c:v>3.1.1</c:v>
                </c:pt>
                <c:pt idx="30">
                  <c:v>3.1.2</c:v>
                </c:pt>
                <c:pt idx="31">
                  <c:v>3.1.3</c:v>
                </c:pt>
                <c:pt idx="32">
                  <c:v>3.2.1</c:v>
                </c:pt>
                <c:pt idx="33">
                  <c:v>3.2.2</c:v>
                </c:pt>
                <c:pt idx="34">
                  <c:v>3.2.3</c:v>
                </c:pt>
                <c:pt idx="35">
                  <c:v>3.2.4</c:v>
                </c:pt>
                <c:pt idx="36">
                  <c:v>3.3.1</c:v>
                </c:pt>
                <c:pt idx="37">
                  <c:v>3.3.2</c:v>
                </c:pt>
                <c:pt idx="38">
                  <c:v>3.4.1</c:v>
                </c:pt>
                <c:pt idx="39">
                  <c:v>3.4.2</c:v>
                </c:pt>
                <c:pt idx="40">
                  <c:v>3.4.3</c:v>
                </c:pt>
                <c:pt idx="41">
                  <c:v>3.4.4</c:v>
                </c:pt>
                <c:pt idx="42">
                  <c:v>3.4.5</c:v>
                </c:pt>
                <c:pt idx="43">
                  <c:v>3.4.6</c:v>
                </c:pt>
                <c:pt idx="44">
                  <c:v>3.5.1</c:v>
                </c:pt>
                <c:pt idx="45">
                  <c:v>3.5.2</c:v>
                </c:pt>
                <c:pt idx="46">
                  <c:v>3.6.1</c:v>
                </c:pt>
                <c:pt idx="47">
                  <c:v>3.6.2</c:v>
                </c:pt>
                <c:pt idx="48">
                  <c:v>3.6.3</c:v>
                </c:pt>
                <c:pt idx="49">
                  <c:v>3.6.4</c:v>
                </c:pt>
                <c:pt idx="50">
                  <c:v>3.7.1</c:v>
                </c:pt>
                <c:pt idx="51">
                  <c:v>3.7.2</c:v>
                </c:pt>
                <c:pt idx="52">
                  <c:v>4.1.1</c:v>
                </c:pt>
                <c:pt idx="53">
                  <c:v>4.1.2</c:v>
                </c:pt>
                <c:pt idx="54">
                  <c:v>4.1.3</c:v>
                </c:pt>
                <c:pt idx="55">
                  <c:v>4.1.4</c:v>
                </c:pt>
                <c:pt idx="56">
                  <c:v>4.2.1</c:v>
                </c:pt>
                <c:pt idx="57">
                  <c:v>4.2.2</c:v>
                </c:pt>
                <c:pt idx="58">
                  <c:v>4.2.3</c:v>
                </c:pt>
                <c:pt idx="59">
                  <c:v>4.2.4</c:v>
                </c:pt>
                <c:pt idx="60">
                  <c:v>4.3.1</c:v>
                </c:pt>
                <c:pt idx="61">
                  <c:v>4.3.2</c:v>
                </c:pt>
                <c:pt idx="62">
                  <c:v>4.3.3</c:v>
                </c:pt>
                <c:pt idx="63">
                  <c:v>4.3.4</c:v>
                </c:pt>
                <c:pt idx="64">
                  <c:v>4.4.1</c:v>
                </c:pt>
                <c:pt idx="65">
                  <c:v>4.4.2</c:v>
                </c:pt>
                <c:pt idx="66">
                  <c:v>5.1.1</c:v>
                </c:pt>
                <c:pt idx="67">
                  <c:v>5.1.2</c:v>
                </c:pt>
                <c:pt idx="68">
                  <c:v>5.1.3</c:v>
                </c:pt>
                <c:pt idx="69">
                  <c:v>5.1.4</c:v>
                </c:pt>
                <c:pt idx="70">
                  <c:v>5.1.5</c:v>
                </c:pt>
                <c:pt idx="71">
                  <c:v>5.2.1</c:v>
                </c:pt>
                <c:pt idx="72">
                  <c:v>5.2.2</c:v>
                </c:pt>
                <c:pt idx="73">
                  <c:v>5.2.3</c:v>
                </c:pt>
                <c:pt idx="74">
                  <c:v>5.3.1</c:v>
                </c:pt>
                <c:pt idx="75">
                  <c:v>5.3.2</c:v>
                </c:pt>
                <c:pt idx="76">
                  <c:v>5.3.3</c:v>
                </c:pt>
                <c:pt idx="77">
                  <c:v>5.4.1</c:v>
                </c:pt>
                <c:pt idx="78">
                  <c:v>5.4.2</c:v>
                </c:pt>
                <c:pt idx="79">
                  <c:v>6.1.1</c:v>
                </c:pt>
                <c:pt idx="80">
                  <c:v>6.1.2</c:v>
                </c:pt>
                <c:pt idx="81">
                  <c:v>6.2.1</c:v>
                </c:pt>
                <c:pt idx="82">
                  <c:v>6.2.2</c:v>
                </c:pt>
                <c:pt idx="83">
                  <c:v>6.2.3</c:v>
                </c:pt>
                <c:pt idx="84">
                  <c:v>6.3.1</c:v>
                </c:pt>
                <c:pt idx="85">
                  <c:v>6.3.2</c:v>
                </c:pt>
                <c:pt idx="86">
                  <c:v>6.3.3</c:v>
                </c:pt>
                <c:pt idx="87">
                  <c:v>6.3.4</c:v>
                </c:pt>
                <c:pt idx="88">
                  <c:v>6.4.1</c:v>
                </c:pt>
                <c:pt idx="89">
                  <c:v>6.4.2</c:v>
                </c:pt>
                <c:pt idx="90">
                  <c:v>6.4.3</c:v>
                </c:pt>
                <c:pt idx="91">
                  <c:v>6.5.1</c:v>
                </c:pt>
                <c:pt idx="92">
                  <c:v>6.5.2</c:v>
                </c:pt>
                <c:pt idx="93">
                  <c:v>6.5.3</c:v>
                </c:pt>
                <c:pt idx="94">
                  <c:v>7.1.1</c:v>
                </c:pt>
                <c:pt idx="95">
                  <c:v>7.1.10</c:v>
                </c:pt>
                <c:pt idx="96">
                  <c:v>7.1.11</c:v>
                </c:pt>
                <c:pt idx="97">
                  <c:v>7.1.2</c:v>
                </c:pt>
                <c:pt idx="98">
                  <c:v>7.1.3</c:v>
                </c:pt>
                <c:pt idx="99">
                  <c:v>7.1.4</c:v>
                </c:pt>
                <c:pt idx="100">
                  <c:v>7.1.5</c:v>
                </c:pt>
                <c:pt idx="101">
                  <c:v>7.1.6</c:v>
                </c:pt>
                <c:pt idx="102">
                  <c:v>7.1.7</c:v>
                </c:pt>
                <c:pt idx="103">
                  <c:v>7.1.8</c:v>
                </c:pt>
                <c:pt idx="104">
                  <c:v>7.1.9</c:v>
                </c:pt>
                <c:pt idx="105">
                  <c:v>7.2.1</c:v>
                </c:pt>
                <c:pt idx="106">
                  <c:v>7.3.1</c:v>
                </c:pt>
              </c:strCache>
            </c:strRef>
          </c:cat>
          <c:val>
            <c:numRef>
              <c:f>'Autonomous 107m'!$G$185:$G$292</c:f>
              <c:numCache>
                <c:formatCode>General</c:formatCode>
                <c:ptCount val="107"/>
                <c:pt idx="1">
                  <c:v>4</c:v>
                </c:pt>
                <c:pt idx="2">
                  <c:v>4</c:v>
                </c:pt>
                <c:pt idx="3">
                  <c:v>1</c:v>
                </c:pt>
                <c:pt idx="4">
                  <c:v>4</c:v>
                </c:pt>
                <c:pt idx="6">
                  <c:v>4</c:v>
                </c:pt>
                <c:pt idx="7">
                  <c:v>1</c:v>
                </c:pt>
                <c:pt idx="8">
                  <c:v>0</c:v>
                </c:pt>
                <c:pt idx="9">
                  <c:v>3</c:v>
                </c:pt>
                <c:pt idx="10">
                  <c:v>2</c:v>
                </c:pt>
                <c:pt idx="11">
                  <c:v>4</c:v>
                </c:pt>
                <c:pt idx="12">
                  <c:v>4</c:v>
                </c:pt>
                <c:pt idx="14">
                  <c:v>0</c:v>
                </c:pt>
                <c:pt idx="17">
                  <c:v>0</c:v>
                </c:pt>
                <c:pt idx="19">
                  <c:v>4</c:v>
                </c:pt>
                <c:pt idx="20">
                  <c:v>0</c:v>
                </c:pt>
                <c:pt idx="21">
                  <c:v>0</c:v>
                </c:pt>
                <c:pt idx="22">
                  <c:v>1</c:v>
                </c:pt>
                <c:pt idx="23">
                  <c:v>0</c:v>
                </c:pt>
                <c:pt idx="27">
                  <c:v>4</c:v>
                </c:pt>
                <c:pt idx="28">
                  <c:v>0</c:v>
                </c:pt>
                <c:pt idx="30">
                  <c:v>0</c:v>
                </c:pt>
                <c:pt idx="31">
                  <c:v>0</c:v>
                </c:pt>
                <c:pt idx="32">
                  <c:v>4</c:v>
                </c:pt>
                <c:pt idx="33">
                  <c:v>0</c:v>
                </c:pt>
                <c:pt idx="34">
                  <c:v>0</c:v>
                </c:pt>
                <c:pt idx="35">
                  <c:v>2</c:v>
                </c:pt>
                <c:pt idx="37">
                  <c:v>2</c:v>
                </c:pt>
                <c:pt idx="38">
                  <c:v>2</c:v>
                </c:pt>
                <c:pt idx="39">
                  <c:v>0</c:v>
                </c:pt>
                <c:pt idx="40">
                  <c:v>0</c:v>
                </c:pt>
                <c:pt idx="41">
                  <c:v>0</c:v>
                </c:pt>
                <c:pt idx="42">
                  <c:v>0</c:v>
                </c:pt>
                <c:pt idx="43">
                  <c:v>0</c:v>
                </c:pt>
                <c:pt idx="44">
                  <c:v>0</c:v>
                </c:pt>
                <c:pt idx="45">
                  <c:v>0</c:v>
                </c:pt>
                <c:pt idx="47">
                  <c:v>0</c:v>
                </c:pt>
                <c:pt idx="48">
                  <c:v>0</c:v>
                </c:pt>
                <c:pt idx="49">
                  <c:v>4</c:v>
                </c:pt>
                <c:pt idx="50">
                  <c:v>0</c:v>
                </c:pt>
                <c:pt idx="51">
                  <c:v>2</c:v>
                </c:pt>
                <c:pt idx="54">
                  <c:v>0</c:v>
                </c:pt>
                <c:pt idx="55">
                  <c:v>0</c:v>
                </c:pt>
                <c:pt idx="57">
                  <c:v>4</c:v>
                </c:pt>
                <c:pt idx="58">
                  <c:v>0</c:v>
                </c:pt>
                <c:pt idx="59">
                  <c:v>0</c:v>
                </c:pt>
                <c:pt idx="61">
                  <c:v>0</c:v>
                </c:pt>
                <c:pt idx="62">
                  <c:v>4</c:v>
                </c:pt>
                <c:pt idx="63">
                  <c:v>1</c:v>
                </c:pt>
                <c:pt idx="64">
                  <c:v>0</c:v>
                </c:pt>
                <c:pt idx="66">
                  <c:v>0</c:v>
                </c:pt>
                <c:pt idx="67">
                  <c:v>0</c:v>
                </c:pt>
                <c:pt idx="68">
                  <c:v>3</c:v>
                </c:pt>
                <c:pt idx="69">
                  <c:v>0</c:v>
                </c:pt>
                <c:pt idx="70">
                  <c:v>3</c:v>
                </c:pt>
                <c:pt idx="71">
                  <c:v>0</c:v>
                </c:pt>
                <c:pt idx="72">
                  <c:v>0</c:v>
                </c:pt>
                <c:pt idx="73">
                  <c:v>4</c:v>
                </c:pt>
                <c:pt idx="74">
                  <c:v>1</c:v>
                </c:pt>
                <c:pt idx="76">
                  <c:v>1</c:v>
                </c:pt>
                <c:pt idx="78">
                  <c:v>4</c:v>
                </c:pt>
                <c:pt idx="83">
                  <c:v>3</c:v>
                </c:pt>
                <c:pt idx="85">
                  <c:v>2</c:v>
                </c:pt>
                <c:pt idx="86">
                  <c:v>2</c:v>
                </c:pt>
                <c:pt idx="87">
                  <c:v>1</c:v>
                </c:pt>
                <c:pt idx="89">
                  <c:v>0</c:v>
                </c:pt>
                <c:pt idx="93">
                  <c:v>4</c:v>
                </c:pt>
                <c:pt idx="95">
                  <c:v>2</c:v>
                </c:pt>
                <c:pt idx="97">
                  <c:v>4</c:v>
                </c:pt>
                <c:pt idx="99">
                  <c:v>4</c:v>
                </c:pt>
                <c:pt idx="100">
                  <c:v>3</c:v>
                </c:pt>
                <c:pt idx="101">
                  <c:v>4</c:v>
                </c:pt>
                <c:pt idx="102">
                  <c:v>1</c:v>
                </c:pt>
              </c:numCache>
            </c:numRef>
          </c:val>
          <c:extLst>
            <c:ext xmlns:c16="http://schemas.microsoft.com/office/drawing/2014/chart" uri="{C3380CC4-5D6E-409C-BE32-E72D297353CC}">
              <c16:uniqueId val="{00000000-DDA6-4018-9593-77533297B8C7}"/>
            </c:ext>
          </c:extLst>
        </c:ser>
        <c:dLbls>
          <c:showLegendKey val="0"/>
          <c:showVal val="0"/>
          <c:showCatName val="0"/>
          <c:showSerName val="0"/>
          <c:showPercent val="0"/>
          <c:showBubbleSize val="0"/>
        </c:dLbls>
        <c:gapWidth val="219"/>
        <c:overlap val="-27"/>
        <c:axId val="660631760"/>
        <c:axId val="660623024"/>
      </c:barChart>
      <c:catAx>
        <c:axId val="66063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60623024"/>
        <c:crosses val="autoZero"/>
        <c:auto val="1"/>
        <c:lblAlgn val="ctr"/>
        <c:lblOffset val="100"/>
        <c:noMultiLvlLbl val="0"/>
      </c:catAx>
      <c:valAx>
        <c:axId val="66062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60631760"/>
        <c:crosses val="autoZero"/>
        <c:crossBetween val="between"/>
      </c:valAx>
      <c:spPr>
        <a:noFill/>
        <a:ln>
          <a:noFill/>
        </a:ln>
        <a:effectLst/>
      </c:spPr>
    </c:plotArea>
    <c:legend>
      <c:legendPos val="b"/>
      <c:layout>
        <c:manualLayout>
          <c:xMode val="edge"/>
          <c:yMode val="edge"/>
          <c:x val="0.46279650560045338"/>
          <c:y val="0.90090441819772527"/>
          <c:w val="7.7811483111363794E-2"/>
          <c:h val="7.69229367162437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AUTONOMUS 09-09-2022 (2) (Recovered).xlsx]Qn (72m)!PivotTable1</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Criteria Wise QnM Grade Points(0-4)</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barChart>
        <c:barDir val="col"/>
        <c:grouping val="clustered"/>
        <c:varyColors val="0"/>
        <c:ser>
          <c:idx val="0"/>
          <c:order val="0"/>
          <c:tx>
            <c:strRef>
              <c:f>'Qn (72m)'!$G$78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'Qn (72m)'!$F$79:$F$87</c:f>
              <c:strCache>
                <c:ptCount val="8"/>
                <c:pt idx="0">
                  <c:v>1. Curricular Aspects</c:v>
                </c:pt>
                <c:pt idx="1">
                  <c:v>2. Teaching-Learning and Evaluation</c:v>
                </c:pt>
                <c:pt idx="2">
                  <c:v>3. Research, Innovations and Extension</c:v>
                </c:pt>
                <c:pt idx="3">
                  <c:v>4. Infrastructure and Learning Resources</c:v>
                </c:pt>
                <c:pt idx="4">
                  <c:v>5. Student Support and Progression</c:v>
                </c:pt>
                <c:pt idx="5">
                  <c:v>6. Governance, Leadership and Management</c:v>
                </c:pt>
                <c:pt idx="6">
                  <c:v>7. Institutional Values and Best Practices</c:v>
                </c:pt>
                <c:pt idx="7">
                  <c:v>(blank)</c:v>
                </c:pt>
              </c:strCache>
            </c:strRef>
          </c:cat>
          <c:val>
            <c:numRef>
              <c:f>'Qn (72m)'!$G$79:$G$87</c:f>
              <c:numCache>
                <c:formatCode>General</c:formatCode>
                <c:ptCount val="8"/>
                <c:pt idx="0">
                  <c:v>3.25</c:v>
                </c:pt>
                <c:pt idx="1">
                  <c:v>3</c:v>
                </c:pt>
                <c:pt idx="2">
                  <c:v>0.83333333333333337</c:v>
                </c:pt>
                <c:pt idx="3">
                  <c:v>1.3333333333333333</c:v>
                </c:pt>
                <c:pt idx="4">
                  <c:v>1.25</c:v>
                </c:pt>
                <c:pt idx="5">
                  <c:v>0</c:v>
                </c:pt>
                <c:pt idx="6">
                  <c:v>0</c:v>
                </c:pt>
                <c:pt idx="7">
                  <c:v>1.736842105263158</c:v>
                </c:pt>
              </c:numCache>
            </c:numRef>
          </c:val>
          <c:extLst>
            <c:ext xmlns:c16="http://schemas.microsoft.com/office/drawing/2014/chart" uri="{C3380CC4-5D6E-409C-BE32-E72D297353CC}">
              <c16:uniqueId val="{00000000-A67A-43D7-9917-D8DC2C4761F1}"/>
            </c:ext>
          </c:extLst>
        </c:ser>
        <c:dLbls>
          <c:showLegendKey val="0"/>
          <c:showVal val="0"/>
          <c:showCatName val="0"/>
          <c:showSerName val="0"/>
          <c:showPercent val="0"/>
          <c:showBubbleSize val="0"/>
        </c:dLbls>
        <c:gapWidth val="219"/>
        <c:overlap val="-27"/>
        <c:axId val="506375440"/>
        <c:axId val="506376272"/>
      </c:barChart>
      <c:catAx>
        <c:axId val="50637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06376272"/>
        <c:crosses val="autoZero"/>
        <c:auto val="1"/>
        <c:lblAlgn val="ctr"/>
        <c:lblOffset val="100"/>
        <c:noMultiLvlLbl val="0"/>
      </c:catAx>
      <c:valAx>
        <c:axId val="50637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06375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AUTONOMUS 09-09-2022 (2) (Recovered).xlsx]Qn (72m)!PivotTable2</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Key Indicator Wise QnM Grade Points(0-4)</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col"/>
        <c:grouping val="clustered"/>
        <c:varyColors val="0"/>
        <c:ser>
          <c:idx val="0"/>
          <c:order val="0"/>
          <c:tx>
            <c:strRef>
              <c:f>'Qn (72m)'!$G$93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'Qn (72m)'!$F$94:$F$118</c:f>
              <c:strCache>
                <c:ptCount val="24"/>
                <c:pt idx="0">
                  <c:v>1.2 Academic Flexibility</c:v>
                </c:pt>
                <c:pt idx="1">
                  <c:v>1.3 Curriculum Enrichment</c:v>
                </c:pt>
                <c:pt idx="2">
                  <c:v>1.4 Feedback System</c:v>
                </c:pt>
                <c:pt idx="3">
                  <c:v>2.1 Student Enrolment and Profile</c:v>
                </c:pt>
                <c:pt idx="4">
                  <c:v>2.2 Student Teacher Ratio</c:v>
                </c:pt>
                <c:pt idx="5">
                  <c:v>2.4 Teacher Profile and Quality</c:v>
                </c:pt>
                <c:pt idx="6">
                  <c:v>2.6 Student Performance and Learning Outcomes</c:v>
                </c:pt>
                <c:pt idx="7">
                  <c:v>2.7 Student Satisfaction Survey</c:v>
                </c:pt>
                <c:pt idx="8">
                  <c:v>3.1 Resource Mobilization for Research</c:v>
                </c:pt>
                <c:pt idx="9">
                  <c:v>3.2 Innovation Ecosystem</c:v>
                </c:pt>
                <c:pt idx="10">
                  <c:v>3.3 Research Publications and Awards</c:v>
                </c:pt>
                <c:pt idx="11">
                  <c:v>3.4 Extension Activities</c:v>
                </c:pt>
                <c:pt idx="12">
                  <c:v>3.5 Collaboration</c:v>
                </c:pt>
                <c:pt idx="13">
                  <c:v>4.1 Physical Facilities</c:v>
                </c:pt>
                <c:pt idx="14">
                  <c:v>4.3 IT Infrastructure</c:v>
                </c:pt>
                <c:pt idx="15">
                  <c:v>4.4 Maintenance of Campus Infrastructure</c:v>
                </c:pt>
                <c:pt idx="16">
                  <c:v>5.1 Student Support</c:v>
                </c:pt>
                <c:pt idx="17">
                  <c:v>5.2 Student Progression</c:v>
                </c:pt>
                <c:pt idx="18">
                  <c:v>5.3 Student Participation and Activities</c:v>
                </c:pt>
                <c:pt idx="19">
                  <c:v>6.2 Strategy Development and Deployment</c:v>
                </c:pt>
                <c:pt idx="20">
                  <c:v>6.3 Faculty Empowerment Strategies</c:v>
                </c:pt>
                <c:pt idx="21">
                  <c:v>6.5 Internal Quality Assurance System (IQAS)</c:v>
                </c:pt>
                <c:pt idx="22">
                  <c:v>7.1 Institutional Values and Social Responsibilities</c:v>
                </c:pt>
                <c:pt idx="23">
                  <c:v>(blank)</c:v>
                </c:pt>
              </c:strCache>
            </c:strRef>
          </c:cat>
          <c:val>
            <c:numRef>
              <c:f>'Qn (72m)'!$G$94:$G$118</c:f>
              <c:numCache>
                <c:formatCode>General</c:formatCode>
                <c:ptCount val="24"/>
                <c:pt idx="0">
                  <c:v>4</c:v>
                </c:pt>
                <c:pt idx="1">
                  <c:v>1</c:v>
                </c:pt>
                <c:pt idx="2">
                  <c:v>4</c:v>
                </c:pt>
                <c:pt idx="3">
                  <c:v>2.5</c:v>
                </c:pt>
                <c:pt idx="4">
                  <c:v>3</c:v>
                </c:pt>
                <c:pt idx="5">
                  <c:v>2.5</c:v>
                </c:pt>
                <c:pt idx="6">
                  <c:v>4</c:v>
                </c:pt>
                <c:pt idx="7">
                  <c:v>4</c:v>
                </c:pt>
                <c:pt idx="8">
                  <c:v>0</c:v>
                </c:pt>
                <c:pt idx="9">
                  <c:v>0</c:v>
                </c:pt>
                <c:pt idx="10">
                  <c:v>2</c:v>
                </c:pt>
                <c:pt idx="11">
                  <c:v>0</c:v>
                </c:pt>
                <c:pt idx="12">
                  <c:v>1</c:v>
                </c:pt>
                <c:pt idx="13">
                  <c:v>0</c:v>
                </c:pt>
                <c:pt idx="14">
                  <c:v>4</c:v>
                </c:pt>
                <c:pt idx="15">
                  <c:v>0</c:v>
                </c:pt>
                <c:pt idx="16">
                  <c:v>1</c:v>
                </c:pt>
                <c:pt idx="17">
                  <c:v>1</c:v>
                </c:pt>
                <c:pt idx="18">
                  <c:v>2</c:v>
                </c:pt>
                <c:pt idx="19">
                  <c:v>0</c:v>
                </c:pt>
                <c:pt idx="20">
                  <c:v>0</c:v>
                </c:pt>
                <c:pt idx="21">
                  <c:v>0</c:v>
                </c:pt>
                <c:pt idx="22">
                  <c:v>0</c:v>
                </c:pt>
                <c:pt idx="23">
                  <c:v>1.736842105263158</c:v>
                </c:pt>
              </c:numCache>
            </c:numRef>
          </c:val>
          <c:extLst>
            <c:ext xmlns:c16="http://schemas.microsoft.com/office/drawing/2014/chart" uri="{C3380CC4-5D6E-409C-BE32-E72D297353CC}">
              <c16:uniqueId val="{00000000-2022-4337-84B2-066DCB5F2F0B}"/>
            </c:ext>
          </c:extLst>
        </c:ser>
        <c:dLbls>
          <c:showLegendKey val="0"/>
          <c:showVal val="0"/>
          <c:showCatName val="0"/>
          <c:showSerName val="0"/>
          <c:showPercent val="0"/>
          <c:showBubbleSize val="0"/>
        </c:dLbls>
        <c:gapWidth val="219"/>
        <c:overlap val="-27"/>
        <c:axId val="598185792"/>
        <c:axId val="598183712"/>
      </c:barChart>
      <c:catAx>
        <c:axId val="59818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8183712"/>
        <c:crosses val="autoZero"/>
        <c:auto val="1"/>
        <c:lblAlgn val="ctr"/>
        <c:lblOffset val="100"/>
        <c:noMultiLvlLbl val="0"/>
      </c:catAx>
      <c:valAx>
        <c:axId val="59818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8185792"/>
        <c:crosses val="autoZero"/>
        <c:crossBetween val="between"/>
      </c:valAx>
      <c:spPr>
        <a:noFill/>
        <a:ln>
          <a:noFill/>
        </a:ln>
        <a:effectLst/>
      </c:spPr>
    </c:plotArea>
    <c:legend>
      <c:legendPos val="b"/>
      <c:layout>
        <c:manualLayout>
          <c:xMode val="edge"/>
          <c:yMode val="edge"/>
          <c:x val="0.45543328958880142"/>
          <c:y val="0.92918231374924298"/>
          <c:w val="7.9967154778975896E-2"/>
          <c:h val="5.49722227649583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AUTONOMUS 09-09-2022 (2) (Recovered).xlsx]Qn (72m)!PivotTable3</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Metric Wise QnM Grade Points(0-4)</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'Qn (72m)'!$G$120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'Qn (72m)'!$F$121:$F$193</c:f>
              <c:strCache>
                <c:ptCount val="72"/>
                <c:pt idx="0">
                  <c:v>1.1.2</c:v>
                </c:pt>
                <c:pt idx="1">
                  <c:v>1.1.3</c:v>
                </c:pt>
                <c:pt idx="2">
                  <c:v>1.2.1</c:v>
                </c:pt>
                <c:pt idx="3">
                  <c:v>1.2.2</c:v>
                </c:pt>
                <c:pt idx="4">
                  <c:v>1.3.2</c:v>
                </c:pt>
                <c:pt idx="5">
                  <c:v>1.3.3</c:v>
                </c:pt>
                <c:pt idx="6">
                  <c:v>1.3.4</c:v>
                </c:pt>
                <c:pt idx="7">
                  <c:v>1.4.1</c:v>
                </c:pt>
                <c:pt idx="8">
                  <c:v>1.4.2</c:v>
                </c:pt>
                <c:pt idx="9">
                  <c:v>2.1.1</c:v>
                </c:pt>
                <c:pt idx="10">
                  <c:v>2.1.2</c:v>
                </c:pt>
                <c:pt idx="11">
                  <c:v>2.2.2</c:v>
                </c:pt>
                <c:pt idx="12">
                  <c:v>2.3.3</c:v>
                </c:pt>
                <c:pt idx="13">
                  <c:v>2.4.1</c:v>
                </c:pt>
                <c:pt idx="14">
                  <c:v>2.4.2</c:v>
                </c:pt>
                <c:pt idx="15">
                  <c:v>2.4.3</c:v>
                </c:pt>
                <c:pt idx="16">
                  <c:v>2.5.1</c:v>
                </c:pt>
                <c:pt idx="17">
                  <c:v>2.5.2</c:v>
                </c:pt>
                <c:pt idx="18">
                  <c:v>2.6.3</c:v>
                </c:pt>
                <c:pt idx="19">
                  <c:v>2.7.1</c:v>
                </c:pt>
                <c:pt idx="20">
                  <c:v>3.1.2</c:v>
                </c:pt>
                <c:pt idx="21">
                  <c:v>3.1.3</c:v>
                </c:pt>
                <c:pt idx="22">
                  <c:v>3.2.1</c:v>
                </c:pt>
                <c:pt idx="23">
                  <c:v>3.2.2</c:v>
                </c:pt>
                <c:pt idx="24">
                  <c:v>3.2.3</c:v>
                </c:pt>
                <c:pt idx="25">
                  <c:v>3.2.4</c:v>
                </c:pt>
                <c:pt idx="26">
                  <c:v>3.3.2</c:v>
                </c:pt>
                <c:pt idx="27">
                  <c:v>3.4.1</c:v>
                </c:pt>
                <c:pt idx="28">
                  <c:v>3.4.2</c:v>
                </c:pt>
                <c:pt idx="29">
                  <c:v>3.4.3</c:v>
                </c:pt>
                <c:pt idx="30">
                  <c:v>3.4.4</c:v>
                </c:pt>
                <c:pt idx="31">
                  <c:v>3.4.5</c:v>
                </c:pt>
                <c:pt idx="32">
                  <c:v>3.4.6</c:v>
                </c:pt>
                <c:pt idx="33">
                  <c:v>3.5.1</c:v>
                </c:pt>
                <c:pt idx="34">
                  <c:v>3.5.2</c:v>
                </c:pt>
                <c:pt idx="35">
                  <c:v>3.6.2</c:v>
                </c:pt>
                <c:pt idx="36">
                  <c:v>3.6.3</c:v>
                </c:pt>
                <c:pt idx="37">
                  <c:v>3.6.4</c:v>
                </c:pt>
                <c:pt idx="38">
                  <c:v>3.7.1</c:v>
                </c:pt>
                <c:pt idx="39">
                  <c:v>3.7.2</c:v>
                </c:pt>
                <c:pt idx="40">
                  <c:v>4.1.3</c:v>
                </c:pt>
                <c:pt idx="41">
                  <c:v>4.1.4</c:v>
                </c:pt>
                <c:pt idx="42">
                  <c:v>4.2.2</c:v>
                </c:pt>
                <c:pt idx="43">
                  <c:v>4.2.3</c:v>
                </c:pt>
                <c:pt idx="44">
                  <c:v>4.2.4</c:v>
                </c:pt>
                <c:pt idx="45">
                  <c:v>4.3.2</c:v>
                </c:pt>
                <c:pt idx="46">
                  <c:v>4.3.3</c:v>
                </c:pt>
                <c:pt idx="47">
                  <c:v>4.3.4</c:v>
                </c:pt>
                <c:pt idx="48">
                  <c:v>4.4.1</c:v>
                </c:pt>
                <c:pt idx="49">
                  <c:v>5.1.1</c:v>
                </c:pt>
                <c:pt idx="50">
                  <c:v>5.1.2</c:v>
                </c:pt>
                <c:pt idx="51">
                  <c:v>5.1.3</c:v>
                </c:pt>
                <c:pt idx="52">
                  <c:v>5.1.4</c:v>
                </c:pt>
                <c:pt idx="53">
                  <c:v>5.1.5</c:v>
                </c:pt>
                <c:pt idx="54">
                  <c:v>5.2.1</c:v>
                </c:pt>
                <c:pt idx="55">
                  <c:v>5.2.2</c:v>
                </c:pt>
                <c:pt idx="56">
                  <c:v>5.2.3</c:v>
                </c:pt>
                <c:pt idx="57">
                  <c:v>5.3.1</c:v>
                </c:pt>
                <c:pt idx="58">
                  <c:v>5.3.3</c:v>
                </c:pt>
                <c:pt idx="59">
                  <c:v>5.4.2</c:v>
                </c:pt>
                <c:pt idx="60">
                  <c:v>6.2.3</c:v>
                </c:pt>
                <c:pt idx="61">
                  <c:v>6.3.2</c:v>
                </c:pt>
                <c:pt idx="62">
                  <c:v>6.3.3</c:v>
                </c:pt>
                <c:pt idx="63">
                  <c:v>6.3.4</c:v>
                </c:pt>
                <c:pt idx="64">
                  <c:v>6.4.2</c:v>
                </c:pt>
                <c:pt idx="65">
                  <c:v>6.5.3</c:v>
                </c:pt>
                <c:pt idx="66">
                  <c:v>7.1.10</c:v>
                </c:pt>
                <c:pt idx="67">
                  <c:v>7.1.2</c:v>
                </c:pt>
                <c:pt idx="68">
                  <c:v>7.1.4</c:v>
                </c:pt>
                <c:pt idx="69">
                  <c:v>7.1.5</c:v>
                </c:pt>
                <c:pt idx="70">
                  <c:v>7.1.6</c:v>
                </c:pt>
                <c:pt idx="71">
                  <c:v>7.1.7</c:v>
                </c:pt>
              </c:strCache>
            </c:strRef>
          </c:cat>
          <c:val>
            <c:numRef>
              <c:f>'Qn (72m)'!$G$121:$G$193</c:f>
              <c:numCache>
                <c:formatCode>General</c:formatCode>
                <c:ptCount val="72"/>
                <c:pt idx="0">
                  <c:v>4</c:v>
                </c:pt>
                <c:pt idx="1">
                  <c:v>4</c:v>
                </c:pt>
                <c:pt idx="2">
                  <c:v>1</c:v>
                </c:pt>
                <c:pt idx="3">
                  <c:v>4</c:v>
                </c:pt>
                <c:pt idx="4">
                  <c:v>4</c:v>
                </c:pt>
                <c:pt idx="5">
                  <c:v>1</c:v>
                </c:pt>
                <c:pt idx="6">
                  <c:v>3</c:v>
                </c:pt>
                <c:pt idx="7">
                  <c:v>3</c:v>
                </c:pt>
                <c:pt idx="8">
                  <c:v>2</c:v>
                </c:pt>
                <c:pt idx="9">
                  <c:v>4</c:v>
                </c:pt>
                <c:pt idx="10">
                  <c:v>4</c:v>
                </c:pt>
                <c:pt idx="11">
                  <c:v>0</c:v>
                </c:pt>
                <c:pt idx="12">
                  <c:v>0</c:v>
                </c:pt>
                <c:pt idx="13">
                  <c:v>4</c:v>
                </c:pt>
                <c:pt idx="14">
                  <c:v>0</c:v>
                </c:pt>
                <c:pt idx="15">
                  <c:v>0</c:v>
                </c:pt>
                <c:pt idx="16">
                  <c:v>1</c:v>
                </c:pt>
                <c:pt idx="17">
                  <c:v>0</c:v>
                </c:pt>
                <c:pt idx="18">
                  <c:v>4</c:v>
                </c:pt>
                <c:pt idx="19">
                  <c:v>0</c:v>
                </c:pt>
                <c:pt idx="20">
                  <c:v>0</c:v>
                </c:pt>
                <c:pt idx="21">
                  <c:v>0</c:v>
                </c:pt>
                <c:pt idx="22">
                  <c:v>4</c:v>
                </c:pt>
                <c:pt idx="23">
                  <c:v>0</c:v>
                </c:pt>
                <c:pt idx="24">
                  <c:v>0</c:v>
                </c:pt>
                <c:pt idx="25">
                  <c:v>2</c:v>
                </c:pt>
                <c:pt idx="26">
                  <c:v>2</c:v>
                </c:pt>
                <c:pt idx="27">
                  <c:v>2</c:v>
                </c:pt>
                <c:pt idx="28">
                  <c:v>0</c:v>
                </c:pt>
                <c:pt idx="29">
                  <c:v>0</c:v>
                </c:pt>
                <c:pt idx="30">
                  <c:v>0</c:v>
                </c:pt>
                <c:pt idx="31">
                  <c:v>0</c:v>
                </c:pt>
                <c:pt idx="32">
                  <c:v>0</c:v>
                </c:pt>
                <c:pt idx="33">
                  <c:v>0</c:v>
                </c:pt>
                <c:pt idx="34">
                  <c:v>0</c:v>
                </c:pt>
                <c:pt idx="35">
                  <c:v>0</c:v>
                </c:pt>
                <c:pt idx="36">
                  <c:v>4</c:v>
                </c:pt>
                <c:pt idx="37">
                  <c:v>4</c:v>
                </c:pt>
                <c:pt idx="38">
                  <c:v>0</c:v>
                </c:pt>
                <c:pt idx="39">
                  <c:v>2</c:v>
                </c:pt>
                <c:pt idx="40">
                  <c:v>2</c:v>
                </c:pt>
                <c:pt idx="41">
                  <c:v>0</c:v>
                </c:pt>
                <c:pt idx="42">
                  <c:v>4</c:v>
                </c:pt>
                <c:pt idx="43">
                  <c:v>0</c:v>
                </c:pt>
                <c:pt idx="44">
                  <c:v>0</c:v>
                </c:pt>
                <c:pt idx="45">
                  <c:v>0</c:v>
                </c:pt>
                <c:pt idx="46">
                  <c:v>2</c:v>
                </c:pt>
                <c:pt idx="47">
                  <c:v>1</c:v>
                </c:pt>
                <c:pt idx="48">
                  <c:v>0</c:v>
                </c:pt>
                <c:pt idx="49">
                  <c:v>2</c:v>
                </c:pt>
                <c:pt idx="50">
                  <c:v>0</c:v>
                </c:pt>
                <c:pt idx="51">
                  <c:v>3</c:v>
                </c:pt>
                <c:pt idx="52">
                  <c:v>0</c:v>
                </c:pt>
                <c:pt idx="53">
                  <c:v>3</c:v>
                </c:pt>
                <c:pt idx="54">
                  <c:v>2</c:v>
                </c:pt>
                <c:pt idx="55">
                  <c:v>0</c:v>
                </c:pt>
                <c:pt idx="56">
                  <c:v>4</c:v>
                </c:pt>
                <c:pt idx="57">
                  <c:v>1</c:v>
                </c:pt>
                <c:pt idx="58">
                  <c:v>1</c:v>
                </c:pt>
                <c:pt idx="59">
                  <c:v>1</c:v>
                </c:pt>
                <c:pt idx="60">
                  <c:v>3</c:v>
                </c:pt>
                <c:pt idx="61">
                  <c:v>2</c:v>
                </c:pt>
                <c:pt idx="62">
                  <c:v>2</c:v>
                </c:pt>
                <c:pt idx="63">
                  <c:v>1</c:v>
                </c:pt>
                <c:pt idx="64">
                  <c:v>0</c:v>
                </c:pt>
                <c:pt idx="65">
                  <c:v>4</c:v>
                </c:pt>
                <c:pt idx="66">
                  <c:v>4</c:v>
                </c:pt>
                <c:pt idx="67">
                  <c:v>4</c:v>
                </c:pt>
                <c:pt idx="68">
                  <c:v>2</c:v>
                </c:pt>
                <c:pt idx="69">
                  <c:v>3</c:v>
                </c:pt>
                <c:pt idx="70">
                  <c:v>4</c:v>
                </c:pt>
                <c:pt idx="71">
                  <c:v>1</c:v>
                </c:pt>
              </c:numCache>
            </c:numRef>
          </c:val>
          <c:extLst>
            <c:ext xmlns:c16="http://schemas.microsoft.com/office/drawing/2014/chart" uri="{C3380CC4-5D6E-409C-BE32-E72D297353CC}">
              <c16:uniqueId val="{00000000-6FFE-4D8A-BF8A-0A367CC8FF69}"/>
            </c:ext>
          </c:extLst>
        </c:ser>
        <c:dLbls>
          <c:showLegendKey val="0"/>
          <c:showVal val="0"/>
          <c:showCatName val="0"/>
          <c:showSerName val="0"/>
          <c:showPercent val="0"/>
          <c:showBubbleSize val="0"/>
        </c:dLbls>
        <c:gapWidth val="219"/>
        <c:overlap val="-27"/>
        <c:axId val="597887008"/>
        <c:axId val="597879104"/>
      </c:barChart>
      <c:catAx>
        <c:axId val="59788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640000" spcFirstLastPara="1" vertOverflow="ellipsis"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7879104"/>
        <c:crosses val="autoZero"/>
        <c:auto val="1"/>
        <c:lblAlgn val="ctr"/>
        <c:lblOffset val="100"/>
        <c:noMultiLvlLbl val="0"/>
      </c:catAx>
      <c:valAx>
        <c:axId val="59787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7887008"/>
        <c:crosses val="autoZero"/>
        <c:crossBetween val="between"/>
      </c:valAx>
      <c:spPr>
        <a:noFill/>
        <a:ln>
          <a:noFill/>
        </a:ln>
        <a:effectLst/>
      </c:spPr>
    </c:plotArea>
    <c:legend>
      <c:legendPos val="b"/>
      <c:layout>
        <c:manualLayout>
          <c:xMode val="edge"/>
          <c:yMode val="edge"/>
          <c:x val="0.46098884514435706"/>
          <c:y val="0.89863075526774105"/>
          <c:w val="7.4571858032025554E-2"/>
          <c:h val="7.12982935577954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AUTONOMUS 09-09-2022 (2) (Recovered).xlsx]Ql (35m)!PivotTable4</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solidFill>
                  <a:srgbClr val="FF0000"/>
                </a:solidFill>
              </a:rPr>
              <a:t>Metric Wise QlM Grade Points(0-4)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'Ql (35m)'!$G$45</c:f>
              <c:strCache>
                <c:ptCount val="1"/>
                <c:pt idx="0">
                  <c:v>Total</c:v>
                </c:pt>
              </c:strCache>
            </c:strRef>
          </c:tx>
          <c:spPr>
            <a:solidFill>
              <a:schemeClr val="accent1"/>
            </a:solidFill>
            <a:ln>
              <a:noFill/>
            </a:ln>
            <a:effectLst/>
          </c:spPr>
          <c:invertIfNegative val="0"/>
          <c:cat>
            <c:strRef>
              <c:f>'Ql (35m)'!$F$46:$F$81</c:f>
              <c:strCache>
                <c:ptCount val="35"/>
                <c:pt idx="0">
                  <c:v>1.1.1</c:v>
                </c:pt>
                <c:pt idx="1">
                  <c:v>1.3.1</c:v>
                </c:pt>
                <c:pt idx="2">
                  <c:v>2.2.1</c:v>
                </c:pt>
                <c:pt idx="3">
                  <c:v>2.3.1</c:v>
                </c:pt>
                <c:pt idx="4">
                  <c:v>2.3.2</c:v>
                </c:pt>
                <c:pt idx="5">
                  <c:v>2.3.4</c:v>
                </c:pt>
                <c:pt idx="6">
                  <c:v>2.5.3</c:v>
                </c:pt>
                <c:pt idx="7">
                  <c:v>2.6.1</c:v>
                </c:pt>
                <c:pt idx="8">
                  <c:v>2.6.2</c:v>
                </c:pt>
                <c:pt idx="9">
                  <c:v>3.1.1</c:v>
                </c:pt>
                <c:pt idx="10">
                  <c:v>3.3.1</c:v>
                </c:pt>
                <c:pt idx="11">
                  <c:v>3.6.1</c:v>
                </c:pt>
                <c:pt idx="12">
                  <c:v>4.1.1</c:v>
                </c:pt>
                <c:pt idx="13">
                  <c:v>4.1.2</c:v>
                </c:pt>
                <c:pt idx="14">
                  <c:v>4.2.1</c:v>
                </c:pt>
                <c:pt idx="15">
                  <c:v>4.3.1</c:v>
                </c:pt>
                <c:pt idx="16">
                  <c:v>4.4.2</c:v>
                </c:pt>
                <c:pt idx="17">
                  <c:v>5.3.2</c:v>
                </c:pt>
                <c:pt idx="18">
                  <c:v>5.4.1</c:v>
                </c:pt>
                <c:pt idx="19">
                  <c:v>6.1.1</c:v>
                </c:pt>
                <c:pt idx="20">
                  <c:v>6.1.2</c:v>
                </c:pt>
                <c:pt idx="21">
                  <c:v>6.2.1</c:v>
                </c:pt>
                <c:pt idx="22">
                  <c:v>6.2.2</c:v>
                </c:pt>
                <c:pt idx="23">
                  <c:v>6.3.1</c:v>
                </c:pt>
                <c:pt idx="24">
                  <c:v>6.4.1</c:v>
                </c:pt>
                <c:pt idx="25">
                  <c:v>6.4.3</c:v>
                </c:pt>
                <c:pt idx="26">
                  <c:v>6.5.1</c:v>
                </c:pt>
                <c:pt idx="27">
                  <c:v>6.5.2</c:v>
                </c:pt>
                <c:pt idx="28">
                  <c:v>7.1.1</c:v>
                </c:pt>
                <c:pt idx="29">
                  <c:v>7.1.11</c:v>
                </c:pt>
                <c:pt idx="30">
                  <c:v>7.1.3</c:v>
                </c:pt>
                <c:pt idx="31">
                  <c:v>7.1.8</c:v>
                </c:pt>
                <c:pt idx="32">
                  <c:v>7.1.9</c:v>
                </c:pt>
                <c:pt idx="33">
                  <c:v>7.2.1</c:v>
                </c:pt>
                <c:pt idx="34">
                  <c:v>7.3.1</c:v>
                </c:pt>
              </c:strCache>
            </c:strRef>
          </c:cat>
          <c:val>
            <c:numRef>
              <c:f>'Ql (35m)'!$G$46:$G$81</c:f>
              <c:numCache>
                <c:formatCode>General</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extLst>
            <c:ext xmlns:c16="http://schemas.microsoft.com/office/drawing/2014/chart" uri="{C3380CC4-5D6E-409C-BE32-E72D297353CC}">
              <c16:uniqueId val="{00000000-036B-401A-9451-851DBB1C5C47}"/>
            </c:ext>
          </c:extLst>
        </c:ser>
        <c:dLbls>
          <c:showLegendKey val="0"/>
          <c:showVal val="0"/>
          <c:showCatName val="0"/>
          <c:showSerName val="0"/>
          <c:showPercent val="0"/>
          <c:showBubbleSize val="0"/>
        </c:dLbls>
        <c:gapWidth val="219"/>
        <c:overlap val="-27"/>
        <c:axId val="969911679"/>
        <c:axId val="969912927"/>
      </c:barChart>
      <c:catAx>
        <c:axId val="96991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9912927"/>
        <c:crosses val="autoZero"/>
        <c:auto val="1"/>
        <c:lblAlgn val="ctr"/>
        <c:lblOffset val="100"/>
        <c:noMultiLvlLbl val="0"/>
      </c:catAx>
      <c:valAx>
        <c:axId val="969912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9911679"/>
        <c:crosses val="autoZero"/>
        <c:crossBetween val="between"/>
      </c:valAx>
      <c:spPr>
        <a:noFill/>
        <a:ln>
          <a:noFill/>
        </a:ln>
        <a:effectLst/>
      </c:spPr>
    </c:plotArea>
    <c:legend>
      <c:legendPos val="b"/>
      <c:layout>
        <c:manualLayout>
          <c:xMode val="edge"/>
          <c:yMode val="edge"/>
          <c:x val="0.46037047996201497"/>
          <c:y val="0.88706073199183433"/>
          <c:w val="7.9258854093920555E-2"/>
          <c:h val="7.69229367162437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AUTONOMUS 09-09-2022 (2) (Recovered).xlsx]Ql (35m)!PivotTable5</c:name>
    <c:fmtId val="1"/>
  </c:pivotSource>
  <c:chart>
    <c:title>
      <c:tx>
        <c:rich>
          <a:bodyPr rot="0" spcFirstLastPara="1" vertOverflow="ellipsis" vert="horz" wrap="square" anchor="ctr" anchorCtr="1"/>
          <a:lstStyle/>
          <a:p>
            <a:pPr>
              <a:defRPr sz="12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Key Indicator wise QlM Grade Points (0-4)</a:t>
            </a:r>
          </a:p>
        </c:rich>
      </c:tx>
      <c:layout>
        <c:manualLayout>
          <c:xMode val="edge"/>
          <c:yMode val="edge"/>
          <c:x val="0.19823600174978129"/>
          <c:y val="9.890868904544826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'Ql (35m)'!$G$84</c:f>
              <c:strCache>
                <c:ptCount val="1"/>
                <c:pt idx="0">
                  <c:v>Total</c:v>
                </c:pt>
              </c:strCache>
            </c:strRef>
          </c:tx>
          <c:spPr>
            <a:solidFill>
              <a:schemeClr val="accent1"/>
            </a:solidFill>
            <a:ln>
              <a:noFill/>
            </a:ln>
            <a:effectLst/>
          </c:spPr>
          <c:invertIfNegative val="0"/>
          <c:cat>
            <c:strRef>
              <c:f>'Ql (35m)'!$F$85:$F$108</c:f>
              <c:strCache>
                <c:ptCount val="23"/>
                <c:pt idx="0">
                  <c:v>1.1 Curriculum Planning and Implementation</c:v>
                </c:pt>
                <c:pt idx="1">
                  <c:v>1.3 Curriculum Enrichment</c:v>
                </c:pt>
                <c:pt idx="2">
                  <c:v>2.2 Catering to Student Diversity</c:v>
                </c:pt>
                <c:pt idx="3">
                  <c:v>2.3 Teaching-Learning Process</c:v>
                </c:pt>
                <c:pt idx="4">
                  <c:v>2.5 Evaluation Process and Reforms</c:v>
                </c:pt>
                <c:pt idx="5">
                  <c:v>2.6 Student Performance and Learning Outcomes</c:v>
                </c:pt>
                <c:pt idx="6">
                  <c:v>3.1 Promotion of Research and Facilities</c:v>
                </c:pt>
                <c:pt idx="7">
                  <c:v>3.3 Innovation Ecosystem</c:v>
                </c:pt>
                <c:pt idx="8">
                  <c:v>3.6 Extension Activities</c:v>
                </c:pt>
                <c:pt idx="9">
                  <c:v>4.1 Physical Facilities</c:v>
                </c:pt>
                <c:pt idx="10">
                  <c:v>4.2 Library as a Learning Resource</c:v>
                </c:pt>
                <c:pt idx="11">
                  <c:v>4.3 IT Infrastructure</c:v>
                </c:pt>
                <c:pt idx="12">
                  <c:v>4.4 Maintenance of Campus Infrastructure</c:v>
                </c:pt>
                <c:pt idx="13">
                  <c:v>5.3 Student Participation and Activities</c:v>
                </c:pt>
                <c:pt idx="14">
                  <c:v>5.4 Alumni Engagement</c:v>
                </c:pt>
                <c:pt idx="15">
                  <c:v>6.1 Institutional Vision and Leadership</c:v>
                </c:pt>
                <c:pt idx="16">
                  <c:v>6.2 Strategy Development and Deployment</c:v>
                </c:pt>
                <c:pt idx="17">
                  <c:v>6.3 Faculty Empowerment Strategies</c:v>
                </c:pt>
                <c:pt idx="18">
                  <c:v>6.4 Financial Management and Resource Mobilization</c:v>
                </c:pt>
                <c:pt idx="19">
                  <c:v>6.5 Internal Quality Assurance System (IQAS)</c:v>
                </c:pt>
                <c:pt idx="20">
                  <c:v>7.1 Institutional Values and Social Responsibilities</c:v>
                </c:pt>
                <c:pt idx="21">
                  <c:v>7.2 Best Practices</c:v>
                </c:pt>
                <c:pt idx="22">
                  <c:v>7.3 Institutional Distinctiveness</c:v>
                </c:pt>
              </c:strCache>
            </c:strRef>
          </c:cat>
          <c:val>
            <c:numRef>
              <c:f>'Ql (35m)'!$G$85:$G$108</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0-C1AB-4EDB-8F22-9F9639D386A8}"/>
            </c:ext>
          </c:extLst>
        </c:ser>
        <c:dLbls>
          <c:showLegendKey val="0"/>
          <c:showVal val="0"/>
          <c:showCatName val="0"/>
          <c:showSerName val="0"/>
          <c:showPercent val="0"/>
          <c:showBubbleSize val="0"/>
        </c:dLbls>
        <c:gapWidth val="219"/>
        <c:overlap val="-27"/>
        <c:axId val="968476031"/>
        <c:axId val="969912511"/>
      </c:barChart>
      <c:catAx>
        <c:axId val="96847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9912511"/>
        <c:crosses val="autoZero"/>
        <c:auto val="1"/>
        <c:lblAlgn val="ctr"/>
        <c:lblOffset val="100"/>
        <c:noMultiLvlLbl val="0"/>
      </c:catAx>
      <c:valAx>
        <c:axId val="969912511"/>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84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sz="1000">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AUTONOMUS 09-09-2022 (2) (Recovered).xlsx]Ql (35m)!PivotTable6</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Criteria Wise QlM Grade Points(0-4)</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'Ql (35m)'!$G$110</c:f>
              <c:strCache>
                <c:ptCount val="1"/>
                <c:pt idx="0">
                  <c:v>Total</c:v>
                </c:pt>
              </c:strCache>
            </c:strRef>
          </c:tx>
          <c:spPr>
            <a:solidFill>
              <a:schemeClr val="accent1"/>
            </a:solidFill>
            <a:ln>
              <a:noFill/>
            </a:ln>
            <a:effectLst/>
          </c:spPr>
          <c:invertIfNegative val="0"/>
          <c:cat>
            <c:strRef>
              <c:f>'Ql (35m)'!$F$111:$F$118</c:f>
              <c:strCache>
                <c:ptCount val="7"/>
                <c:pt idx="0">
                  <c:v>1. Curricular Aspects</c:v>
                </c:pt>
                <c:pt idx="1">
                  <c:v>2. Teaching-Learning and Evaluation</c:v>
                </c:pt>
                <c:pt idx="2">
                  <c:v>3. Research, Innovations and Extension</c:v>
                </c:pt>
                <c:pt idx="3">
                  <c:v>4. Infrastructure and Learning Resources</c:v>
                </c:pt>
                <c:pt idx="4">
                  <c:v>5. Student Support and Progression</c:v>
                </c:pt>
                <c:pt idx="5">
                  <c:v>6. Governance, Leadership and Management</c:v>
                </c:pt>
                <c:pt idx="6">
                  <c:v>7. Institutional Values and Best Practices</c:v>
                </c:pt>
              </c:strCache>
            </c:strRef>
          </c:cat>
          <c:val>
            <c:numRef>
              <c:f>'Ql (35m)'!$G$111:$G$118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E0D7-46F9-9D4C-04DAC45CF6CB}"/>
            </c:ext>
          </c:extLst>
        </c:ser>
        <c:dLbls>
          <c:showLegendKey val="0"/>
          <c:showVal val="0"/>
          <c:showCatName val="0"/>
          <c:showSerName val="0"/>
          <c:showPercent val="0"/>
          <c:showBubbleSize val="0"/>
        </c:dLbls>
        <c:gapWidth val="219"/>
        <c:overlap val="-27"/>
        <c:axId val="1021785983"/>
        <c:axId val="1021786399"/>
      </c:barChart>
      <c:catAx>
        <c:axId val="102178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21786399"/>
        <c:crosses val="autoZero"/>
        <c:auto val="1"/>
        <c:lblAlgn val="ctr"/>
        <c:lblOffset val="100"/>
        <c:noMultiLvlLbl val="0"/>
      </c:catAx>
      <c:valAx>
        <c:axId val="1021786399"/>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21785983"/>
        <c:crosses val="autoZero"/>
        <c:crossBetween val="between"/>
      </c:valAx>
      <c:spPr>
        <a:noFill/>
        <a:ln>
          <a:noFill/>
        </a:ln>
        <a:effectLst/>
      </c:spPr>
    </c:plotArea>
    <c:legend>
      <c:legendPos val="b"/>
      <c:layout>
        <c:manualLayout>
          <c:xMode val="edge"/>
          <c:yMode val="edge"/>
          <c:x val="0.45617191601049867"/>
          <c:y val="0.92850498950789051"/>
          <c:w val="7.9399493864650617E-2"/>
          <c:h val="5.55233227425519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6.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6.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6.jpeg"/></Relationships>
</file>

<file path=xl/drawings/drawing1.xml><?xml version="1.0" encoding="utf-8"?>
<xdr:wsDr xmlns:xdr="http://schemas.openxmlformats.org/drawingml/2006/spreadsheetDrawing" xmlns:a="http://schemas.openxmlformats.org/drawingml/2006/main">
  <xdr:twoCellAnchor>
    <xdr:from>
      <xdr:col>9</xdr:col>
      <xdr:colOff>37039</xdr:colOff>
      <xdr:row>122</xdr:row>
      <xdr:rowOff>25400</xdr:rowOff>
    </xdr:from>
    <xdr:to>
      <xdr:col>17</xdr:col>
      <xdr:colOff>582083</xdr:colOff>
      <xdr:row>139</xdr:row>
      <xdr:rowOff>63500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21167</xdr:colOff>
      <xdr:row>143</xdr:row>
      <xdr:rowOff>25400</xdr:rowOff>
    </xdr:from>
    <xdr:to>
      <xdr:col>17</xdr:col>
      <xdr:colOff>582083</xdr:colOff>
      <xdr:row>163</xdr:row>
      <xdr:rowOff>158749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37040</xdr:colOff>
      <xdr:row>168</xdr:row>
      <xdr:rowOff>25401</xdr:rowOff>
    </xdr:from>
    <xdr:to>
      <xdr:col>17</xdr:col>
      <xdr:colOff>582083</xdr:colOff>
      <xdr:row>182</xdr:row>
      <xdr:rowOff>101601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37039</xdr:colOff>
      <xdr:row>186</xdr:row>
      <xdr:rowOff>35984</xdr:rowOff>
    </xdr:from>
    <xdr:to>
      <xdr:col>17</xdr:col>
      <xdr:colOff>582084</xdr:colOff>
      <xdr:row>200</xdr:row>
      <xdr:rowOff>112184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781050</xdr:colOff>
      <xdr:row>72</xdr:row>
      <xdr:rowOff>66675</xdr:rowOff>
    </xdr:from>
    <xdr:to>
      <xdr:col>2</xdr:col>
      <xdr:colOff>228150</xdr:colOff>
      <xdr:row>72</xdr:row>
      <xdr:rowOff>390485</xdr:rowOff>
    </xdr:to>
    <xdr:pic>
      <xdr:nvPicPr>
        <xdr:cNvPr id="2" name="Picture 1"/>
        <xdr:cNvPicPr>
          <a:picLocks noChangeAspect="1"/>
        </xdr:cNvPicPr>
      </xdr:nvPicPr>
      <xdr:blipFill>
        <a:blip xmlns:r="http://schemas.openxmlformats.org/officeDocument/2006/relationships" r:embed="rId1"/>
        <a:stretch>
          <a:fillRect/>
        </a:stretch>
      </xdr:blipFill>
      <xdr:spPr>
        <a:xfrm>
          <a:off x="1181100" y="26012775"/>
          <a:ext cx="3600000" cy="323810"/>
        </a:xfrm>
        <a:prstGeom prst="rect">
          <a:avLst/>
        </a:prstGeom>
      </xdr:spPr>
    </xdr:pic>
    <xdr:clientData/>
  </xdr:twoCellAnchor>
  <xdr:twoCellAnchor editAs="oneCell">
    <xdr:from>
      <xdr:col>2</xdr:col>
      <xdr:colOff>95250</xdr:colOff>
      <xdr:row>12</xdr:row>
      <xdr:rowOff>152399</xdr:rowOff>
    </xdr:from>
    <xdr:to>
      <xdr:col>2</xdr:col>
      <xdr:colOff>704850</xdr:colOff>
      <xdr:row>12</xdr:row>
      <xdr:rowOff>721894</xdr:rowOff>
    </xdr:to>
    <xdr:pic>
      <xdr:nvPicPr>
        <xdr:cNvPr id="3" name="Picture 2"/>
        <xdr:cNvPicPr>
          <a:picLocks noChangeAspect="1"/>
        </xdr:cNvPicPr>
      </xdr:nvPicPr>
      <xdr:blipFill>
        <a:blip xmlns:r="http://schemas.openxmlformats.org/officeDocument/2006/relationships" r:embed="rId2"/>
        <a:stretch>
          <a:fillRect/>
        </a:stretch>
      </xdr:blipFill>
      <xdr:spPr>
        <a:xfrm>
          <a:off x="4438650" y="6896099"/>
          <a:ext cx="609600" cy="569495"/>
        </a:xfrm>
        <a:prstGeom prst="rect">
          <a:avLst/>
        </a:prstGeom>
      </xdr:spPr>
    </xdr:pic>
    <xdr:clientData/>
  </xdr:twoCellAnchor>
  <xdr:twoCellAnchor editAs="oneCell">
    <xdr:from>
      <xdr:col>3</xdr:col>
      <xdr:colOff>40781</xdr:colOff>
      <xdr:row>12</xdr:row>
      <xdr:rowOff>133351</xdr:rowOff>
    </xdr:from>
    <xdr:to>
      <xdr:col>3</xdr:col>
      <xdr:colOff>819150</xdr:colOff>
      <xdr:row>12</xdr:row>
      <xdr:rowOff>736941</xdr:rowOff>
    </xdr:to>
    <xdr:pic>
      <xdr:nvPicPr>
        <xdr:cNvPr id="4" name="Picture 3"/>
        <xdr:cNvPicPr>
          <a:picLocks noChangeAspect="1"/>
        </xdr:cNvPicPr>
      </xdr:nvPicPr>
      <xdr:blipFill>
        <a:blip xmlns:r="http://schemas.openxmlformats.org/officeDocument/2006/relationships" r:embed="rId3"/>
        <a:stretch>
          <a:fillRect/>
        </a:stretch>
      </xdr:blipFill>
      <xdr:spPr>
        <a:xfrm>
          <a:off x="5565281" y="6877051"/>
          <a:ext cx="778369" cy="603590"/>
        </a:xfrm>
        <a:prstGeom prst="rect">
          <a:avLst/>
        </a:prstGeom>
      </xdr:spPr>
    </xdr:pic>
    <xdr:clientData/>
  </xdr:twoCellAnchor>
  <xdr:twoCellAnchor editAs="oneCell">
    <xdr:from>
      <xdr:col>1</xdr:col>
      <xdr:colOff>1333500</xdr:colOff>
      <xdr:row>14</xdr:row>
      <xdr:rowOff>85724</xdr:rowOff>
    </xdr:from>
    <xdr:to>
      <xdr:col>2</xdr:col>
      <xdr:colOff>640623</xdr:colOff>
      <xdr:row>14</xdr:row>
      <xdr:rowOff>828675</xdr:rowOff>
    </xdr:to>
    <xdr:pic>
      <xdr:nvPicPr>
        <xdr:cNvPr id="5" name="Picture 4"/>
        <xdr:cNvPicPr>
          <a:picLocks noChangeAspect="1"/>
        </xdr:cNvPicPr>
      </xdr:nvPicPr>
      <xdr:blipFill>
        <a:blip xmlns:r="http://schemas.openxmlformats.org/officeDocument/2006/relationships" r:embed="rId4"/>
        <a:stretch>
          <a:fillRect/>
        </a:stretch>
      </xdr:blipFill>
      <xdr:spPr>
        <a:xfrm>
          <a:off x="1733550" y="7981949"/>
          <a:ext cx="3460023" cy="742951"/>
        </a:xfrm>
        <a:prstGeom prst="rect">
          <a:avLst/>
        </a:prstGeom>
      </xdr:spPr>
    </xdr:pic>
    <xdr:clientData/>
  </xdr:twoCellAnchor>
  <xdr:twoCellAnchor editAs="oneCell">
    <xdr:from>
      <xdr:col>1</xdr:col>
      <xdr:colOff>3143250</xdr:colOff>
      <xdr:row>16</xdr:row>
      <xdr:rowOff>104775</xdr:rowOff>
    </xdr:from>
    <xdr:to>
      <xdr:col>1</xdr:col>
      <xdr:colOff>3800393</xdr:colOff>
      <xdr:row>16</xdr:row>
      <xdr:rowOff>361918</xdr:rowOff>
    </xdr:to>
    <xdr:pic>
      <xdr:nvPicPr>
        <xdr:cNvPr id="6" name="Picture 5"/>
        <xdr:cNvPicPr>
          <a:picLocks noChangeAspect="1"/>
        </xdr:cNvPicPr>
      </xdr:nvPicPr>
      <xdr:blipFill>
        <a:blip xmlns:r="http://schemas.openxmlformats.org/officeDocument/2006/relationships" r:embed="rId5"/>
        <a:stretch>
          <a:fillRect/>
        </a:stretch>
      </xdr:blipFill>
      <xdr:spPr>
        <a:xfrm>
          <a:off x="3543300" y="9229725"/>
          <a:ext cx="657143" cy="257143"/>
        </a:xfrm>
        <a:prstGeom prst="rect">
          <a:avLst/>
        </a:prstGeom>
      </xdr:spPr>
    </xdr:pic>
    <xdr:clientData/>
  </xdr:twoCellAnchor>
  <xdr:twoCellAnchor editAs="oneCell">
    <xdr:from>
      <xdr:col>1</xdr:col>
      <xdr:colOff>1000125</xdr:colOff>
      <xdr:row>30</xdr:row>
      <xdr:rowOff>28575</xdr:rowOff>
    </xdr:from>
    <xdr:to>
      <xdr:col>2</xdr:col>
      <xdr:colOff>428177</xdr:colOff>
      <xdr:row>30</xdr:row>
      <xdr:rowOff>333375</xdr:rowOff>
    </xdr:to>
    <xdr:pic>
      <xdr:nvPicPr>
        <xdr:cNvPr id="7" name="Picture 6"/>
        <xdr:cNvPicPr>
          <a:picLocks noChangeAspect="1"/>
        </xdr:cNvPicPr>
      </xdr:nvPicPr>
      <xdr:blipFill>
        <a:blip xmlns:r="http://schemas.openxmlformats.org/officeDocument/2006/relationships" r:embed="rId6"/>
        <a:stretch>
          <a:fillRect/>
        </a:stretch>
      </xdr:blipFill>
      <xdr:spPr>
        <a:xfrm>
          <a:off x="1400175" y="13573125"/>
          <a:ext cx="3580952" cy="304800"/>
        </a:xfrm>
        <a:prstGeom prst="rect">
          <a:avLst/>
        </a:prstGeom>
      </xdr:spPr>
    </xdr:pic>
    <xdr:clientData/>
  </xdr:twoCellAnchor>
  <xdr:twoCellAnchor editAs="oneCell">
    <xdr:from>
      <xdr:col>2</xdr:col>
      <xdr:colOff>57150</xdr:colOff>
      <xdr:row>28</xdr:row>
      <xdr:rowOff>28575</xdr:rowOff>
    </xdr:from>
    <xdr:to>
      <xdr:col>2</xdr:col>
      <xdr:colOff>628579</xdr:colOff>
      <xdr:row>28</xdr:row>
      <xdr:rowOff>342861</xdr:rowOff>
    </xdr:to>
    <xdr:pic>
      <xdr:nvPicPr>
        <xdr:cNvPr id="8" name="Picture 7"/>
        <xdr:cNvPicPr>
          <a:picLocks noChangeAspect="1"/>
        </xdr:cNvPicPr>
      </xdr:nvPicPr>
      <xdr:blipFill>
        <a:blip xmlns:r="http://schemas.openxmlformats.org/officeDocument/2006/relationships" r:embed="rId7"/>
        <a:stretch>
          <a:fillRect/>
        </a:stretch>
      </xdr:blipFill>
      <xdr:spPr>
        <a:xfrm>
          <a:off x="4400550" y="13192125"/>
          <a:ext cx="571429" cy="314286"/>
        </a:xfrm>
        <a:prstGeom prst="rect">
          <a:avLst/>
        </a:prstGeom>
      </xdr:spPr>
    </xdr:pic>
    <xdr:clientData/>
  </xdr:twoCellAnchor>
  <xdr:twoCellAnchor editAs="oneCell">
    <xdr:from>
      <xdr:col>3</xdr:col>
      <xdr:colOff>28575</xdr:colOff>
      <xdr:row>28</xdr:row>
      <xdr:rowOff>38100</xdr:rowOff>
    </xdr:from>
    <xdr:to>
      <xdr:col>3</xdr:col>
      <xdr:colOff>1180956</xdr:colOff>
      <xdr:row>28</xdr:row>
      <xdr:rowOff>352386</xdr:rowOff>
    </xdr:to>
    <xdr:pic>
      <xdr:nvPicPr>
        <xdr:cNvPr id="9" name="Picture 8"/>
        <xdr:cNvPicPr>
          <a:picLocks noChangeAspect="1"/>
        </xdr:cNvPicPr>
      </xdr:nvPicPr>
      <xdr:blipFill>
        <a:blip xmlns:r="http://schemas.openxmlformats.org/officeDocument/2006/relationships" r:embed="rId8"/>
        <a:stretch>
          <a:fillRect/>
        </a:stretch>
      </xdr:blipFill>
      <xdr:spPr>
        <a:xfrm>
          <a:off x="5553075" y="13201650"/>
          <a:ext cx="1152381" cy="314286"/>
        </a:xfrm>
        <a:prstGeom prst="rect">
          <a:avLst/>
        </a:prstGeom>
      </xdr:spPr>
    </xdr:pic>
    <xdr:clientData/>
  </xdr:twoCellAnchor>
  <xdr:twoCellAnchor editAs="oneCell">
    <xdr:from>
      <xdr:col>2</xdr:col>
      <xdr:colOff>28575</xdr:colOff>
      <xdr:row>39</xdr:row>
      <xdr:rowOff>47625</xdr:rowOff>
    </xdr:from>
    <xdr:to>
      <xdr:col>2</xdr:col>
      <xdr:colOff>590480</xdr:colOff>
      <xdr:row>39</xdr:row>
      <xdr:rowOff>342863</xdr:rowOff>
    </xdr:to>
    <xdr:pic>
      <xdr:nvPicPr>
        <xdr:cNvPr id="10" name="Picture 9"/>
        <xdr:cNvPicPr>
          <a:picLocks noChangeAspect="1"/>
        </xdr:cNvPicPr>
      </xdr:nvPicPr>
      <xdr:blipFill>
        <a:blip xmlns:r="http://schemas.openxmlformats.org/officeDocument/2006/relationships" r:embed="rId9"/>
        <a:stretch>
          <a:fillRect/>
        </a:stretch>
      </xdr:blipFill>
      <xdr:spPr>
        <a:xfrm>
          <a:off x="4371975" y="16049625"/>
          <a:ext cx="561905" cy="295238"/>
        </a:xfrm>
        <a:prstGeom prst="rect">
          <a:avLst/>
        </a:prstGeom>
      </xdr:spPr>
    </xdr:pic>
    <xdr:clientData/>
  </xdr:twoCellAnchor>
  <xdr:twoCellAnchor editAs="oneCell">
    <xdr:from>
      <xdr:col>3</xdr:col>
      <xdr:colOff>38100</xdr:colOff>
      <xdr:row>39</xdr:row>
      <xdr:rowOff>14681</xdr:rowOff>
    </xdr:from>
    <xdr:to>
      <xdr:col>3</xdr:col>
      <xdr:colOff>1171575</xdr:colOff>
      <xdr:row>39</xdr:row>
      <xdr:rowOff>323811</xdr:rowOff>
    </xdr:to>
    <xdr:pic>
      <xdr:nvPicPr>
        <xdr:cNvPr id="11" name="Picture 10"/>
        <xdr:cNvPicPr>
          <a:picLocks noChangeAspect="1"/>
        </xdr:cNvPicPr>
      </xdr:nvPicPr>
      <xdr:blipFill>
        <a:blip xmlns:r="http://schemas.openxmlformats.org/officeDocument/2006/relationships" r:embed="rId10"/>
        <a:stretch>
          <a:fillRect/>
        </a:stretch>
      </xdr:blipFill>
      <xdr:spPr>
        <a:xfrm>
          <a:off x="5562600" y="16016681"/>
          <a:ext cx="1133475" cy="309130"/>
        </a:xfrm>
        <a:prstGeom prst="rect">
          <a:avLst/>
        </a:prstGeom>
      </xdr:spPr>
    </xdr:pic>
    <xdr:clientData/>
  </xdr:twoCellAnchor>
  <xdr:twoCellAnchor editAs="oneCell">
    <xdr:from>
      <xdr:col>1</xdr:col>
      <xdr:colOff>904875</xdr:colOff>
      <xdr:row>40</xdr:row>
      <xdr:rowOff>47625</xdr:rowOff>
    </xdr:from>
    <xdr:to>
      <xdr:col>2</xdr:col>
      <xdr:colOff>419100</xdr:colOff>
      <xdr:row>40</xdr:row>
      <xdr:rowOff>400006</xdr:rowOff>
    </xdr:to>
    <xdr:pic>
      <xdr:nvPicPr>
        <xdr:cNvPr id="12" name="Picture 11"/>
        <xdr:cNvPicPr>
          <a:picLocks noChangeAspect="1"/>
        </xdr:cNvPicPr>
      </xdr:nvPicPr>
      <xdr:blipFill>
        <a:blip xmlns:r="http://schemas.openxmlformats.org/officeDocument/2006/relationships" r:embed="rId11"/>
        <a:stretch>
          <a:fillRect/>
        </a:stretch>
      </xdr:blipFill>
      <xdr:spPr>
        <a:xfrm>
          <a:off x="1304925" y="16421100"/>
          <a:ext cx="3667125" cy="352381"/>
        </a:xfrm>
        <a:prstGeom prst="rect">
          <a:avLst/>
        </a:prstGeom>
      </xdr:spPr>
    </xdr:pic>
    <xdr:clientData/>
  </xdr:twoCellAnchor>
  <xdr:twoCellAnchor editAs="oneCell">
    <xdr:from>
      <xdr:col>2</xdr:col>
      <xdr:colOff>85725</xdr:colOff>
      <xdr:row>49</xdr:row>
      <xdr:rowOff>38100</xdr:rowOff>
    </xdr:from>
    <xdr:to>
      <xdr:col>2</xdr:col>
      <xdr:colOff>628582</xdr:colOff>
      <xdr:row>49</xdr:row>
      <xdr:rowOff>333338</xdr:rowOff>
    </xdr:to>
    <xdr:pic>
      <xdr:nvPicPr>
        <xdr:cNvPr id="13" name="Picture 12"/>
        <xdr:cNvPicPr>
          <a:picLocks noChangeAspect="1"/>
        </xdr:cNvPicPr>
      </xdr:nvPicPr>
      <xdr:blipFill>
        <a:blip xmlns:r="http://schemas.openxmlformats.org/officeDocument/2006/relationships" r:embed="rId12"/>
        <a:stretch>
          <a:fillRect/>
        </a:stretch>
      </xdr:blipFill>
      <xdr:spPr>
        <a:xfrm>
          <a:off x="4429125" y="18907125"/>
          <a:ext cx="542857" cy="295238"/>
        </a:xfrm>
        <a:prstGeom prst="rect">
          <a:avLst/>
        </a:prstGeom>
      </xdr:spPr>
    </xdr:pic>
    <xdr:clientData/>
  </xdr:twoCellAnchor>
  <xdr:twoCellAnchor editAs="oneCell">
    <xdr:from>
      <xdr:col>3</xdr:col>
      <xdr:colOff>47625</xdr:colOff>
      <xdr:row>49</xdr:row>
      <xdr:rowOff>19050</xdr:rowOff>
    </xdr:from>
    <xdr:to>
      <xdr:col>3</xdr:col>
      <xdr:colOff>1190482</xdr:colOff>
      <xdr:row>49</xdr:row>
      <xdr:rowOff>352383</xdr:rowOff>
    </xdr:to>
    <xdr:pic>
      <xdr:nvPicPr>
        <xdr:cNvPr id="14" name="Picture 13"/>
        <xdr:cNvPicPr>
          <a:picLocks noChangeAspect="1"/>
        </xdr:cNvPicPr>
      </xdr:nvPicPr>
      <xdr:blipFill>
        <a:blip xmlns:r="http://schemas.openxmlformats.org/officeDocument/2006/relationships" r:embed="rId13"/>
        <a:stretch>
          <a:fillRect/>
        </a:stretch>
      </xdr:blipFill>
      <xdr:spPr>
        <a:xfrm>
          <a:off x="5572125" y="18888075"/>
          <a:ext cx="1142857" cy="333333"/>
        </a:xfrm>
        <a:prstGeom prst="rect">
          <a:avLst/>
        </a:prstGeom>
      </xdr:spPr>
    </xdr:pic>
    <xdr:clientData/>
  </xdr:twoCellAnchor>
  <xdr:twoCellAnchor editAs="oneCell">
    <xdr:from>
      <xdr:col>1</xdr:col>
      <xdr:colOff>914400</xdr:colOff>
      <xdr:row>50</xdr:row>
      <xdr:rowOff>66675</xdr:rowOff>
    </xdr:from>
    <xdr:to>
      <xdr:col>2</xdr:col>
      <xdr:colOff>351976</xdr:colOff>
      <xdr:row>50</xdr:row>
      <xdr:rowOff>371437</xdr:rowOff>
    </xdr:to>
    <xdr:pic>
      <xdr:nvPicPr>
        <xdr:cNvPr id="15" name="Picture 14"/>
        <xdr:cNvPicPr>
          <a:picLocks noChangeAspect="1"/>
        </xdr:cNvPicPr>
      </xdr:nvPicPr>
      <xdr:blipFill>
        <a:blip xmlns:r="http://schemas.openxmlformats.org/officeDocument/2006/relationships" r:embed="rId14"/>
        <a:stretch>
          <a:fillRect/>
        </a:stretch>
      </xdr:blipFill>
      <xdr:spPr>
        <a:xfrm>
          <a:off x="1314450" y="19316700"/>
          <a:ext cx="3590476" cy="304762"/>
        </a:xfrm>
        <a:prstGeom prst="rect">
          <a:avLst/>
        </a:prstGeom>
      </xdr:spPr>
    </xdr:pic>
    <xdr:clientData/>
  </xdr:twoCellAnchor>
  <xdr:twoCellAnchor editAs="oneCell">
    <xdr:from>
      <xdr:col>3</xdr:col>
      <xdr:colOff>28575</xdr:colOff>
      <xdr:row>56</xdr:row>
      <xdr:rowOff>38100</xdr:rowOff>
    </xdr:from>
    <xdr:to>
      <xdr:col>3</xdr:col>
      <xdr:colOff>1161908</xdr:colOff>
      <xdr:row>56</xdr:row>
      <xdr:rowOff>323814</xdr:rowOff>
    </xdr:to>
    <xdr:pic>
      <xdr:nvPicPr>
        <xdr:cNvPr id="16" name="Picture 15"/>
        <xdr:cNvPicPr>
          <a:picLocks noChangeAspect="1"/>
        </xdr:cNvPicPr>
      </xdr:nvPicPr>
      <xdr:blipFill>
        <a:blip xmlns:r="http://schemas.openxmlformats.org/officeDocument/2006/relationships" r:embed="rId15"/>
        <a:stretch>
          <a:fillRect/>
        </a:stretch>
      </xdr:blipFill>
      <xdr:spPr>
        <a:xfrm>
          <a:off x="5553075" y="21107400"/>
          <a:ext cx="1133333" cy="285714"/>
        </a:xfrm>
        <a:prstGeom prst="rect">
          <a:avLst/>
        </a:prstGeom>
      </xdr:spPr>
    </xdr:pic>
    <xdr:clientData/>
  </xdr:twoCellAnchor>
  <xdr:twoCellAnchor editAs="oneCell">
    <xdr:from>
      <xdr:col>2</xdr:col>
      <xdr:colOff>57150</xdr:colOff>
      <xdr:row>56</xdr:row>
      <xdr:rowOff>38100</xdr:rowOff>
    </xdr:from>
    <xdr:to>
      <xdr:col>2</xdr:col>
      <xdr:colOff>609531</xdr:colOff>
      <xdr:row>56</xdr:row>
      <xdr:rowOff>333338</xdr:rowOff>
    </xdr:to>
    <xdr:pic>
      <xdr:nvPicPr>
        <xdr:cNvPr id="17" name="Picture 16"/>
        <xdr:cNvPicPr>
          <a:picLocks noChangeAspect="1"/>
        </xdr:cNvPicPr>
      </xdr:nvPicPr>
      <xdr:blipFill>
        <a:blip xmlns:r="http://schemas.openxmlformats.org/officeDocument/2006/relationships" r:embed="rId16"/>
        <a:stretch>
          <a:fillRect/>
        </a:stretch>
      </xdr:blipFill>
      <xdr:spPr>
        <a:xfrm>
          <a:off x="4400550" y="21107400"/>
          <a:ext cx="552381" cy="295238"/>
        </a:xfrm>
        <a:prstGeom prst="rect">
          <a:avLst/>
        </a:prstGeom>
      </xdr:spPr>
    </xdr:pic>
    <xdr:clientData/>
  </xdr:twoCellAnchor>
  <xdr:twoCellAnchor editAs="oneCell">
    <xdr:from>
      <xdr:col>1</xdr:col>
      <xdr:colOff>904875</xdr:colOff>
      <xdr:row>57</xdr:row>
      <xdr:rowOff>76200</xdr:rowOff>
    </xdr:from>
    <xdr:to>
      <xdr:col>2</xdr:col>
      <xdr:colOff>351975</xdr:colOff>
      <xdr:row>57</xdr:row>
      <xdr:rowOff>390486</xdr:rowOff>
    </xdr:to>
    <xdr:pic>
      <xdr:nvPicPr>
        <xdr:cNvPr id="18" name="Picture 17"/>
        <xdr:cNvPicPr>
          <a:picLocks noChangeAspect="1"/>
        </xdr:cNvPicPr>
      </xdr:nvPicPr>
      <xdr:blipFill>
        <a:blip xmlns:r="http://schemas.openxmlformats.org/officeDocument/2006/relationships" r:embed="rId17"/>
        <a:stretch>
          <a:fillRect/>
        </a:stretch>
      </xdr:blipFill>
      <xdr:spPr>
        <a:xfrm>
          <a:off x="1304925" y="21497925"/>
          <a:ext cx="3600000" cy="314286"/>
        </a:xfrm>
        <a:prstGeom prst="rect">
          <a:avLst/>
        </a:prstGeom>
      </xdr:spPr>
    </xdr:pic>
    <xdr:clientData/>
  </xdr:twoCellAnchor>
  <xdr:twoCellAnchor editAs="oneCell">
    <xdr:from>
      <xdr:col>3</xdr:col>
      <xdr:colOff>38100</xdr:colOff>
      <xdr:row>63</xdr:row>
      <xdr:rowOff>57150</xdr:rowOff>
    </xdr:from>
    <xdr:to>
      <xdr:col>3</xdr:col>
      <xdr:colOff>1209529</xdr:colOff>
      <xdr:row>63</xdr:row>
      <xdr:rowOff>352388</xdr:rowOff>
    </xdr:to>
    <xdr:pic>
      <xdr:nvPicPr>
        <xdr:cNvPr id="19" name="Picture 18"/>
        <xdr:cNvPicPr>
          <a:picLocks noChangeAspect="1"/>
        </xdr:cNvPicPr>
      </xdr:nvPicPr>
      <xdr:blipFill>
        <a:blip xmlns:r="http://schemas.openxmlformats.org/officeDocument/2006/relationships" r:embed="rId18"/>
        <a:stretch>
          <a:fillRect/>
        </a:stretch>
      </xdr:blipFill>
      <xdr:spPr>
        <a:xfrm>
          <a:off x="5562600" y="23364825"/>
          <a:ext cx="1171429" cy="295238"/>
        </a:xfrm>
        <a:prstGeom prst="rect">
          <a:avLst/>
        </a:prstGeom>
      </xdr:spPr>
    </xdr:pic>
    <xdr:clientData/>
  </xdr:twoCellAnchor>
  <xdr:twoCellAnchor editAs="oneCell">
    <xdr:from>
      <xdr:col>2</xdr:col>
      <xdr:colOff>19050</xdr:colOff>
      <xdr:row>63</xdr:row>
      <xdr:rowOff>47625</xdr:rowOff>
    </xdr:from>
    <xdr:to>
      <xdr:col>2</xdr:col>
      <xdr:colOff>561907</xdr:colOff>
      <xdr:row>63</xdr:row>
      <xdr:rowOff>361911</xdr:rowOff>
    </xdr:to>
    <xdr:pic>
      <xdr:nvPicPr>
        <xdr:cNvPr id="20" name="Picture 19"/>
        <xdr:cNvPicPr>
          <a:picLocks noChangeAspect="1"/>
        </xdr:cNvPicPr>
      </xdr:nvPicPr>
      <xdr:blipFill>
        <a:blip xmlns:r="http://schemas.openxmlformats.org/officeDocument/2006/relationships" r:embed="rId19"/>
        <a:stretch>
          <a:fillRect/>
        </a:stretch>
      </xdr:blipFill>
      <xdr:spPr>
        <a:xfrm>
          <a:off x="4362450" y="23355300"/>
          <a:ext cx="542857" cy="314286"/>
        </a:xfrm>
        <a:prstGeom prst="rect">
          <a:avLst/>
        </a:prstGeom>
      </xdr:spPr>
    </xdr:pic>
    <xdr:clientData/>
  </xdr:twoCellAnchor>
  <xdr:twoCellAnchor editAs="oneCell">
    <xdr:from>
      <xdr:col>1</xdr:col>
      <xdr:colOff>857250</xdr:colOff>
      <xdr:row>64</xdr:row>
      <xdr:rowOff>57150</xdr:rowOff>
    </xdr:from>
    <xdr:to>
      <xdr:col>2</xdr:col>
      <xdr:colOff>304350</xdr:colOff>
      <xdr:row>64</xdr:row>
      <xdr:rowOff>380960</xdr:rowOff>
    </xdr:to>
    <xdr:pic>
      <xdr:nvPicPr>
        <xdr:cNvPr id="21" name="Picture 20"/>
        <xdr:cNvPicPr>
          <a:picLocks noChangeAspect="1"/>
        </xdr:cNvPicPr>
      </xdr:nvPicPr>
      <xdr:blipFill>
        <a:blip xmlns:r="http://schemas.openxmlformats.org/officeDocument/2006/relationships" r:embed="rId20"/>
        <a:stretch>
          <a:fillRect/>
        </a:stretch>
      </xdr:blipFill>
      <xdr:spPr>
        <a:xfrm>
          <a:off x="1257300" y="23745825"/>
          <a:ext cx="3600000" cy="323810"/>
        </a:xfrm>
        <a:prstGeom prst="rect">
          <a:avLst/>
        </a:prstGeom>
      </xdr:spPr>
    </xdr:pic>
    <xdr:clientData/>
  </xdr:twoCellAnchor>
  <xdr:twoCellAnchor editAs="oneCell">
    <xdr:from>
      <xdr:col>3</xdr:col>
      <xdr:colOff>38100</xdr:colOff>
      <xdr:row>71</xdr:row>
      <xdr:rowOff>47625</xdr:rowOff>
    </xdr:from>
    <xdr:to>
      <xdr:col>3</xdr:col>
      <xdr:colOff>1180957</xdr:colOff>
      <xdr:row>71</xdr:row>
      <xdr:rowOff>352387</xdr:rowOff>
    </xdr:to>
    <xdr:pic>
      <xdr:nvPicPr>
        <xdr:cNvPr id="22" name="Picture 21"/>
        <xdr:cNvPicPr>
          <a:picLocks noChangeAspect="1"/>
        </xdr:cNvPicPr>
      </xdr:nvPicPr>
      <xdr:blipFill>
        <a:blip xmlns:r="http://schemas.openxmlformats.org/officeDocument/2006/relationships" r:embed="rId21"/>
        <a:stretch>
          <a:fillRect/>
        </a:stretch>
      </xdr:blipFill>
      <xdr:spPr>
        <a:xfrm>
          <a:off x="5562600" y="25593675"/>
          <a:ext cx="1142857" cy="304762"/>
        </a:xfrm>
        <a:prstGeom prst="rect">
          <a:avLst/>
        </a:prstGeom>
      </xdr:spPr>
    </xdr:pic>
    <xdr:clientData/>
  </xdr:twoCellAnchor>
  <xdr:twoCellAnchor editAs="oneCell">
    <xdr:from>
      <xdr:col>2</xdr:col>
      <xdr:colOff>9525</xdr:colOff>
      <xdr:row>71</xdr:row>
      <xdr:rowOff>57150</xdr:rowOff>
    </xdr:from>
    <xdr:to>
      <xdr:col>2</xdr:col>
      <xdr:colOff>561906</xdr:colOff>
      <xdr:row>71</xdr:row>
      <xdr:rowOff>352388</xdr:rowOff>
    </xdr:to>
    <xdr:pic>
      <xdr:nvPicPr>
        <xdr:cNvPr id="23" name="Picture 22"/>
        <xdr:cNvPicPr>
          <a:picLocks noChangeAspect="1"/>
        </xdr:cNvPicPr>
      </xdr:nvPicPr>
      <xdr:blipFill>
        <a:blip xmlns:r="http://schemas.openxmlformats.org/officeDocument/2006/relationships" r:embed="rId22"/>
        <a:stretch>
          <a:fillRect/>
        </a:stretch>
      </xdr:blipFill>
      <xdr:spPr>
        <a:xfrm>
          <a:off x="4352925" y="25603200"/>
          <a:ext cx="552381" cy="295238"/>
        </a:xfrm>
        <a:prstGeom prst="rect">
          <a:avLst/>
        </a:prstGeom>
      </xdr:spPr>
    </xdr:pic>
    <xdr:clientData/>
  </xdr:twoCellAnchor>
  <xdr:twoCellAnchor editAs="oneCell">
    <xdr:from>
      <xdr:col>3</xdr:col>
      <xdr:colOff>38100</xdr:colOff>
      <xdr:row>77</xdr:row>
      <xdr:rowOff>57150</xdr:rowOff>
    </xdr:from>
    <xdr:to>
      <xdr:col>3</xdr:col>
      <xdr:colOff>1171433</xdr:colOff>
      <xdr:row>77</xdr:row>
      <xdr:rowOff>333340</xdr:rowOff>
    </xdr:to>
    <xdr:pic>
      <xdr:nvPicPr>
        <xdr:cNvPr id="24" name="Picture 23"/>
        <xdr:cNvPicPr>
          <a:picLocks noChangeAspect="1"/>
        </xdr:cNvPicPr>
      </xdr:nvPicPr>
      <xdr:blipFill>
        <a:blip xmlns:r="http://schemas.openxmlformats.org/officeDocument/2006/relationships" r:embed="rId23"/>
        <a:stretch>
          <a:fillRect/>
        </a:stretch>
      </xdr:blipFill>
      <xdr:spPr>
        <a:xfrm>
          <a:off x="5562600" y="27146250"/>
          <a:ext cx="1133333" cy="276190"/>
        </a:xfrm>
        <a:prstGeom prst="rect">
          <a:avLst/>
        </a:prstGeom>
      </xdr:spPr>
    </xdr:pic>
    <xdr:clientData/>
  </xdr:twoCellAnchor>
  <xdr:twoCellAnchor editAs="oneCell">
    <xdr:from>
      <xdr:col>2</xdr:col>
      <xdr:colOff>38100</xdr:colOff>
      <xdr:row>77</xdr:row>
      <xdr:rowOff>47625</xdr:rowOff>
    </xdr:from>
    <xdr:to>
      <xdr:col>2</xdr:col>
      <xdr:colOff>580957</xdr:colOff>
      <xdr:row>77</xdr:row>
      <xdr:rowOff>342863</xdr:rowOff>
    </xdr:to>
    <xdr:pic>
      <xdr:nvPicPr>
        <xdr:cNvPr id="25" name="Picture 24"/>
        <xdr:cNvPicPr>
          <a:picLocks noChangeAspect="1"/>
        </xdr:cNvPicPr>
      </xdr:nvPicPr>
      <xdr:blipFill>
        <a:blip xmlns:r="http://schemas.openxmlformats.org/officeDocument/2006/relationships" r:embed="rId24"/>
        <a:stretch>
          <a:fillRect/>
        </a:stretch>
      </xdr:blipFill>
      <xdr:spPr>
        <a:xfrm>
          <a:off x="4591050" y="31013400"/>
          <a:ext cx="542857" cy="295238"/>
        </a:xfrm>
        <a:prstGeom prst="rect">
          <a:avLst/>
        </a:prstGeom>
      </xdr:spPr>
    </xdr:pic>
    <xdr:clientData/>
  </xdr:twoCellAnchor>
  <xdr:twoCellAnchor editAs="oneCell">
    <xdr:from>
      <xdr:col>1</xdr:col>
      <xdr:colOff>838200</xdr:colOff>
      <xdr:row>78</xdr:row>
      <xdr:rowOff>76200</xdr:rowOff>
    </xdr:from>
    <xdr:to>
      <xdr:col>2</xdr:col>
      <xdr:colOff>313871</xdr:colOff>
      <xdr:row>78</xdr:row>
      <xdr:rowOff>390486</xdr:rowOff>
    </xdr:to>
    <xdr:pic>
      <xdr:nvPicPr>
        <xdr:cNvPr id="26" name="Picture 25"/>
        <xdr:cNvPicPr>
          <a:picLocks noChangeAspect="1"/>
        </xdr:cNvPicPr>
      </xdr:nvPicPr>
      <xdr:blipFill>
        <a:blip xmlns:r="http://schemas.openxmlformats.org/officeDocument/2006/relationships" r:embed="rId25"/>
        <a:stretch>
          <a:fillRect/>
        </a:stretch>
      </xdr:blipFill>
      <xdr:spPr>
        <a:xfrm>
          <a:off x="1238250" y="27517725"/>
          <a:ext cx="3628571" cy="314286"/>
        </a:xfrm>
        <a:prstGeom prst="rect">
          <a:avLst/>
        </a:prstGeom>
      </xdr:spPr>
    </xdr:pic>
    <xdr:clientData/>
  </xdr:twoCellAnchor>
  <xdr:twoCellAnchor editAs="oneCell">
    <xdr:from>
      <xdr:col>1</xdr:col>
      <xdr:colOff>2943225</xdr:colOff>
      <xdr:row>81</xdr:row>
      <xdr:rowOff>133350</xdr:rowOff>
    </xdr:from>
    <xdr:to>
      <xdr:col>1</xdr:col>
      <xdr:colOff>3600368</xdr:colOff>
      <xdr:row>81</xdr:row>
      <xdr:rowOff>390493</xdr:rowOff>
    </xdr:to>
    <xdr:pic>
      <xdr:nvPicPr>
        <xdr:cNvPr id="35" name="Picture 34"/>
        <xdr:cNvPicPr>
          <a:picLocks noChangeAspect="1"/>
        </xdr:cNvPicPr>
      </xdr:nvPicPr>
      <xdr:blipFill>
        <a:blip xmlns:r="http://schemas.openxmlformats.org/officeDocument/2006/relationships" r:embed="rId5"/>
        <a:stretch>
          <a:fillRect/>
        </a:stretch>
      </xdr:blipFill>
      <xdr:spPr>
        <a:xfrm>
          <a:off x="3343275" y="33166050"/>
          <a:ext cx="657143" cy="257143"/>
        </a:xfrm>
        <a:prstGeom prst="rect">
          <a:avLst/>
        </a:prstGeom>
      </xdr:spPr>
    </xdr:pic>
    <xdr:clientData/>
  </xdr:twoCellAnchor>
  <xdr:twoCellAnchor editAs="oneCell">
    <xdr:from>
      <xdr:col>1</xdr:col>
      <xdr:colOff>314325</xdr:colOff>
      <xdr:row>80</xdr:row>
      <xdr:rowOff>76200</xdr:rowOff>
    </xdr:from>
    <xdr:to>
      <xdr:col>1</xdr:col>
      <xdr:colOff>3419474</xdr:colOff>
      <xdr:row>80</xdr:row>
      <xdr:rowOff>742951</xdr:rowOff>
    </xdr:to>
    <xdr:pic>
      <xdr:nvPicPr>
        <xdr:cNvPr id="32" name="Picture 31"/>
        <xdr:cNvPicPr>
          <a:picLocks noChangeAspect="1"/>
        </xdr:cNvPicPr>
      </xdr:nvPicPr>
      <xdr:blipFill>
        <a:blip xmlns:r="http://schemas.openxmlformats.org/officeDocument/2006/relationships" r:embed="rId4"/>
        <a:stretch>
          <a:fillRect/>
        </a:stretch>
      </xdr:blipFill>
      <xdr:spPr>
        <a:xfrm>
          <a:off x="714375" y="32204025"/>
          <a:ext cx="3105149" cy="6667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19049</xdr:colOff>
      <xdr:row>79</xdr:row>
      <xdr:rowOff>38100</xdr:rowOff>
    </xdr:from>
    <xdr:to>
      <xdr:col>17</xdr:col>
      <xdr:colOff>571499</xdr:colOff>
      <xdr:row>97</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23812</xdr:colOff>
      <xdr:row>101</xdr:row>
      <xdr:rowOff>28574</xdr:rowOff>
    </xdr:from>
    <xdr:to>
      <xdr:col>17</xdr:col>
      <xdr:colOff>581025</xdr:colOff>
      <xdr:row>117</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33336</xdr:colOff>
      <xdr:row>120</xdr:row>
      <xdr:rowOff>95249</xdr:rowOff>
    </xdr:from>
    <xdr:to>
      <xdr:col>17</xdr:col>
      <xdr:colOff>581024</xdr:colOff>
      <xdr:row>136</xdr:row>
      <xdr:rowOff>104774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70</xdr:row>
      <xdr:rowOff>76200</xdr:rowOff>
    </xdr:from>
    <xdr:to>
      <xdr:col>2</xdr:col>
      <xdr:colOff>323400</xdr:colOff>
      <xdr:row>70</xdr:row>
      <xdr:rowOff>400010</xdr:rowOff>
    </xdr:to>
    <xdr:pic>
      <xdr:nvPicPr>
        <xdr:cNvPr id="37" name="Picture 36"/>
        <xdr:cNvPicPr>
          <a:picLocks noChangeAspect="1"/>
        </xdr:cNvPicPr>
      </xdr:nvPicPr>
      <xdr:blipFill>
        <a:blip xmlns:r="http://schemas.openxmlformats.org/officeDocument/2006/relationships" r:embed="rId1"/>
        <a:stretch>
          <a:fillRect/>
        </a:stretch>
      </xdr:blipFill>
      <xdr:spPr>
        <a:xfrm>
          <a:off x="95250" y="29337000"/>
          <a:ext cx="3600000" cy="323810"/>
        </a:xfrm>
        <a:prstGeom prst="rect">
          <a:avLst/>
        </a:prstGeom>
      </xdr:spPr>
    </xdr:pic>
    <xdr:clientData/>
  </xdr:twoCellAnchor>
  <xdr:twoCellAnchor editAs="oneCell">
    <xdr:from>
      <xdr:col>2</xdr:col>
      <xdr:colOff>95250</xdr:colOff>
      <xdr:row>12</xdr:row>
      <xdr:rowOff>152399</xdr:rowOff>
    </xdr:from>
    <xdr:to>
      <xdr:col>2</xdr:col>
      <xdr:colOff>704850</xdr:colOff>
      <xdr:row>12</xdr:row>
      <xdr:rowOff>721894</xdr:rowOff>
    </xdr:to>
    <xdr:pic>
      <xdr:nvPicPr>
        <xdr:cNvPr id="2" name="Picture 1"/>
        <xdr:cNvPicPr>
          <a:picLocks noChangeAspect="1"/>
        </xdr:cNvPicPr>
      </xdr:nvPicPr>
      <xdr:blipFill>
        <a:blip xmlns:r="http://schemas.openxmlformats.org/officeDocument/2006/relationships" r:embed="rId2"/>
        <a:stretch>
          <a:fillRect/>
        </a:stretch>
      </xdr:blipFill>
      <xdr:spPr>
        <a:xfrm>
          <a:off x="3686175" y="4343399"/>
          <a:ext cx="609600" cy="569495"/>
        </a:xfrm>
        <a:prstGeom prst="rect">
          <a:avLst/>
        </a:prstGeom>
      </xdr:spPr>
    </xdr:pic>
    <xdr:clientData/>
  </xdr:twoCellAnchor>
  <xdr:twoCellAnchor editAs="oneCell">
    <xdr:from>
      <xdr:col>3</xdr:col>
      <xdr:colOff>76199</xdr:colOff>
      <xdr:row>12</xdr:row>
      <xdr:rowOff>160815</xdr:rowOff>
    </xdr:from>
    <xdr:to>
      <xdr:col>3</xdr:col>
      <xdr:colOff>819150</xdr:colOff>
      <xdr:row>12</xdr:row>
      <xdr:rowOff>736940</xdr:rowOff>
    </xdr:to>
    <xdr:pic>
      <xdr:nvPicPr>
        <xdr:cNvPr id="3" name="Picture 2"/>
        <xdr:cNvPicPr>
          <a:picLocks noChangeAspect="1"/>
        </xdr:cNvPicPr>
      </xdr:nvPicPr>
      <xdr:blipFill>
        <a:blip xmlns:r="http://schemas.openxmlformats.org/officeDocument/2006/relationships" r:embed="rId3"/>
        <a:stretch>
          <a:fillRect/>
        </a:stretch>
      </xdr:blipFill>
      <xdr:spPr>
        <a:xfrm>
          <a:off x="4714874" y="4351815"/>
          <a:ext cx="742951" cy="576125"/>
        </a:xfrm>
        <a:prstGeom prst="rect">
          <a:avLst/>
        </a:prstGeom>
      </xdr:spPr>
    </xdr:pic>
    <xdr:clientData/>
  </xdr:twoCellAnchor>
  <xdr:twoCellAnchor editAs="oneCell">
    <xdr:from>
      <xdr:col>1</xdr:col>
      <xdr:colOff>123825</xdr:colOff>
      <xdr:row>14</xdr:row>
      <xdr:rowOff>123824</xdr:rowOff>
    </xdr:from>
    <xdr:to>
      <xdr:col>2</xdr:col>
      <xdr:colOff>257174</xdr:colOff>
      <xdr:row>14</xdr:row>
      <xdr:rowOff>790575</xdr:rowOff>
    </xdr:to>
    <xdr:pic>
      <xdr:nvPicPr>
        <xdr:cNvPr id="4" name="Picture 3"/>
        <xdr:cNvPicPr>
          <a:picLocks noChangeAspect="1"/>
        </xdr:cNvPicPr>
      </xdr:nvPicPr>
      <xdr:blipFill>
        <a:blip xmlns:r="http://schemas.openxmlformats.org/officeDocument/2006/relationships" r:embed="rId4"/>
        <a:stretch>
          <a:fillRect/>
        </a:stretch>
      </xdr:blipFill>
      <xdr:spPr>
        <a:xfrm>
          <a:off x="523875" y="8020049"/>
          <a:ext cx="3105149" cy="666751"/>
        </a:xfrm>
        <a:prstGeom prst="rect">
          <a:avLst/>
        </a:prstGeom>
      </xdr:spPr>
    </xdr:pic>
    <xdr:clientData/>
  </xdr:twoCellAnchor>
  <xdr:twoCellAnchor editAs="oneCell">
    <xdr:from>
      <xdr:col>1</xdr:col>
      <xdr:colOff>2600325</xdr:colOff>
      <xdr:row>16</xdr:row>
      <xdr:rowOff>104775</xdr:rowOff>
    </xdr:from>
    <xdr:to>
      <xdr:col>2</xdr:col>
      <xdr:colOff>285668</xdr:colOff>
      <xdr:row>16</xdr:row>
      <xdr:rowOff>361918</xdr:rowOff>
    </xdr:to>
    <xdr:pic>
      <xdr:nvPicPr>
        <xdr:cNvPr id="5" name="Picture 4"/>
        <xdr:cNvPicPr>
          <a:picLocks noChangeAspect="1"/>
        </xdr:cNvPicPr>
      </xdr:nvPicPr>
      <xdr:blipFill>
        <a:blip xmlns:r="http://schemas.openxmlformats.org/officeDocument/2006/relationships" r:embed="rId5"/>
        <a:stretch>
          <a:fillRect/>
        </a:stretch>
      </xdr:blipFill>
      <xdr:spPr>
        <a:xfrm>
          <a:off x="3000375" y="9172575"/>
          <a:ext cx="657143" cy="257143"/>
        </a:xfrm>
        <a:prstGeom prst="rect">
          <a:avLst/>
        </a:prstGeom>
      </xdr:spPr>
    </xdr:pic>
    <xdr:clientData/>
  </xdr:twoCellAnchor>
  <xdr:twoCellAnchor editAs="oneCell">
    <xdr:from>
      <xdr:col>0</xdr:col>
      <xdr:colOff>95250</xdr:colOff>
      <xdr:row>29</xdr:row>
      <xdr:rowOff>47625</xdr:rowOff>
    </xdr:from>
    <xdr:to>
      <xdr:col>2</xdr:col>
      <xdr:colOff>304352</xdr:colOff>
      <xdr:row>29</xdr:row>
      <xdr:rowOff>352425</xdr:rowOff>
    </xdr:to>
    <xdr:pic>
      <xdr:nvPicPr>
        <xdr:cNvPr id="20" name="Picture 19"/>
        <xdr:cNvPicPr>
          <a:picLocks noChangeAspect="1"/>
        </xdr:cNvPicPr>
      </xdr:nvPicPr>
      <xdr:blipFill>
        <a:blip xmlns:r="http://schemas.openxmlformats.org/officeDocument/2006/relationships" r:embed="rId6"/>
        <a:stretch>
          <a:fillRect/>
        </a:stretch>
      </xdr:blipFill>
      <xdr:spPr>
        <a:xfrm>
          <a:off x="95250" y="13935075"/>
          <a:ext cx="3580952" cy="304800"/>
        </a:xfrm>
        <a:prstGeom prst="rect">
          <a:avLst/>
        </a:prstGeom>
      </xdr:spPr>
    </xdr:pic>
    <xdr:clientData/>
  </xdr:twoCellAnchor>
  <xdr:twoCellAnchor editAs="oneCell">
    <xdr:from>
      <xdr:col>2</xdr:col>
      <xdr:colOff>57150</xdr:colOff>
      <xdr:row>28</xdr:row>
      <xdr:rowOff>28575</xdr:rowOff>
    </xdr:from>
    <xdr:to>
      <xdr:col>2</xdr:col>
      <xdr:colOff>628579</xdr:colOff>
      <xdr:row>28</xdr:row>
      <xdr:rowOff>342861</xdr:rowOff>
    </xdr:to>
    <xdr:pic>
      <xdr:nvPicPr>
        <xdr:cNvPr id="21" name="Picture 20"/>
        <xdr:cNvPicPr>
          <a:picLocks noChangeAspect="1"/>
        </xdr:cNvPicPr>
      </xdr:nvPicPr>
      <xdr:blipFill>
        <a:blip xmlns:r="http://schemas.openxmlformats.org/officeDocument/2006/relationships" r:embed="rId7"/>
        <a:stretch>
          <a:fillRect/>
        </a:stretch>
      </xdr:blipFill>
      <xdr:spPr>
        <a:xfrm>
          <a:off x="4400550" y="13192125"/>
          <a:ext cx="571429" cy="314286"/>
        </a:xfrm>
        <a:prstGeom prst="rect">
          <a:avLst/>
        </a:prstGeom>
      </xdr:spPr>
    </xdr:pic>
    <xdr:clientData/>
  </xdr:twoCellAnchor>
  <xdr:twoCellAnchor editAs="oneCell">
    <xdr:from>
      <xdr:col>3</xdr:col>
      <xdr:colOff>28575</xdr:colOff>
      <xdr:row>28</xdr:row>
      <xdr:rowOff>38100</xdr:rowOff>
    </xdr:from>
    <xdr:to>
      <xdr:col>3</xdr:col>
      <xdr:colOff>1180956</xdr:colOff>
      <xdr:row>28</xdr:row>
      <xdr:rowOff>352386</xdr:rowOff>
    </xdr:to>
    <xdr:pic>
      <xdr:nvPicPr>
        <xdr:cNvPr id="22" name="Picture 21"/>
        <xdr:cNvPicPr>
          <a:picLocks noChangeAspect="1"/>
        </xdr:cNvPicPr>
      </xdr:nvPicPr>
      <xdr:blipFill>
        <a:blip xmlns:r="http://schemas.openxmlformats.org/officeDocument/2006/relationships" r:embed="rId8"/>
        <a:stretch>
          <a:fillRect/>
        </a:stretch>
      </xdr:blipFill>
      <xdr:spPr>
        <a:xfrm>
          <a:off x="4667250" y="9896475"/>
          <a:ext cx="1152381" cy="314286"/>
        </a:xfrm>
        <a:prstGeom prst="rect">
          <a:avLst/>
        </a:prstGeom>
      </xdr:spPr>
    </xdr:pic>
    <xdr:clientData/>
  </xdr:twoCellAnchor>
  <xdr:twoCellAnchor editAs="oneCell">
    <xdr:from>
      <xdr:col>2</xdr:col>
      <xdr:colOff>28575</xdr:colOff>
      <xdr:row>38</xdr:row>
      <xdr:rowOff>47625</xdr:rowOff>
    </xdr:from>
    <xdr:to>
      <xdr:col>2</xdr:col>
      <xdr:colOff>590480</xdr:colOff>
      <xdr:row>38</xdr:row>
      <xdr:rowOff>342863</xdr:rowOff>
    </xdr:to>
    <xdr:pic>
      <xdr:nvPicPr>
        <xdr:cNvPr id="23" name="Picture 22"/>
        <xdr:cNvPicPr>
          <a:picLocks noChangeAspect="1"/>
        </xdr:cNvPicPr>
      </xdr:nvPicPr>
      <xdr:blipFill>
        <a:blip xmlns:r="http://schemas.openxmlformats.org/officeDocument/2006/relationships" r:embed="rId9"/>
        <a:stretch>
          <a:fillRect/>
        </a:stretch>
      </xdr:blipFill>
      <xdr:spPr>
        <a:xfrm>
          <a:off x="3619500" y="11877675"/>
          <a:ext cx="561905" cy="295238"/>
        </a:xfrm>
        <a:prstGeom prst="rect">
          <a:avLst/>
        </a:prstGeom>
      </xdr:spPr>
    </xdr:pic>
    <xdr:clientData/>
  </xdr:twoCellAnchor>
  <xdr:twoCellAnchor editAs="oneCell">
    <xdr:from>
      <xdr:col>3</xdr:col>
      <xdr:colOff>38100</xdr:colOff>
      <xdr:row>38</xdr:row>
      <xdr:rowOff>14681</xdr:rowOff>
    </xdr:from>
    <xdr:to>
      <xdr:col>3</xdr:col>
      <xdr:colOff>1171575</xdr:colOff>
      <xdr:row>38</xdr:row>
      <xdr:rowOff>323811</xdr:rowOff>
    </xdr:to>
    <xdr:pic>
      <xdr:nvPicPr>
        <xdr:cNvPr id="24" name="Picture 23"/>
        <xdr:cNvPicPr>
          <a:picLocks noChangeAspect="1"/>
        </xdr:cNvPicPr>
      </xdr:nvPicPr>
      <xdr:blipFill>
        <a:blip xmlns:r="http://schemas.openxmlformats.org/officeDocument/2006/relationships" r:embed="rId10"/>
        <a:stretch>
          <a:fillRect/>
        </a:stretch>
      </xdr:blipFill>
      <xdr:spPr>
        <a:xfrm>
          <a:off x="4676775" y="11844731"/>
          <a:ext cx="1133475" cy="309130"/>
        </a:xfrm>
        <a:prstGeom prst="rect">
          <a:avLst/>
        </a:prstGeom>
      </xdr:spPr>
    </xdr:pic>
    <xdr:clientData/>
  </xdr:twoCellAnchor>
  <xdr:twoCellAnchor editAs="oneCell">
    <xdr:from>
      <xdr:col>0</xdr:col>
      <xdr:colOff>57150</xdr:colOff>
      <xdr:row>39</xdr:row>
      <xdr:rowOff>57150</xdr:rowOff>
    </xdr:from>
    <xdr:to>
      <xdr:col>2</xdr:col>
      <xdr:colOff>352425</xdr:colOff>
      <xdr:row>39</xdr:row>
      <xdr:rowOff>409531</xdr:rowOff>
    </xdr:to>
    <xdr:pic>
      <xdr:nvPicPr>
        <xdr:cNvPr id="25" name="Picture 24"/>
        <xdr:cNvPicPr>
          <a:picLocks noChangeAspect="1"/>
        </xdr:cNvPicPr>
      </xdr:nvPicPr>
      <xdr:blipFill>
        <a:blip xmlns:r="http://schemas.openxmlformats.org/officeDocument/2006/relationships" r:embed="rId11"/>
        <a:stretch>
          <a:fillRect/>
        </a:stretch>
      </xdr:blipFill>
      <xdr:spPr>
        <a:xfrm>
          <a:off x="57150" y="17573625"/>
          <a:ext cx="3667125" cy="352381"/>
        </a:xfrm>
        <a:prstGeom prst="rect">
          <a:avLst/>
        </a:prstGeom>
      </xdr:spPr>
    </xdr:pic>
    <xdr:clientData/>
  </xdr:twoCellAnchor>
  <xdr:twoCellAnchor editAs="oneCell">
    <xdr:from>
      <xdr:col>2</xdr:col>
      <xdr:colOff>85725</xdr:colOff>
      <xdr:row>48</xdr:row>
      <xdr:rowOff>38100</xdr:rowOff>
    </xdr:from>
    <xdr:to>
      <xdr:col>2</xdr:col>
      <xdr:colOff>628582</xdr:colOff>
      <xdr:row>48</xdr:row>
      <xdr:rowOff>333338</xdr:rowOff>
    </xdr:to>
    <xdr:pic>
      <xdr:nvPicPr>
        <xdr:cNvPr id="26" name="Picture 25"/>
        <xdr:cNvPicPr>
          <a:picLocks noChangeAspect="1"/>
        </xdr:cNvPicPr>
      </xdr:nvPicPr>
      <xdr:blipFill>
        <a:blip xmlns:r="http://schemas.openxmlformats.org/officeDocument/2006/relationships" r:embed="rId12"/>
        <a:stretch>
          <a:fillRect/>
        </a:stretch>
      </xdr:blipFill>
      <xdr:spPr>
        <a:xfrm>
          <a:off x="4438650" y="19326225"/>
          <a:ext cx="542857" cy="295238"/>
        </a:xfrm>
        <a:prstGeom prst="rect">
          <a:avLst/>
        </a:prstGeom>
      </xdr:spPr>
    </xdr:pic>
    <xdr:clientData/>
  </xdr:twoCellAnchor>
  <xdr:twoCellAnchor editAs="oneCell">
    <xdr:from>
      <xdr:col>3</xdr:col>
      <xdr:colOff>47625</xdr:colOff>
      <xdr:row>48</xdr:row>
      <xdr:rowOff>19050</xdr:rowOff>
    </xdr:from>
    <xdr:to>
      <xdr:col>3</xdr:col>
      <xdr:colOff>1190482</xdr:colOff>
      <xdr:row>48</xdr:row>
      <xdr:rowOff>352383</xdr:rowOff>
    </xdr:to>
    <xdr:pic>
      <xdr:nvPicPr>
        <xdr:cNvPr id="27" name="Picture 26"/>
        <xdr:cNvPicPr>
          <a:picLocks noChangeAspect="1"/>
        </xdr:cNvPicPr>
      </xdr:nvPicPr>
      <xdr:blipFill>
        <a:blip xmlns:r="http://schemas.openxmlformats.org/officeDocument/2006/relationships" r:embed="rId13"/>
        <a:stretch>
          <a:fillRect/>
        </a:stretch>
      </xdr:blipFill>
      <xdr:spPr>
        <a:xfrm>
          <a:off x="5495925" y="19307175"/>
          <a:ext cx="1142857" cy="333333"/>
        </a:xfrm>
        <a:prstGeom prst="rect">
          <a:avLst/>
        </a:prstGeom>
      </xdr:spPr>
    </xdr:pic>
    <xdr:clientData/>
  </xdr:twoCellAnchor>
  <xdr:twoCellAnchor editAs="oneCell">
    <xdr:from>
      <xdr:col>0</xdr:col>
      <xdr:colOff>66675</xdr:colOff>
      <xdr:row>49</xdr:row>
      <xdr:rowOff>76200</xdr:rowOff>
    </xdr:from>
    <xdr:to>
      <xdr:col>2</xdr:col>
      <xdr:colOff>285301</xdr:colOff>
      <xdr:row>49</xdr:row>
      <xdr:rowOff>380962</xdr:rowOff>
    </xdr:to>
    <xdr:pic>
      <xdr:nvPicPr>
        <xdr:cNvPr id="28" name="Picture 27"/>
        <xdr:cNvPicPr>
          <a:picLocks noChangeAspect="1"/>
        </xdr:cNvPicPr>
      </xdr:nvPicPr>
      <xdr:blipFill>
        <a:blip xmlns:r="http://schemas.openxmlformats.org/officeDocument/2006/relationships" r:embed="rId14"/>
        <a:stretch>
          <a:fillRect/>
        </a:stretch>
      </xdr:blipFill>
      <xdr:spPr>
        <a:xfrm>
          <a:off x="66675" y="21269325"/>
          <a:ext cx="3590476" cy="304762"/>
        </a:xfrm>
        <a:prstGeom prst="rect">
          <a:avLst/>
        </a:prstGeom>
      </xdr:spPr>
    </xdr:pic>
    <xdr:clientData/>
  </xdr:twoCellAnchor>
  <xdr:twoCellAnchor editAs="oneCell">
    <xdr:from>
      <xdr:col>3</xdr:col>
      <xdr:colOff>28575</xdr:colOff>
      <xdr:row>55</xdr:row>
      <xdr:rowOff>38100</xdr:rowOff>
    </xdr:from>
    <xdr:to>
      <xdr:col>3</xdr:col>
      <xdr:colOff>1161908</xdr:colOff>
      <xdr:row>55</xdr:row>
      <xdr:rowOff>323814</xdr:rowOff>
    </xdr:to>
    <xdr:pic>
      <xdr:nvPicPr>
        <xdr:cNvPr id="29" name="Picture 28"/>
        <xdr:cNvPicPr>
          <a:picLocks noChangeAspect="1"/>
        </xdr:cNvPicPr>
      </xdr:nvPicPr>
      <xdr:blipFill>
        <a:blip xmlns:r="http://schemas.openxmlformats.org/officeDocument/2006/relationships" r:embed="rId15"/>
        <a:stretch>
          <a:fillRect/>
        </a:stretch>
      </xdr:blipFill>
      <xdr:spPr>
        <a:xfrm>
          <a:off x="5476875" y="21412200"/>
          <a:ext cx="1133333" cy="285714"/>
        </a:xfrm>
        <a:prstGeom prst="rect">
          <a:avLst/>
        </a:prstGeom>
      </xdr:spPr>
    </xdr:pic>
    <xdr:clientData/>
  </xdr:twoCellAnchor>
  <xdr:twoCellAnchor editAs="oneCell">
    <xdr:from>
      <xdr:col>2</xdr:col>
      <xdr:colOff>57150</xdr:colOff>
      <xdr:row>55</xdr:row>
      <xdr:rowOff>38100</xdr:rowOff>
    </xdr:from>
    <xdr:to>
      <xdr:col>2</xdr:col>
      <xdr:colOff>609531</xdr:colOff>
      <xdr:row>55</xdr:row>
      <xdr:rowOff>333338</xdr:rowOff>
    </xdr:to>
    <xdr:pic>
      <xdr:nvPicPr>
        <xdr:cNvPr id="30" name="Picture 29"/>
        <xdr:cNvPicPr>
          <a:picLocks noChangeAspect="1"/>
        </xdr:cNvPicPr>
      </xdr:nvPicPr>
      <xdr:blipFill>
        <a:blip xmlns:r="http://schemas.openxmlformats.org/officeDocument/2006/relationships" r:embed="rId16"/>
        <a:stretch>
          <a:fillRect/>
        </a:stretch>
      </xdr:blipFill>
      <xdr:spPr>
        <a:xfrm>
          <a:off x="4410075" y="21412200"/>
          <a:ext cx="552381" cy="295238"/>
        </a:xfrm>
        <a:prstGeom prst="rect">
          <a:avLst/>
        </a:prstGeom>
      </xdr:spPr>
    </xdr:pic>
    <xdr:clientData/>
  </xdr:twoCellAnchor>
  <xdr:twoCellAnchor editAs="oneCell">
    <xdr:from>
      <xdr:col>0</xdr:col>
      <xdr:colOff>19050</xdr:colOff>
      <xdr:row>56</xdr:row>
      <xdr:rowOff>76200</xdr:rowOff>
    </xdr:from>
    <xdr:to>
      <xdr:col>2</xdr:col>
      <xdr:colOff>247200</xdr:colOff>
      <xdr:row>56</xdr:row>
      <xdr:rowOff>390486</xdr:rowOff>
    </xdr:to>
    <xdr:pic>
      <xdr:nvPicPr>
        <xdr:cNvPr id="31" name="Picture 30"/>
        <xdr:cNvPicPr>
          <a:picLocks noChangeAspect="1"/>
        </xdr:cNvPicPr>
      </xdr:nvPicPr>
      <xdr:blipFill>
        <a:blip xmlns:r="http://schemas.openxmlformats.org/officeDocument/2006/relationships" r:embed="rId17"/>
        <a:stretch>
          <a:fillRect/>
        </a:stretch>
      </xdr:blipFill>
      <xdr:spPr>
        <a:xfrm>
          <a:off x="19050" y="23898225"/>
          <a:ext cx="3600000" cy="314286"/>
        </a:xfrm>
        <a:prstGeom prst="rect">
          <a:avLst/>
        </a:prstGeom>
      </xdr:spPr>
    </xdr:pic>
    <xdr:clientData/>
  </xdr:twoCellAnchor>
  <xdr:twoCellAnchor editAs="oneCell">
    <xdr:from>
      <xdr:col>3</xdr:col>
      <xdr:colOff>38100</xdr:colOff>
      <xdr:row>62</xdr:row>
      <xdr:rowOff>57150</xdr:rowOff>
    </xdr:from>
    <xdr:to>
      <xdr:col>3</xdr:col>
      <xdr:colOff>1209529</xdr:colOff>
      <xdr:row>62</xdr:row>
      <xdr:rowOff>352388</xdr:rowOff>
    </xdr:to>
    <xdr:pic>
      <xdr:nvPicPr>
        <xdr:cNvPr id="32" name="Picture 31"/>
        <xdr:cNvPicPr>
          <a:picLocks noChangeAspect="1"/>
        </xdr:cNvPicPr>
      </xdr:nvPicPr>
      <xdr:blipFill>
        <a:blip xmlns:r="http://schemas.openxmlformats.org/officeDocument/2006/relationships" r:embed="rId18"/>
        <a:stretch>
          <a:fillRect/>
        </a:stretch>
      </xdr:blipFill>
      <xdr:spPr>
        <a:xfrm>
          <a:off x="4676775" y="17306925"/>
          <a:ext cx="1171429" cy="295238"/>
        </a:xfrm>
        <a:prstGeom prst="rect">
          <a:avLst/>
        </a:prstGeom>
      </xdr:spPr>
    </xdr:pic>
    <xdr:clientData/>
  </xdr:twoCellAnchor>
  <xdr:twoCellAnchor editAs="oneCell">
    <xdr:from>
      <xdr:col>2</xdr:col>
      <xdr:colOff>19050</xdr:colOff>
      <xdr:row>62</xdr:row>
      <xdr:rowOff>47625</xdr:rowOff>
    </xdr:from>
    <xdr:to>
      <xdr:col>2</xdr:col>
      <xdr:colOff>561907</xdr:colOff>
      <xdr:row>62</xdr:row>
      <xdr:rowOff>361911</xdr:rowOff>
    </xdr:to>
    <xdr:pic>
      <xdr:nvPicPr>
        <xdr:cNvPr id="33" name="Picture 32"/>
        <xdr:cNvPicPr>
          <a:picLocks noChangeAspect="1"/>
        </xdr:cNvPicPr>
      </xdr:nvPicPr>
      <xdr:blipFill>
        <a:blip xmlns:r="http://schemas.openxmlformats.org/officeDocument/2006/relationships" r:embed="rId19"/>
        <a:stretch>
          <a:fillRect/>
        </a:stretch>
      </xdr:blipFill>
      <xdr:spPr>
        <a:xfrm>
          <a:off x="3609975" y="17297400"/>
          <a:ext cx="542857" cy="314286"/>
        </a:xfrm>
        <a:prstGeom prst="rect">
          <a:avLst/>
        </a:prstGeom>
      </xdr:spPr>
    </xdr:pic>
    <xdr:clientData/>
  </xdr:twoCellAnchor>
  <xdr:twoCellAnchor editAs="oneCell">
    <xdr:from>
      <xdr:col>0</xdr:col>
      <xdr:colOff>57150</xdr:colOff>
      <xdr:row>63</xdr:row>
      <xdr:rowOff>85725</xdr:rowOff>
    </xdr:from>
    <xdr:to>
      <xdr:col>2</xdr:col>
      <xdr:colOff>285300</xdr:colOff>
      <xdr:row>63</xdr:row>
      <xdr:rowOff>409535</xdr:rowOff>
    </xdr:to>
    <xdr:pic>
      <xdr:nvPicPr>
        <xdr:cNvPr id="34" name="Picture 33"/>
        <xdr:cNvPicPr>
          <a:picLocks noChangeAspect="1"/>
        </xdr:cNvPicPr>
      </xdr:nvPicPr>
      <xdr:blipFill>
        <a:blip xmlns:r="http://schemas.openxmlformats.org/officeDocument/2006/relationships" r:embed="rId20"/>
        <a:stretch>
          <a:fillRect/>
        </a:stretch>
      </xdr:blipFill>
      <xdr:spPr>
        <a:xfrm>
          <a:off x="57150" y="26527125"/>
          <a:ext cx="3600000" cy="323810"/>
        </a:xfrm>
        <a:prstGeom prst="rect">
          <a:avLst/>
        </a:prstGeom>
      </xdr:spPr>
    </xdr:pic>
    <xdr:clientData/>
  </xdr:twoCellAnchor>
  <xdr:twoCellAnchor editAs="oneCell">
    <xdr:from>
      <xdr:col>3</xdr:col>
      <xdr:colOff>38100</xdr:colOff>
      <xdr:row>69</xdr:row>
      <xdr:rowOff>47625</xdr:rowOff>
    </xdr:from>
    <xdr:to>
      <xdr:col>3</xdr:col>
      <xdr:colOff>1180957</xdr:colOff>
      <xdr:row>69</xdr:row>
      <xdr:rowOff>352387</xdr:rowOff>
    </xdr:to>
    <xdr:pic>
      <xdr:nvPicPr>
        <xdr:cNvPr id="35" name="Picture 34"/>
        <xdr:cNvPicPr>
          <a:picLocks noChangeAspect="1"/>
        </xdr:cNvPicPr>
      </xdr:nvPicPr>
      <xdr:blipFill>
        <a:blip xmlns:r="http://schemas.openxmlformats.org/officeDocument/2006/relationships" r:embed="rId21"/>
        <a:stretch>
          <a:fillRect/>
        </a:stretch>
      </xdr:blipFill>
      <xdr:spPr>
        <a:xfrm>
          <a:off x="4676775" y="18897600"/>
          <a:ext cx="1142857" cy="304762"/>
        </a:xfrm>
        <a:prstGeom prst="rect">
          <a:avLst/>
        </a:prstGeom>
      </xdr:spPr>
    </xdr:pic>
    <xdr:clientData/>
  </xdr:twoCellAnchor>
  <xdr:twoCellAnchor editAs="oneCell">
    <xdr:from>
      <xdr:col>2</xdr:col>
      <xdr:colOff>9525</xdr:colOff>
      <xdr:row>69</xdr:row>
      <xdr:rowOff>57150</xdr:rowOff>
    </xdr:from>
    <xdr:to>
      <xdr:col>2</xdr:col>
      <xdr:colOff>561906</xdr:colOff>
      <xdr:row>69</xdr:row>
      <xdr:rowOff>352388</xdr:rowOff>
    </xdr:to>
    <xdr:pic>
      <xdr:nvPicPr>
        <xdr:cNvPr id="36" name="Picture 35"/>
        <xdr:cNvPicPr>
          <a:picLocks noChangeAspect="1"/>
        </xdr:cNvPicPr>
      </xdr:nvPicPr>
      <xdr:blipFill>
        <a:blip xmlns:r="http://schemas.openxmlformats.org/officeDocument/2006/relationships" r:embed="rId22"/>
        <a:stretch>
          <a:fillRect/>
        </a:stretch>
      </xdr:blipFill>
      <xdr:spPr>
        <a:xfrm>
          <a:off x="3600450" y="18907125"/>
          <a:ext cx="552381" cy="295238"/>
        </a:xfrm>
        <a:prstGeom prst="rect">
          <a:avLst/>
        </a:prstGeom>
      </xdr:spPr>
    </xdr:pic>
    <xdr:clientData/>
  </xdr:twoCellAnchor>
  <xdr:twoCellAnchor editAs="oneCell">
    <xdr:from>
      <xdr:col>3</xdr:col>
      <xdr:colOff>38100</xdr:colOff>
      <xdr:row>73</xdr:row>
      <xdr:rowOff>57150</xdr:rowOff>
    </xdr:from>
    <xdr:to>
      <xdr:col>3</xdr:col>
      <xdr:colOff>1171433</xdr:colOff>
      <xdr:row>73</xdr:row>
      <xdr:rowOff>333340</xdr:rowOff>
    </xdr:to>
    <xdr:pic>
      <xdr:nvPicPr>
        <xdr:cNvPr id="38" name="Picture 37"/>
        <xdr:cNvPicPr>
          <a:picLocks noChangeAspect="1"/>
        </xdr:cNvPicPr>
      </xdr:nvPicPr>
      <xdr:blipFill>
        <a:blip xmlns:r="http://schemas.openxmlformats.org/officeDocument/2006/relationships" r:embed="rId23"/>
        <a:stretch>
          <a:fillRect/>
        </a:stretch>
      </xdr:blipFill>
      <xdr:spPr>
        <a:xfrm>
          <a:off x="4676775" y="20126325"/>
          <a:ext cx="1133333" cy="276190"/>
        </a:xfrm>
        <a:prstGeom prst="rect">
          <a:avLst/>
        </a:prstGeom>
      </xdr:spPr>
    </xdr:pic>
    <xdr:clientData/>
  </xdr:twoCellAnchor>
  <xdr:twoCellAnchor editAs="oneCell">
    <xdr:from>
      <xdr:col>2</xdr:col>
      <xdr:colOff>28575</xdr:colOff>
      <xdr:row>73</xdr:row>
      <xdr:rowOff>47625</xdr:rowOff>
    </xdr:from>
    <xdr:to>
      <xdr:col>2</xdr:col>
      <xdr:colOff>571432</xdr:colOff>
      <xdr:row>73</xdr:row>
      <xdr:rowOff>342863</xdr:rowOff>
    </xdr:to>
    <xdr:pic>
      <xdr:nvPicPr>
        <xdr:cNvPr id="39" name="Picture 38"/>
        <xdr:cNvPicPr>
          <a:picLocks noChangeAspect="1"/>
        </xdr:cNvPicPr>
      </xdr:nvPicPr>
      <xdr:blipFill>
        <a:blip xmlns:r="http://schemas.openxmlformats.org/officeDocument/2006/relationships" r:embed="rId24"/>
        <a:stretch>
          <a:fillRect/>
        </a:stretch>
      </xdr:blipFill>
      <xdr:spPr>
        <a:xfrm>
          <a:off x="3619500" y="20116800"/>
          <a:ext cx="542857" cy="295238"/>
        </a:xfrm>
        <a:prstGeom prst="rect">
          <a:avLst/>
        </a:prstGeom>
      </xdr:spPr>
    </xdr:pic>
    <xdr:clientData/>
  </xdr:twoCellAnchor>
  <xdr:twoCellAnchor editAs="oneCell">
    <xdr:from>
      <xdr:col>0</xdr:col>
      <xdr:colOff>47625</xdr:colOff>
      <xdr:row>74</xdr:row>
      <xdr:rowOff>95250</xdr:rowOff>
    </xdr:from>
    <xdr:to>
      <xdr:col>2</xdr:col>
      <xdr:colOff>304346</xdr:colOff>
      <xdr:row>74</xdr:row>
      <xdr:rowOff>409536</xdr:rowOff>
    </xdr:to>
    <xdr:pic>
      <xdr:nvPicPr>
        <xdr:cNvPr id="40" name="Picture 39"/>
        <xdr:cNvPicPr>
          <a:picLocks noChangeAspect="1"/>
        </xdr:cNvPicPr>
      </xdr:nvPicPr>
      <xdr:blipFill>
        <a:blip xmlns:r="http://schemas.openxmlformats.org/officeDocument/2006/relationships" r:embed="rId25"/>
        <a:stretch>
          <a:fillRect/>
        </a:stretch>
      </xdr:blipFill>
      <xdr:spPr>
        <a:xfrm>
          <a:off x="47625" y="30956250"/>
          <a:ext cx="3628571" cy="314286"/>
        </a:xfrm>
        <a:prstGeom prst="rect">
          <a:avLst/>
        </a:prstGeom>
      </xdr:spPr>
    </xdr:pic>
    <xdr:clientData/>
  </xdr:twoCellAnchor>
  <xdr:oneCellAnchor>
    <xdr:from>
      <xdr:col>1</xdr:col>
      <xdr:colOff>2676525</xdr:colOff>
      <xdr:row>77</xdr:row>
      <xdr:rowOff>104775</xdr:rowOff>
    </xdr:from>
    <xdr:ext cx="657143" cy="257143"/>
    <xdr:pic>
      <xdr:nvPicPr>
        <xdr:cNvPr id="45" name="Picture 44"/>
        <xdr:cNvPicPr>
          <a:picLocks noChangeAspect="1"/>
        </xdr:cNvPicPr>
      </xdr:nvPicPr>
      <xdr:blipFill>
        <a:blip xmlns:r="http://schemas.openxmlformats.org/officeDocument/2006/relationships" r:embed="rId5"/>
        <a:stretch>
          <a:fillRect/>
        </a:stretch>
      </xdr:blipFill>
      <xdr:spPr>
        <a:xfrm>
          <a:off x="3076575" y="32661225"/>
          <a:ext cx="657143" cy="257143"/>
        </a:xfrm>
        <a:prstGeom prst="rect">
          <a:avLst/>
        </a:prstGeom>
      </xdr:spPr>
    </xdr:pic>
    <xdr:clientData/>
  </xdr:oneCellAnchor>
  <xdr:twoCellAnchor editAs="oneCell">
    <xdr:from>
      <xdr:col>1</xdr:col>
      <xdr:colOff>219075</xdr:colOff>
      <xdr:row>76</xdr:row>
      <xdr:rowOff>133350</xdr:rowOff>
    </xdr:from>
    <xdr:to>
      <xdr:col>2</xdr:col>
      <xdr:colOff>352424</xdr:colOff>
      <xdr:row>76</xdr:row>
      <xdr:rowOff>800101</xdr:rowOff>
    </xdr:to>
    <xdr:pic>
      <xdr:nvPicPr>
        <xdr:cNvPr id="46" name="Picture 45"/>
        <xdr:cNvPicPr>
          <a:picLocks noChangeAspect="1"/>
        </xdr:cNvPicPr>
      </xdr:nvPicPr>
      <xdr:blipFill>
        <a:blip xmlns:r="http://schemas.openxmlformats.org/officeDocument/2006/relationships" r:embed="rId4"/>
        <a:stretch>
          <a:fillRect/>
        </a:stretch>
      </xdr:blipFill>
      <xdr:spPr>
        <a:xfrm>
          <a:off x="619125" y="31784925"/>
          <a:ext cx="3105149" cy="6667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33337</xdr:colOff>
      <xdr:row>87</xdr:row>
      <xdr:rowOff>17990</xdr:rowOff>
    </xdr:from>
    <xdr:to>
      <xdr:col>19</xdr:col>
      <xdr:colOff>838200</xdr:colOff>
      <xdr:row>103</xdr:row>
      <xdr:rowOff>95249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42862</xdr:colOff>
      <xdr:row>64</xdr:row>
      <xdr:rowOff>19050</xdr:rowOff>
    </xdr:from>
    <xdr:to>
      <xdr:col>19</xdr:col>
      <xdr:colOff>838200</xdr:colOff>
      <xdr:row>82</xdr:row>
      <xdr:rowOff>158750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14286</xdr:colOff>
      <xdr:row>44</xdr:row>
      <xdr:rowOff>66674</xdr:rowOff>
    </xdr:from>
    <xdr:to>
      <xdr:col>19</xdr:col>
      <xdr:colOff>809625</xdr:colOff>
      <xdr:row>61</xdr:row>
      <xdr:rowOff>123825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104775</xdr:colOff>
      <xdr:row>61</xdr:row>
      <xdr:rowOff>57150</xdr:rowOff>
    </xdr:from>
    <xdr:to>
      <xdr:col>1</xdr:col>
      <xdr:colOff>3304725</xdr:colOff>
      <xdr:row>61</xdr:row>
      <xdr:rowOff>380960</xdr:rowOff>
    </xdr:to>
    <xdr:pic>
      <xdr:nvPicPr>
        <xdr:cNvPr id="2" name="Picture 1"/>
        <xdr:cNvPicPr>
          <a:picLocks noChangeAspect="1"/>
        </xdr:cNvPicPr>
      </xdr:nvPicPr>
      <xdr:blipFill>
        <a:blip xmlns:r="http://schemas.openxmlformats.org/officeDocument/2006/relationships" r:embed="rId1"/>
        <a:stretch>
          <a:fillRect/>
        </a:stretch>
      </xdr:blipFill>
      <xdr:spPr>
        <a:xfrm>
          <a:off x="104775" y="27441525"/>
          <a:ext cx="3600000" cy="323810"/>
        </a:xfrm>
        <a:prstGeom prst="rect">
          <a:avLst/>
        </a:prstGeom>
      </xdr:spPr>
    </xdr:pic>
    <xdr:clientData/>
  </xdr:twoCellAnchor>
  <xdr:twoCellAnchor editAs="oneCell">
    <xdr:from>
      <xdr:col>2</xdr:col>
      <xdr:colOff>38100</xdr:colOff>
      <xdr:row>12</xdr:row>
      <xdr:rowOff>152399</xdr:rowOff>
    </xdr:from>
    <xdr:to>
      <xdr:col>2</xdr:col>
      <xdr:colOff>647700</xdr:colOff>
      <xdr:row>12</xdr:row>
      <xdr:rowOff>721894</xdr:rowOff>
    </xdr:to>
    <xdr:pic>
      <xdr:nvPicPr>
        <xdr:cNvPr id="3" name="Picture 2"/>
        <xdr:cNvPicPr>
          <a:picLocks noChangeAspect="1"/>
        </xdr:cNvPicPr>
      </xdr:nvPicPr>
      <xdr:blipFill>
        <a:blip xmlns:r="http://schemas.openxmlformats.org/officeDocument/2006/relationships" r:embed="rId2"/>
        <a:stretch>
          <a:fillRect/>
        </a:stretch>
      </xdr:blipFill>
      <xdr:spPr>
        <a:xfrm>
          <a:off x="3629025" y="6543674"/>
          <a:ext cx="609600" cy="569495"/>
        </a:xfrm>
        <a:prstGeom prst="rect">
          <a:avLst/>
        </a:prstGeom>
      </xdr:spPr>
    </xdr:pic>
    <xdr:clientData/>
  </xdr:twoCellAnchor>
  <xdr:twoCellAnchor editAs="oneCell">
    <xdr:from>
      <xdr:col>3</xdr:col>
      <xdr:colOff>76199</xdr:colOff>
      <xdr:row>12</xdr:row>
      <xdr:rowOff>160815</xdr:rowOff>
    </xdr:from>
    <xdr:to>
      <xdr:col>3</xdr:col>
      <xdr:colOff>819150</xdr:colOff>
      <xdr:row>12</xdr:row>
      <xdr:rowOff>736940</xdr:rowOff>
    </xdr:to>
    <xdr:pic>
      <xdr:nvPicPr>
        <xdr:cNvPr id="4" name="Picture 3"/>
        <xdr:cNvPicPr>
          <a:picLocks noChangeAspect="1"/>
        </xdr:cNvPicPr>
      </xdr:nvPicPr>
      <xdr:blipFill>
        <a:blip xmlns:r="http://schemas.openxmlformats.org/officeDocument/2006/relationships" r:embed="rId3"/>
        <a:stretch>
          <a:fillRect/>
        </a:stretch>
      </xdr:blipFill>
      <xdr:spPr>
        <a:xfrm>
          <a:off x="4714874" y="4818540"/>
          <a:ext cx="742951" cy="576125"/>
        </a:xfrm>
        <a:prstGeom prst="rect">
          <a:avLst/>
        </a:prstGeom>
      </xdr:spPr>
    </xdr:pic>
    <xdr:clientData/>
  </xdr:twoCellAnchor>
  <xdr:twoCellAnchor editAs="oneCell">
    <xdr:from>
      <xdr:col>1</xdr:col>
      <xdr:colOff>533400</xdr:colOff>
      <xdr:row>14</xdr:row>
      <xdr:rowOff>142874</xdr:rowOff>
    </xdr:from>
    <xdr:to>
      <xdr:col>1</xdr:col>
      <xdr:colOff>3638549</xdr:colOff>
      <xdr:row>14</xdr:row>
      <xdr:rowOff>809625</xdr:rowOff>
    </xdr:to>
    <xdr:pic>
      <xdr:nvPicPr>
        <xdr:cNvPr id="5" name="Picture 4"/>
        <xdr:cNvPicPr>
          <a:picLocks noChangeAspect="1"/>
        </xdr:cNvPicPr>
      </xdr:nvPicPr>
      <xdr:blipFill>
        <a:blip xmlns:r="http://schemas.openxmlformats.org/officeDocument/2006/relationships" r:embed="rId4"/>
        <a:stretch>
          <a:fillRect/>
        </a:stretch>
      </xdr:blipFill>
      <xdr:spPr>
        <a:xfrm>
          <a:off x="933450" y="8172449"/>
          <a:ext cx="3105149" cy="666751"/>
        </a:xfrm>
        <a:prstGeom prst="rect">
          <a:avLst/>
        </a:prstGeom>
      </xdr:spPr>
    </xdr:pic>
    <xdr:clientData/>
  </xdr:twoCellAnchor>
  <xdr:twoCellAnchor editAs="oneCell">
    <xdr:from>
      <xdr:col>1</xdr:col>
      <xdr:colOff>3076575</xdr:colOff>
      <xdr:row>16</xdr:row>
      <xdr:rowOff>95250</xdr:rowOff>
    </xdr:from>
    <xdr:to>
      <xdr:col>1</xdr:col>
      <xdr:colOff>3733718</xdr:colOff>
      <xdr:row>16</xdr:row>
      <xdr:rowOff>352393</xdr:rowOff>
    </xdr:to>
    <xdr:pic>
      <xdr:nvPicPr>
        <xdr:cNvPr id="6" name="Picture 5"/>
        <xdr:cNvPicPr>
          <a:picLocks noChangeAspect="1"/>
        </xdr:cNvPicPr>
      </xdr:nvPicPr>
      <xdr:blipFill>
        <a:blip xmlns:r="http://schemas.openxmlformats.org/officeDocument/2006/relationships" r:embed="rId5"/>
        <a:stretch>
          <a:fillRect/>
        </a:stretch>
      </xdr:blipFill>
      <xdr:spPr>
        <a:xfrm>
          <a:off x="3476625" y="9296400"/>
          <a:ext cx="657143" cy="257143"/>
        </a:xfrm>
        <a:prstGeom prst="rect">
          <a:avLst/>
        </a:prstGeom>
      </xdr:spPr>
    </xdr:pic>
    <xdr:clientData/>
  </xdr:twoCellAnchor>
  <xdr:twoCellAnchor editAs="oneCell">
    <xdr:from>
      <xdr:col>1</xdr:col>
      <xdr:colOff>104775</xdr:colOff>
      <xdr:row>28</xdr:row>
      <xdr:rowOff>38100</xdr:rowOff>
    </xdr:from>
    <xdr:to>
      <xdr:col>1</xdr:col>
      <xdr:colOff>3685727</xdr:colOff>
      <xdr:row>28</xdr:row>
      <xdr:rowOff>361910</xdr:rowOff>
    </xdr:to>
    <xdr:pic>
      <xdr:nvPicPr>
        <xdr:cNvPr id="7" name="Picture 6"/>
        <xdr:cNvPicPr>
          <a:picLocks noChangeAspect="1"/>
        </xdr:cNvPicPr>
      </xdr:nvPicPr>
      <xdr:blipFill>
        <a:blip xmlns:r="http://schemas.openxmlformats.org/officeDocument/2006/relationships" r:embed="rId6"/>
        <a:stretch>
          <a:fillRect/>
        </a:stretch>
      </xdr:blipFill>
      <xdr:spPr>
        <a:xfrm>
          <a:off x="504825" y="13592175"/>
          <a:ext cx="3580952" cy="323810"/>
        </a:xfrm>
        <a:prstGeom prst="rect">
          <a:avLst/>
        </a:prstGeom>
      </xdr:spPr>
    </xdr:pic>
    <xdr:clientData/>
  </xdr:twoCellAnchor>
  <xdr:twoCellAnchor editAs="oneCell">
    <xdr:from>
      <xdr:col>2</xdr:col>
      <xdr:colOff>57150</xdr:colOff>
      <xdr:row>27</xdr:row>
      <xdr:rowOff>28575</xdr:rowOff>
    </xdr:from>
    <xdr:to>
      <xdr:col>2</xdr:col>
      <xdr:colOff>628579</xdr:colOff>
      <xdr:row>27</xdr:row>
      <xdr:rowOff>342861</xdr:rowOff>
    </xdr:to>
    <xdr:pic>
      <xdr:nvPicPr>
        <xdr:cNvPr id="8" name="Picture 7"/>
        <xdr:cNvPicPr>
          <a:picLocks noChangeAspect="1"/>
        </xdr:cNvPicPr>
      </xdr:nvPicPr>
      <xdr:blipFill>
        <a:blip xmlns:r="http://schemas.openxmlformats.org/officeDocument/2006/relationships" r:embed="rId7"/>
        <a:stretch>
          <a:fillRect/>
        </a:stretch>
      </xdr:blipFill>
      <xdr:spPr>
        <a:xfrm>
          <a:off x="3648075" y="10810875"/>
          <a:ext cx="571429" cy="314286"/>
        </a:xfrm>
        <a:prstGeom prst="rect">
          <a:avLst/>
        </a:prstGeom>
      </xdr:spPr>
    </xdr:pic>
    <xdr:clientData/>
  </xdr:twoCellAnchor>
  <xdr:twoCellAnchor editAs="oneCell">
    <xdr:from>
      <xdr:col>3</xdr:col>
      <xdr:colOff>28575</xdr:colOff>
      <xdr:row>27</xdr:row>
      <xdr:rowOff>38100</xdr:rowOff>
    </xdr:from>
    <xdr:to>
      <xdr:col>3</xdr:col>
      <xdr:colOff>1180956</xdr:colOff>
      <xdr:row>27</xdr:row>
      <xdr:rowOff>352386</xdr:rowOff>
    </xdr:to>
    <xdr:pic>
      <xdr:nvPicPr>
        <xdr:cNvPr id="9" name="Picture 8"/>
        <xdr:cNvPicPr>
          <a:picLocks noChangeAspect="1"/>
        </xdr:cNvPicPr>
      </xdr:nvPicPr>
      <xdr:blipFill>
        <a:blip xmlns:r="http://schemas.openxmlformats.org/officeDocument/2006/relationships" r:embed="rId8"/>
        <a:stretch>
          <a:fillRect/>
        </a:stretch>
      </xdr:blipFill>
      <xdr:spPr>
        <a:xfrm>
          <a:off x="4667250" y="10820400"/>
          <a:ext cx="1152381" cy="314286"/>
        </a:xfrm>
        <a:prstGeom prst="rect">
          <a:avLst/>
        </a:prstGeom>
      </xdr:spPr>
    </xdr:pic>
    <xdr:clientData/>
  </xdr:twoCellAnchor>
  <xdr:twoCellAnchor editAs="oneCell">
    <xdr:from>
      <xdr:col>2</xdr:col>
      <xdr:colOff>28575</xdr:colOff>
      <xdr:row>34</xdr:row>
      <xdr:rowOff>47625</xdr:rowOff>
    </xdr:from>
    <xdr:to>
      <xdr:col>2</xdr:col>
      <xdr:colOff>590480</xdr:colOff>
      <xdr:row>34</xdr:row>
      <xdr:rowOff>342863</xdr:rowOff>
    </xdr:to>
    <xdr:pic>
      <xdr:nvPicPr>
        <xdr:cNvPr id="10" name="Picture 9"/>
        <xdr:cNvPicPr>
          <a:picLocks noChangeAspect="1"/>
        </xdr:cNvPicPr>
      </xdr:nvPicPr>
      <xdr:blipFill>
        <a:blip xmlns:r="http://schemas.openxmlformats.org/officeDocument/2006/relationships" r:embed="rId9"/>
        <a:stretch>
          <a:fillRect/>
        </a:stretch>
      </xdr:blipFill>
      <xdr:spPr>
        <a:xfrm>
          <a:off x="3619500" y="13487400"/>
          <a:ext cx="561905" cy="295238"/>
        </a:xfrm>
        <a:prstGeom prst="rect">
          <a:avLst/>
        </a:prstGeom>
      </xdr:spPr>
    </xdr:pic>
    <xdr:clientData/>
  </xdr:twoCellAnchor>
  <xdr:twoCellAnchor editAs="oneCell">
    <xdr:from>
      <xdr:col>3</xdr:col>
      <xdr:colOff>38100</xdr:colOff>
      <xdr:row>34</xdr:row>
      <xdr:rowOff>14681</xdr:rowOff>
    </xdr:from>
    <xdr:to>
      <xdr:col>3</xdr:col>
      <xdr:colOff>1171575</xdr:colOff>
      <xdr:row>34</xdr:row>
      <xdr:rowOff>323811</xdr:rowOff>
    </xdr:to>
    <xdr:pic>
      <xdr:nvPicPr>
        <xdr:cNvPr id="11" name="Picture 10"/>
        <xdr:cNvPicPr>
          <a:picLocks noChangeAspect="1"/>
        </xdr:cNvPicPr>
      </xdr:nvPicPr>
      <xdr:blipFill>
        <a:blip xmlns:r="http://schemas.openxmlformats.org/officeDocument/2006/relationships" r:embed="rId10"/>
        <a:stretch>
          <a:fillRect/>
        </a:stretch>
      </xdr:blipFill>
      <xdr:spPr>
        <a:xfrm>
          <a:off x="4676775" y="13454456"/>
          <a:ext cx="1133475" cy="309130"/>
        </a:xfrm>
        <a:prstGeom prst="rect">
          <a:avLst/>
        </a:prstGeom>
      </xdr:spPr>
    </xdr:pic>
    <xdr:clientData/>
  </xdr:twoCellAnchor>
  <xdr:twoCellAnchor editAs="oneCell">
    <xdr:from>
      <xdr:col>0</xdr:col>
      <xdr:colOff>333375</xdr:colOff>
      <xdr:row>35</xdr:row>
      <xdr:rowOff>47625</xdr:rowOff>
    </xdr:from>
    <xdr:to>
      <xdr:col>1</xdr:col>
      <xdr:colOff>3600450</xdr:colOff>
      <xdr:row>35</xdr:row>
      <xdr:rowOff>400006</xdr:rowOff>
    </xdr:to>
    <xdr:pic>
      <xdr:nvPicPr>
        <xdr:cNvPr id="12" name="Picture 11"/>
        <xdr:cNvPicPr>
          <a:picLocks noChangeAspect="1"/>
        </xdr:cNvPicPr>
      </xdr:nvPicPr>
      <xdr:blipFill>
        <a:blip xmlns:r="http://schemas.openxmlformats.org/officeDocument/2006/relationships" r:embed="rId11"/>
        <a:stretch>
          <a:fillRect/>
        </a:stretch>
      </xdr:blipFill>
      <xdr:spPr>
        <a:xfrm>
          <a:off x="333375" y="16535400"/>
          <a:ext cx="3667125" cy="352381"/>
        </a:xfrm>
        <a:prstGeom prst="rect">
          <a:avLst/>
        </a:prstGeom>
      </xdr:spPr>
    </xdr:pic>
    <xdr:clientData/>
  </xdr:twoCellAnchor>
  <xdr:twoCellAnchor editAs="oneCell">
    <xdr:from>
      <xdr:col>2</xdr:col>
      <xdr:colOff>85725</xdr:colOff>
      <xdr:row>40</xdr:row>
      <xdr:rowOff>47625</xdr:rowOff>
    </xdr:from>
    <xdr:to>
      <xdr:col>2</xdr:col>
      <xdr:colOff>628582</xdr:colOff>
      <xdr:row>40</xdr:row>
      <xdr:rowOff>342863</xdr:rowOff>
    </xdr:to>
    <xdr:pic>
      <xdr:nvPicPr>
        <xdr:cNvPr id="13" name="Picture 12"/>
        <xdr:cNvPicPr>
          <a:picLocks noChangeAspect="1"/>
        </xdr:cNvPicPr>
      </xdr:nvPicPr>
      <xdr:blipFill>
        <a:blip xmlns:r="http://schemas.openxmlformats.org/officeDocument/2006/relationships" r:embed="rId12"/>
        <a:stretch>
          <a:fillRect/>
        </a:stretch>
      </xdr:blipFill>
      <xdr:spPr>
        <a:xfrm>
          <a:off x="3676650" y="16221075"/>
          <a:ext cx="542857" cy="295238"/>
        </a:xfrm>
        <a:prstGeom prst="rect">
          <a:avLst/>
        </a:prstGeom>
      </xdr:spPr>
    </xdr:pic>
    <xdr:clientData/>
  </xdr:twoCellAnchor>
  <xdr:twoCellAnchor editAs="oneCell">
    <xdr:from>
      <xdr:col>3</xdr:col>
      <xdr:colOff>47625</xdr:colOff>
      <xdr:row>40</xdr:row>
      <xdr:rowOff>28575</xdr:rowOff>
    </xdr:from>
    <xdr:to>
      <xdr:col>3</xdr:col>
      <xdr:colOff>1190482</xdr:colOff>
      <xdr:row>40</xdr:row>
      <xdr:rowOff>361908</xdr:rowOff>
    </xdr:to>
    <xdr:pic>
      <xdr:nvPicPr>
        <xdr:cNvPr id="14" name="Picture 13"/>
        <xdr:cNvPicPr>
          <a:picLocks noChangeAspect="1"/>
        </xdr:cNvPicPr>
      </xdr:nvPicPr>
      <xdr:blipFill>
        <a:blip xmlns:r="http://schemas.openxmlformats.org/officeDocument/2006/relationships" r:embed="rId13"/>
        <a:stretch>
          <a:fillRect/>
        </a:stretch>
      </xdr:blipFill>
      <xdr:spPr>
        <a:xfrm>
          <a:off x="4686300" y="16202025"/>
          <a:ext cx="1142857" cy="333333"/>
        </a:xfrm>
        <a:prstGeom prst="rect">
          <a:avLst/>
        </a:prstGeom>
      </xdr:spPr>
    </xdr:pic>
    <xdr:clientData/>
  </xdr:twoCellAnchor>
  <xdr:twoCellAnchor editAs="oneCell">
    <xdr:from>
      <xdr:col>1</xdr:col>
      <xdr:colOff>228600</xdr:colOff>
      <xdr:row>41</xdr:row>
      <xdr:rowOff>85725</xdr:rowOff>
    </xdr:from>
    <xdr:to>
      <xdr:col>1</xdr:col>
      <xdr:colOff>3819076</xdr:colOff>
      <xdr:row>41</xdr:row>
      <xdr:rowOff>390487</xdr:rowOff>
    </xdr:to>
    <xdr:pic>
      <xdr:nvPicPr>
        <xdr:cNvPr id="15" name="Picture 14"/>
        <xdr:cNvPicPr>
          <a:picLocks noChangeAspect="1"/>
        </xdr:cNvPicPr>
      </xdr:nvPicPr>
      <xdr:blipFill>
        <a:blip xmlns:r="http://schemas.openxmlformats.org/officeDocument/2006/relationships" r:embed="rId14"/>
        <a:stretch>
          <a:fillRect/>
        </a:stretch>
      </xdr:blipFill>
      <xdr:spPr>
        <a:xfrm>
          <a:off x="628650" y="19088100"/>
          <a:ext cx="3590476" cy="304762"/>
        </a:xfrm>
        <a:prstGeom prst="rect">
          <a:avLst/>
        </a:prstGeom>
      </xdr:spPr>
    </xdr:pic>
    <xdr:clientData/>
  </xdr:twoCellAnchor>
  <xdr:twoCellAnchor editAs="oneCell">
    <xdr:from>
      <xdr:col>3</xdr:col>
      <xdr:colOff>28575</xdr:colOff>
      <xdr:row>47</xdr:row>
      <xdr:rowOff>57150</xdr:rowOff>
    </xdr:from>
    <xdr:to>
      <xdr:col>3</xdr:col>
      <xdr:colOff>1161908</xdr:colOff>
      <xdr:row>47</xdr:row>
      <xdr:rowOff>342864</xdr:rowOff>
    </xdr:to>
    <xdr:pic>
      <xdr:nvPicPr>
        <xdr:cNvPr id="16" name="Picture 15"/>
        <xdr:cNvPicPr>
          <a:picLocks noChangeAspect="1"/>
        </xdr:cNvPicPr>
      </xdr:nvPicPr>
      <xdr:blipFill>
        <a:blip xmlns:r="http://schemas.openxmlformats.org/officeDocument/2006/relationships" r:embed="rId15"/>
        <a:stretch>
          <a:fillRect/>
        </a:stretch>
      </xdr:blipFill>
      <xdr:spPr>
        <a:xfrm>
          <a:off x="4667250" y="18392775"/>
          <a:ext cx="1133333" cy="285714"/>
        </a:xfrm>
        <a:prstGeom prst="rect">
          <a:avLst/>
        </a:prstGeom>
      </xdr:spPr>
    </xdr:pic>
    <xdr:clientData/>
  </xdr:twoCellAnchor>
  <xdr:twoCellAnchor editAs="oneCell">
    <xdr:from>
      <xdr:col>2</xdr:col>
      <xdr:colOff>57150</xdr:colOff>
      <xdr:row>47</xdr:row>
      <xdr:rowOff>66675</xdr:rowOff>
    </xdr:from>
    <xdr:to>
      <xdr:col>2</xdr:col>
      <xdr:colOff>609531</xdr:colOff>
      <xdr:row>47</xdr:row>
      <xdr:rowOff>361913</xdr:rowOff>
    </xdr:to>
    <xdr:pic>
      <xdr:nvPicPr>
        <xdr:cNvPr id="17" name="Picture 16"/>
        <xdr:cNvPicPr>
          <a:picLocks noChangeAspect="1"/>
        </xdr:cNvPicPr>
      </xdr:nvPicPr>
      <xdr:blipFill>
        <a:blip xmlns:r="http://schemas.openxmlformats.org/officeDocument/2006/relationships" r:embed="rId16"/>
        <a:stretch>
          <a:fillRect/>
        </a:stretch>
      </xdr:blipFill>
      <xdr:spPr>
        <a:xfrm>
          <a:off x="3648075" y="18402300"/>
          <a:ext cx="552381" cy="295238"/>
        </a:xfrm>
        <a:prstGeom prst="rect">
          <a:avLst/>
        </a:prstGeom>
      </xdr:spPr>
    </xdr:pic>
    <xdr:clientData/>
  </xdr:twoCellAnchor>
  <xdr:twoCellAnchor editAs="oneCell">
    <xdr:from>
      <xdr:col>0</xdr:col>
      <xdr:colOff>85725</xdr:colOff>
      <xdr:row>48</xdr:row>
      <xdr:rowOff>57150</xdr:rowOff>
    </xdr:from>
    <xdr:to>
      <xdr:col>1</xdr:col>
      <xdr:colOff>3285675</xdr:colOff>
      <xdr:row>48</xdr:row>
      <xdr:rowOff>371436</xdr:rowOff>
    </xdr:to>
    <xdr:pic>
      <xdr:nvPicPr>
        <xdr:cNvPr id="18" name="Picture 17"/>
        <xdr:cNvPicPr>
          <a:picLocks noChangeAspect="1"/>
        </xdr:cNvPicPr>
      </xdr:nvPicPr>
      <xdr:blipFill>
        <a:blip xmlns:r="http://schemas.openxmlformats.org/officeDocument/2006/relationships" r:embed="rId17"/>
        <a:stretch>
          <a:fillRect/>
        </a:stretch>
      </xdr:blipFill>
      <xdr:spPr>
        <a:xfrm>
          <a:off x="85725" y="21993225"/>
          <a:ext cx="3600000" cy="314286"/>
        </a:xfrm>
        <a:prstGeom prst="rect">
          <a:avLst/>
        </a:prstGeom>
      </xdr:spPr>
    </xdr:pic>
    <xdr:clientData/>
  </xdr:twoCellAnchor>
  <xdr:twoCellAnchor editAs="oneCell">
    <xdr:from>
      <xdr:col>3</xdr:col>
      <xdr:colOff>38100</xdr:colOff>
      <xdr:row>52</xdr:row>
      <xdr:rowOff>57150</xdr:rowOff>
    </xdr:from>
    <xdr:to>
      <xdr:col>3</xdr:col>
      <xdr:colOff>1209529</xdr:colOff>
      <xdr:row>52</xdr:row>
      <xdr:rowOff>352388</xdr:rowOff>
    </xdr:to>
    <xdr:pic>
      <xdr:nvPicPr>
        <xdr:cNvPr id="19" name="Picture 18"/>
        <xdr:cNvPicPr>
          <a:picLocks noChangeAspect="1"/>
        </xdr:cNvPicPr>
      </xdr:nvPicPr>
      <xdr:blipFill>
        <a:blip xmlns:r="http://schemas.openxmlformats.org/officeDocument/2006/relationships" r:embed="rId18"/>
        <a:stretch>
          <a:fillRect/>
        </a:stretch>
      </xdr:blipFill>
      <xdr:spPr>
        <a:xfrm>
          <a:off x="4676775" y="20516850"/>
          <a:ext cx="1171429" cy="295238"/>
        </a:xfrm>
        <a:prstGeom prst="rect">
          <a:avLst/>
        </a:prstGeom>
      </xdr:spPr>
    </xdr:pic>
    <xdr:clientData/>
  </xdr:twoCellAnchor>
  <xdr:twoCellAnchor editAs="oneCell">
    <xdr:from>
      <xdr:col>2</xdr:col>
      <xdr:colOff>19050</xdr:colOff>
      <xdr:row>52</xdr:row>
      <xdr:rowOff>47625</xdr:rowOff>
    </xdr:from>
    <xdr:to>
      <xdr:col>2</xdr:col>
      <xdr:colOff>561907</xdr:colOff>
      <xdr:row>52</xdr:row>
      <xdr:rowOff>361911</xdr:rowOff>
    </xdr:to>
    <xdr:pic>
      <xdr:nvPicPr>
        <xdr:cNvPr id="20" name="Picture 19"/>
        <xdr:cNvPicPr>
          <a:picLocks noChangeAspect="1"/>
        </xdr:cNvPicPr>
      </xdr:nvPicPr>
      <xdr:blipFill>
        <a:blip xmlns:r="http://schemas.openxmlformats.org/officeDocument/2006/relationships" r:embed="rId19"/>
        <a:stretch>
          <a:fillRect/>
        </a:stretch>
      </xdr:blipFill>
      <xdr:spPr>
        <a:xfrm>
          <a:off x="3609975" y="20507325"/>
          <a:ext cx="542857" cy="314286"/>
        </a:xfrm>
        <a:prstGeom prst="rect">
          <a:avLst/>
        </a:prstGeom>
      </xdr:spPr>
    </xdr:pic>
    <xdr:clientData/>
  </xdr:twoCellAnchor>
  <xdr:twoCellAnchor editAs="oneCell">
    <xdr:from>
      <xdr:col>0</xdr:col>
      <xdr:colOff>76200</xdr:colOff>
      <xdr:row>53</xdr:row>
      <xdr:rowOff>57150</xdr:rowOff>
    </xdr:from>
    <xdr:to>
      <xdr:col>1</xdr:col>
      <xdr:colOff>3276150</xdr:colOff>
      <xdr:row>53</xdr:row>
      <xdr:rowOff>380960</xdr:rowOff>
    </xdr:to>
    <xdr:pic>
      <xdr:nvPicPr>
        <xdr:cNvPr id="21" name="Picture 20"/>
        <xdr:cNvPicPr>
          <a:picLocks noChangeAspect="1"/>
        </xdr:cNvPicPr>
      </xdr:nvPicPr>
      <xdr:blipFill>
        <a:blip xmlns:r="http://schemas.openxmlformats.org/officeDocument/2006/relationships" r:embed="rId20"/>
        <a:stretch>
          <a:fillRect/>
        </a:stretch>
      </xdr:blipFill>
      <xdr:spPr>
        <a:xfrm>
          <a:off x="76200" y="24088725"/>
          <a:ext cx="3600000" cy="323810"/>
        </a:xfrm>
        <a:prstGeom prst="rect">
          <a:avLst/>
        </a:prstGeom>
      </xdr:spPr>
    </xdr:pic>
    <xdr:clientData/>
  </xdr:twoCellAnchor>
  <xdr:twoCellAnchor editAs="oneCell">
    <xdr:from>
      <xdr:col>3</xdr:col>
      <xdr:colOff>38100</xdr:colOff>
      <xdr:row>60</xdr:row>
      <xdr:rowOff>47625</xdr:rowOff>
    </xdr:from>
    <xdr:to>
      <xdr:col>3</xdr:col>
      <xdr:colOff>1180957</xdr:colOff>
      <xdr:row>60</xdr:row>
      <xdr:rowOff>352387</xdr:rowOff>
    </xdr:to>
    <xdr:pic>
      <xdr:nvPicPr>
        <xdr:cNvPr id="22" name="Picture 21"/>
        <xdr:cNvPicPr>
          <a:picLocks noChangeAspect="1"/>
        </xdr:cNvPicPr>
      </xdr:nvPicPr>
      <xdr:blipFill>
        <a:blip xmlns:r="http://schemas.openxmlformats.org/officeDocument/2006/relationships" r:embed="rId21"/>
        <a:stretch>
          <a:fillRect/>
        </a:stretch>
      </xdr:blipFill>
      <xdr:spPr>
        <a:xfrm>
          <a:off x="4676775" y="22564725"/>
          <a:ext cx="1142857" cy="304762"/>
        </a:xfrm>
        <a:prstGeom prst="rect">
          <a:avLst/>
        </a:prstGeom>
      </xdr:spPr>
    </xdr:pic>
    <xdr:clientData/>
  </xdr:twoCellAnchor>
  <xdr:twoCellAnchor editAs="oneCell">
    <xdr:from>
      <xdr:col>2</xdr:col>
      <xdr:colOff>9525</xdr:colOff>
      <xdr:row>60</xdr:row>
      <xdr:rowOff>57150</xdr:rowOff>
    </xdr:from>
    <xdr:to>
      <xdr:col>2</xdr:col>
      <xdr:colOff>561906</xdr:colOff>
      <xdr:row>60</xdr:row>
      <xdr:rowOff>352388</xdr:rowOff>
    </xdr:to>
    <xdr:pic>
      <xdr:nvPicPr>
        <xdr:cNvPr id="23" name="Picture 22"/>
        <xdr:cNvPicPr>
          <a:picLocks noChangeAspect="1"/>
        </xdr:cNvPicPr>
      </xdr:nvPicPr>
      <xdr:blipFill>
        <a:blip xmlns:r="http://schemas.openxmlformats.org/officeDocument/2006/relationships" r:embed="rId22"/>
        <a:stretch>
          <a:fillRect/>
        </a:stretch>
      </xdr:blipFill>
      <xdr:spPr>
        <a:xfrm>
          <a:off x="3600450" y="22574250"/>
          <a:ext cx="552381" cy="295238"/>
        </a:xfrm>
        <a:prstGeom prst="rect">
          <a:avLst/>
        </a:prstGeom>
      </xdr:spPr>
    </xdr:pic>
    <xdr:clientData/>
  </xdr:twoCellAnchor>
  <xdr:twoCellAnchor editAs="oneCell">
    <xdr:from>
      <xdr:col>3</xdr:col>
      <xdr:colOff>38100</xdr:colOff>
      <xdr:row>66</xdr:row>
      <xdr:rowOff>57150</xdr:rowOff>
    </xdr:from>
    <xdr:to>
      <xdr:col>3</xdr:col>
      <xdr:colOff>1171433</xdr:colOff>
      <xdr:row>66</xdr:row>
      <xdr:rowOff>333340</xdr:rowOff>
    </xdr:to>
    <xdr:pic>
      <xdr:nvPicPr>
        <xdr:cNvPr id="24" name="Picture 23"/>
        <xdr:cNvPicPr>
          <a:picLocks noChangeAspect="1"/>
        </xdr:cNvPicPr>
      </xdr:nvPicPr>
      <xdr:blipFill>
        <a:blip xmlns:r="http://schemas.openxmlformats.org/officeDocument/2006/relationships" r:embed="rId23"/>
        <a:stretch>
          <a:fillRect/>
        </a:stretch>
      </xdr:blipFill>
      <xdr:spPr>
        <a:xfrm>
          <a:off x="4676775" y="24022050"/>
          <a:ext cx="1133333" cy="276190"/>
        </a:xfrm>
        <a:prstGeom prst="rect">
          <a:avLst/>
        </a:prstGeom>
      </xdr:spPr>
    </xdr:pic>
    <xdr:clientData/>
  </xdr:twoCellAnchor>
  <xdr:twoCellAnchor editAs="oneCell">
    <xdr:from>
      <xdr:col>2</xdr:col>
      <xdr:colOff>28575</xdr:colOff>
      <xdr:row>66</xdr:row>
      <xdr:rowOff>47625</xdr:rowOff>
    </xdr:from>
    <xdr:to>
      <xdr:col>2</xdr:col>
      <xdr:colOff>571432</xdr:colOff>
      <xdr:row>66</xdr:row>
      <xdr:rowOff>342863</xdr:rowOff>
    </xdr:to>
    <xdr:pic>
      <xdr:nvPicPr>
        <xdr:cNvPr id="25" name="Picture 24"/>
        <xdr:cNvPicPr>
          <a:picLocks noChangeAspect="1"/>
        </xdr:cNvPicPr>
      </xdr:nvPicPr>
      <xdr:blipFill>
        <a:blip xmlns:r="http://schemas.openxmlformats.org/officeDocument/2006/relationships" r:embed="rId24"/>
        <a:stretch>
          <a:fillRect/>
        </a:stretch>
      </xdr:blipFill>
      <xdr:spPr>
        <a:xfrm>
          <a:off x="3619500" y="24012525"/>
          <a:ext cx="542857" cy="295238"/>
        </a:xfrm>
        <a:prstGeom prst="rect">
          <a:avLst/>
        </a:prstGeom>
      </xdr:spPr>
    </xdr:pic>
    <xdr:clientData/>
  </xdr:twoCellAnchor>
  <xdr:twoCellAnchor editAs="oneCell">
    <xdr:from>
      <xdr:col>1</xdr:col>
      <xdr:colOff>762000</xdr:colOff>
      <xdr:row>67</xdr:row>
      <xdr:rowOff>38100</xdr:rowOff>
    </xdr:from>
    <xdr:to>
      <xdr:col>2</xdr:col>
      <xdr:colOff>237671</xdr:colOff>
      <xdr:row>67</xdr:row>
      <xdr:rowOff>352386</xdr:rowOff>
    </xdr:to>
    <xdr:pic>
      <xdr:nvPicPr>
        <xdr:cNvPr id="26" name="Picture 25"/>
        <xdr:cNvPicPr>
          <a:picLocks noChangeAspect="1"/>
        </xdr:cNvPicPr>
      </xdr:nvPicPr>
      <xdr:blipFill>
        <a:blip xmlns:r="http://schemas.openxmlformats.org/officeDocument/2006/relationships" r:embed="rId25"/>
        <a:stretch>
          <a:fillRect/>
        </a:stretch>
      </xdr:blipFill>
      <xdr:spPr>
        <a:xfrm>
          <a:off x="1104900" y="24412575"/>
          <a:ext cx="3628571" cy="314286"/>
        </a:xfrm>
        <a:prstGeom prst="rect">
          <a:avLst/>
        </a:prstGeom>
      </xdr:spPr>
    </xdr:pic>
    <xdr:clientData/>
  </xdr:twoCellAnchor>
  <xdr:twoCellAnchor editAs="oneCell">
    <xdr:from>
      <xdr:col>1</xdr:col>
      <xdr:colOff>3076575</xdr:colOff>
      <xdr:row>70</xdr:row>
      <xdr:rowOff>57150</xdr:rowOff>
    </xdr:from>
    <xdr:to>
      <xdr:col>1</xdr:col>
      <xdr:colOff>3733718</xdr:colOff>
      <xdr:row>70</xdr:row>
      <xdr:rowOff>314293</xdr:rowOff>
    </xdr:to>
    <xdr:pic>
      <xdr:nvPicPr>
        <xdr:cNvPr id="32" name="Picture 31"/>
        <xdr:cNvPicPr>
          <a:picLocks noChangeAspect="1"/>
        </xdr:cNvPicPr>
      </xdr:nvPicPr>
      <xdr:blipFill>
        <a:blip xmlns:r="http://schemas.openxmlformats.org/officeDocument/2006/relationships" r:embed="rId5"/>
        <a:stretch>
          <a:fillRect/>
        </a:stretch>
      </xdr:blipFill>
      <xdr:spPr>
        <a:xfrm>
          <a:off x="3476625" y="31699200"/>
          <a:ext cx="657143" cy="257143"/>
        </a:xfrm>
        <a:prstGeom prst="rect">
          <a:avLst/>
        </a:prstGeom>
      </xdr:spPr>
    </xdr:pic>
    <xdr:clientData/>
  </xdr:twoCellAnchor>
  <xdr:twoCellAnchor editAs="oneCell">
    <xdr:from>
      <xdr:col>1</xdr:col>
      <xdr:colOff>485775</xdr:colOff>
      <xdr:row>69</xdr:row>
      <xdr:rowOff>85725</xdr:rowOff>
    </xdr:from>
    <xdr:to>
      <xdr:col>1</xdr:col>
      <xdr:colOff>3590924</xdr:colOff>
      <xdr:row>69</xdr:row>
      <xdr:rowOff>752476</xdr:rowOff>
    </xdr:to>
    <xdr:pic>
      <xdr:nvPicPr>
        <xdr:cNvPr id="33" name="Picture 32"/>
        <xdr:cNvPicPr>
          <a:picLocks noChangeAspect="1"/>
        </xdr:cNvPicPr>
      </xdr:nvPicPr>
      <xdr:blipFill>
        <a:blip xmlns:r="http://schemas.openxmlformats.org/officeDocument/2006/relationships" r:embed="rId4"/>
        <a:stretch>
          <a:fillRect/>
        </a:stretch>
      </xdr:blipFill>
      <xdr:spPr>
        <a:xfrm>
          <a:off x="885825" y="30822900"/>
          <a:ext cx="3105149" cy="66675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GRADING%20FORMAT%20NEW%20FOR%20AUTONOMUS%2009-09-2022%20(2)%20(Recovere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GRADING%20FORMAT%20NEW%20FOR%20AUTONOMUS%2009-09-2022%20(2)%20(Recovere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GRADING%20FORMAT%20NEW%20FOR%20AFFILIATED%2009-09-2022%20(2)%20(Recovered).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microsoft.com/office/2006/relationships/xlExternalLinkPath/xlPathMissing" Target="GRADING%20FORMAT%20NEW%20FOR%20AUTONOMUS%2009-09-2022%20(2)%20(Recovered).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microsoft.com/office/2006/relationships/xlExternalLinkPath/xlPathMissing" Target="GRADING%20FORMAT%20NEW%20FOR%20AUTONOMUS%2009-09-2022%20(2)%20(Recovered).xlsx"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microsoft.com/office/2006/relationships/xlExternalLinkPath/xlPathMissing" Target="GRADING%20FORMAT%20NEW%20FOR%20AUTONOMUS%2009-09-2022%20(2)%20(Recovered).xlsx" TargetMode="External"/><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microsoft.com/office/2006/relationships/xlExternalLinkPath/xlPathMissing" Target="GRADING%20FORMAT%20NEW%20FOR%20AUTONOMUS%2009-09-2022%20(2)%20(Recovered).xlsx" TargetMode="External"/><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2" Type="http://schemas.microsoft.com/office/2006/relationships/xlExternalLinkPath/xlPathMissing" Target="GRADING%20FORMAT%20NEW%20FOR%20AUTONOMUS%2009-09-2022%20(2)%20(Recovered).xlsx" TargetMode="External"/><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r:id="rId1" refreshedBy="Author" refreshedDate="44818.706290856484" createdVersion="6" refreshedVersion="6" minRefreshableVersion="3" recordCount="107">
  <cacheSource type="worksheet">
    <worksheetSource ref="A2:K109" sheet="Autonomous 107m" r:id="rId2"/>
  </cacheSource>
  <cacheFields count="11">
    <cacheField name="S._x000a_No" numFmtId="0">
      <sharedItems containsSemiMixedTypes="0" containsString="0" containsNumber="1" containsInteger="1" minValue="1" maxValue="107"/>
    </cacheField>
    <cacheField name="Criteria_x000a_©" numFmtId="0">
      <sharedItems count="7">
        <s v="1. Curricular Aspects"/>
        <s v="2. Teaching-Learning and Evaluation"/>
        <s v="3. Research, Innovations and Extension"/>
        <s v="4. Infrastructure and Learning Resources"/>
        <s v="5. Student Support and Progression"/>
        <s v="6. Governance, Leadership and Management"/>
        <s v="7. Institutional Values and Best Practices"/>
      </sharedItems>
    </cacheField>
    <cacheField name="Key_x000a_Indicator_x000a_ (KI)" numFmtId="0">
      <sharedItems count="34">
        <s v="1.1 Curriculum Planning and Implementation"/>
        <s v="1.2 Academic Flexibility"/>
        <s v="1.3 Curriculum Enrichment"/>
        <s v="1.4 Feedback System"/>
        <s v="2.1 Student Enrolment and Profile"/>
        <s v="2.2 Catering to Student Diversity"/>
        <s v="2.3 Teaching-Learning Process"/>
        <s v="2.4 Teacher Profile and Quality"/>
        <s v="2.5 Evaluation Process and Reforms"/>
        <s v="2.6 Student Performance and Learning Outcomes"/>
        <s v="2.7 Student Satisfaction Survey"/>
        <s v="3.1 Promotion of Research and Facilities"/>
        <s v="3.2 Resource Mobilization for Research"/>
        <s v="3.3 Innovation Ecosystem"/>
        <s v="3.4 Research Publications and Awards"/>
        <s v="3.5 Consultancy"/>
        <s v="3.6 Extension Activities"/>
        <s v="3.7 Collaboration"/>
        <s v="4.1 Physical Facilities"/>
        <s v="4.2 Library as a Learning Resource"/>
        <s v="4.3 IT Infrastructure"/>
        <s v="4.4 Maintenance of Campus Infrastructure"/>
        <s v="5.1 Student Support"/>
        <s v="5.2 Student Progression"/>
        <s v="5.3 Student Participation and Activities"/>
        <s v="5.4 Alumni Engagement"/>
        <s v="6.1 Institutional Vision and Leadership"/>
        <s v="6.2 Strategy Development and Deployment"/>
        <s v="6.3 Faculty Empowerment Strategies"/>
        <s v="6.4 Financial Management and Resource Mobilization"/>
        <s v="6.5 Internal Quality Assurance System (IQAS)"/>
        <s v="7.1 Institutional Values and Social Responsibilities"/>
        <s v="7.2 Best Practices"/>
        <s v="7.3 Institutional Distinctiveness"/>
      </sharedItems>
    </cacheField>
    <cacheField name="Metric_x000a_(M)_x000a_Type" numFmtId="0">
      <sharedItems/>
    </cacheField>
    <cacheField name="Metric_x000a_(M)_x000a_Num" numFmtId="0">
      <sharedItems/>
    </cacheField>
    <cacheField name="Metric (M) Description" numFmtId="0">
      <sharedItems longText="1"/>
    </cacheField>
    <cacheField name="M_x000a_Wt" numFmtId="0">
      <sharedItems containsSemiMixedTypes="0" containsString="0" containsNumber="1" containsInteger="1" minValue="2" maxValue="50"/>
    </cacheField>
    <cacheField name="KI_x000a_Wt" numFmtId="0">
      <sharedItems containsString="0" containsBlank="1" containsNumber="1" containsInteger="1" minValue="10" maxValue="50"/>
    </cacheField>
    <cacheField name="©_x000a_Wt" numFmtId="0">
      <sharedItems containsString="0" containsBlank="1" containsNumber="1" containsInteger="1" minValue="100" maxValue="300"/>
    </cacheField>
    <cacheField name="Institute_x000a_Name" numFmtId="0">
      <sharedItems containsDate="1" containsBlank="1" containsMixedTypes="1" minDate="1899-12-31T00:00:00" maxDate="6772-09-13T19:34:04"/>
    </cacheField>
    <cacheField name="Metric_x000a_Grade_x000a_scale_x000a_(0-4)" numFmtId="0">
      <sharedItems containsString="0" containsBlank="1" containsNumber="1" containsInteger="1" minValue="0" maxValue="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4818.710118634262" createdVersion="6" refreshedVersion="6" minRefreshableVersion="3" recordCount="107">
  <cacheSource type="worksheet">
    <worksheetSource ref="A2:L109" sheet="Autonomous 107m" r:id="rId2"/>
  </cacheSource>
  <cacheFields count="12">
    <cacheField name="S._x000a_No" numFmtId="0">
      <sharedItems containsSemiMixedTypes="0" containsString="0" containsNumber="1" containsInteger="1" minValue="1" maxValue="107"/>
    </cacheField>
    <cacheField name="Criteria_x000a_©" numFmtId="0">
      <sharedItems/>
    </cacheField>
    <cacheField name="Key_x000a_Indicator_x000a_ (KI)" numFmtId="0">
      <sharedItems/>
    </cacheField>
    <cacheField name="Metric_x000a_(M)_x000a_Type" numFmtId="0">
      <sharedItems/>
    </cacheField>
    <cacheField name="Metric_x000a_(M)_x000a_Num" numFmtId="0">
      <sharedItems count="107">
        <s v="1.1.1"/>
        <s v="1.1.2"/>
        <s v="1.1.3"/>
        <s v="1.2.1"/>
        <s v="1.2.2"/>
        <s v="1.3.1"/>
        <s v="1.3.2"/>
        <s v="1.3.3"/>
        <s v="1.3.4"/>
        <s v="1.4.1"/>
        <s v="1.4.2"/>
        <s v="2.1.1"/>
        <s v="2.1.2"/>
        <s v="2.2.1"/>
        <s v="2.2.2"/>
        <s v="2.3.1"/>
        <s v="2.3.2"/>
        <s v="2.3.3"/>
        <s v="2.3.4"/>
        <s v="2.4.1"/>
        <s v="2.4.2"/>
        <s v="2.4.3"/>
        <s v="2.5.1"/>
        <s v="2.5.2"/>
        <s v="2.5.3"/>
        <s v="2.6.1"/>
        <s v="2.6.2"/>
        <s v="2.6.3"/>
        <s v="2.7.1"/>
        <s v="3.1.1"/>
        <s v="3.1.2"/>
        <s v="3.1.3"/>
        <s v="3.2.1"/>
        <s v="3.2.2"/>
        <s v="3.2.3"/>
        <s v="3.2.4"/>
        <s v="3.3.1"/>
        <s v="3.3.2"/>
        <s v="3.4.1"/>
        <s v="3.4.2"/>
        <s v="3.4.3"/>
        <s v="3.4.4"/>
        <s v="3.4.5"/>
        <s v="3.4.6"/>
        <s v="3.5.1"/>
        <s v="3.5.2"/>
        <s v="3.6.1"/>
        <s v="3.6.2"/>
        <s v="3.6.3"/>
        <s v="3.6.4"/>
        <s v="3.7.1"/>
        <s v="3.7.2"/>
        <s v="4.1.1"/>
        <s v="4.1.2"/>
        <s v="4.1.3"/>
        <s v="4.1.4"/>
        <s v="4.2.1"/>
        <s v="4.2.2"/>
        <s v="4.2.3"/>
        <s v="4.2.4"/>
        <s v="4.3.1"/>
        <s v="4.3.2"/>
        <s v="4.3.3"/>
        <s v="4.3.4"/>
        <s v="4.4.1"/>
        <s v="4.4.2"/>
        <s v="5.1.1"/>
        <s v="5.1.2"/>
        <s v="5.1.3"/>
        <s v="5.1.4"/>
        <s v="5.1.5"/>
        <s v="5.2.1"/>
        <s v="5.2.2"/>
        <s v="5.2.3"/>
        <s v="5.3.1"/>
        <s v="5.3.2"/>
        <s v="5.3.3"/>
        <s v="5.4.1"/>
        <s v="5.4.2"/>
        <s v="6.1.1"/>
        <s v="6.1.2"/>
        <s v="6.2.1"/>
        <s v="6.2.2"/>
        <s v="6.2.3"/>
        <s v="6.3.1"/>
        <s v="6.3.2"/>
        <s v="6.3.3"/>
        <s v="6.3.4"/>
        <s v="6.4.1"/>
        <s v="6.4.2"/>
        <s v="6.4.3"/>
        <s v="6.5.1"/>
        <s v="6.5.2"/>
        <s v="6.5.3"/>
        <s v="7.1.1"/>
        <s v="7.1.2"/>
        <s v="7.1.3"/>
        <s v="7.1.4"/>
        <s v="7.1.5"/>
        <s v="7.1.6"/>
        <s v="7.1.7"/>
        <s v="7.1.8"/>
        <s v="7.1.9"/>
        <s v="7.1.10"/>
        <s v="7.1.11"/>
        <s v="7.2.1"/>
        <s v="7.3.1"/>
      </sharedItems>
    </cacheField>
    <cacheField name="Metric (M) Description" numFmtId="0">
      <sharedItems longText="1"/>
    </cacheField>
    <cacheField name="M_x000a_Wt" numFmtId="0">
      <sharedItems containsSemiMixedTypes="0" containsString="0" containsNumber="1" containsInteger="1" minValue="2" maxValue="50"/>
    </cacheField>
    <cacheField name="KI_x000a_Wt" numFmtId="0">
      <sharedItems containsString="0" containsBlank="1" containsNumber="1" containsInteger="1" minValue="10" maxValue="50"/>
    </cacheField>
    <cacheField name="©_x000a_Wt" numFmtId="0">
      <sharedItems containsString="0" containsBlank="1" containsNumber="1" containsInteger="1" minValue="100" maxValue="300"/>
    </cacheField>
    <cacheField name="Institute_x000a_Name" numFmtId="0">
      <sharedItems containsDate="1" containsBlank="1" containsMixedTypes="1" minDate="1899-12-31T00:00:00" maxDate="6772-09-13T19:34:04"/>
    </cacheField>
    <cacheField name="Metric_x000a_Grade_x000a_scale_x000a_(0-4)" numFmtId="0">
      <sharedItems containsString="0" containsBlank="1" containsNumber="1" containsInteger="1" minValue="0" maxValue="4"/>
    </cacheField>
    <cacheField name="M_x000a_wise weighted Grade points" numFmtId="0">
      <sharedItems containsSemiMixedTypes="0" containsString="0" containsNumber="1" containsInteger="1" minValue="0" maxValue="8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OnLoad="1" refreshedBy="Author" refreshedDate="44819.549276967591" createdVersion="6" refreshedVersion="6" minRefreshableVersion="3" recordCount="55">
  <cacheSource type="worksheet">
    <worksheetSource ref="A2:P57" sheet="Affiliated(55m)" r:id="rId2"/>
  </cacheSource>
  <cacheFields count="16">
    <cacheField name="S._x000a_No" numFmtId="0">
      <sharedItems containsSemiMixedTypes="0" containsString="0" containsNumber="1" containsInteger="1" minValue="1" maxValue="55"/>
    </cacheField>
    <cacheField name="Criteria_x000a_©" numFmtId="0">
      <sharedItems count="7">
        <s v="1. Curricular Aspects"/>
        <s v="2. Teaching-Learning and Evaluation"/>
        <s v="3. Research, Innovations and Extension"/>
        <s v="4. Infrastructure and Learning Resources"/>
        <s v="5. Student Support and Progression"/>
        <s v="6. Governance, Leadership and Management"/>
        <s v="7. Institutional Values and Best Practices"/>
      </sharedItems>
    </cacheField>
    <cacheField name="Key_x000a_Indicator_x000a_ (KI)" numFmtId="0">
      <sharedItems/>
    </cacheField>
    <cacheField name="Metric_x000a_(M)_x000a_Type" numFmtId="0">
      <sharedItems count="2">
        <s v="QlM"/>
        <s v="QnM"/>
      </sharedItems>
    </cacheField>
    <cacheField name="Metric_x000a_(M)_x000a_Num" numFmtId="0">
      <sharedItems/>
    </cacheField>
    <cacheField name="Metric (M) Description" numFmtId="0">
      <sharedItems longText="1"/>
    </cacheField>
    <cacheField name="M_x000a_Wt" numFmtId="0">
      <sharedItems containsSemiMixedTypes="0" containsString="0" containsNumber="1" containsInteger="1" minValue="4" maxValue="60" count="13">
        <n v="20"/>
        <n v="15"/>
        <n v="10"/>
        <n v="40"/>
        <n v="25"/>
        <n v="45"/>
        <n v="60"/>
        <n v="5"/>
        <n v="6"/>
        <n v="4"/>
        <n v="8"/>
        <n v="12"/>
        <n v="30"/>
      </sharedItems>
    </cacheField>
    <cacheField name="KI_x000a_Wt" numFmtId="0">
      <sharedItems containsString="0" containsBlank="1" containsNumber="1" containsInteger="1" minValue="10" maxValue="90" count="11">
        <n v="20"/>
        <n v="30"/>
        <m/>
        <n v="40"/>
        <n v="90"/>
        <n v="60"/>
        <n v="10"/>
        <n v="15"/>
        <n v="25"/>
        <n v="50"/>
        <n v="35"/>
      </sharedItems>
    </cacheField>
    <cacheField name="©_x000a_Wt" numFmtId="0">
      <sharedItems containsString="0" containsBlank="1" containsNumber="1" containsInteger="1" minValue="100" maxValue="350" count="5">
        <n v="100"/>
        <m/>
        <n v="350"/>
        <n v="110"/>
        <n v="140"/>
      </sharedItems>
    </cacheField>
    <cacheField name="Institute_x000a_Name" numFmtId="0">
      <sharedItems containsBlank="1" containsMixedTypes="1" containsNumber="1" minValue="0" maxValue="100" count="29">
        <m/>
        <n v="4"/>
        <n v="1.29"/>
        <n v="17.77"/>
        <s v="Yes"/>
        <n v="68.39"/>
        <n v="96.16"/>
        <n v="60.5"/>
        <n v="100"/>
        <n v="23.85"/>
        <n v="98.36"/>
        <n v="29"/>
        <n v="0"/>
        <n v="26"/>
        <n v="11.54"/>
        <n v="53.85"/>
        <n v="90"/>
        <n v="1"/>
        <n v="45.38"/>
        <n v="0.38"/>
        <n v="65.790000000000006"/>
        <s v="C"/>
        <n v="4.3499999999999996"/>
        <s v="A"/>
        <n v="74.900000000000006"/>
        <n v="11"/>
        <n v="22.4"/>
        <n v="5.52"/>
        <s v="B"/>
      </sharedItems>
    </cacheField>
    <cacheField name="Metric_x000a_Grade_x000a_scale_x000a_(0-4)" numFmtId="0">
      <sharedItems containsSemiMixedTypes="0" containsString="0" containsNumber="1" containsInteger="1" minValue="0" maxValue="4" count="5">
        <n v="0"/>
        <n v="4"/>
        <n v="3"/>
        <n v="1"/>
        <n v="2"/>
      </sharedItems>
    </cacheField>
    <cacheField name="M_x000a_wise weighted Grade points" numFmtId="0">
      <sharedItems containsSemiMixedTypes="0" containsString="0" containsNumber="1" containsInteger="1" minValue="0" maxValue="180" count="12">
        <n v="0"/>
        <n v="80"/>
        <n v="60"/>
        <n v="120"/>
        <n v="25"/>
        <n v="180"/>
        <n v="5"/>
        <n v="30"/>
        <n v="40"/>
        <n v="20"/>
        <n v="16"/>
        <n v="45"/>
      </sharedItems>
    </cacheField>
    <cacheField name="KIwise_x000a_weighted_x000a_Grade_x000a_points" numFmtId="0">
      <sharedItems containsString="0" containsBlank="1" containsNumber="1" containsInteger="1" minValue="0" maxValue="180" count="16">
        <n v="0"/>
        <m/>
        <n v="80"/>
        <n v="140"/>
        <n v="120"/>
        <n v="85"/>
        <n v="180"/>
        <n v="60"/>
        <n v="5"/>
        <n v="30"/>
        <n v="40"/>
        <n v="20"/>
        <n v="100"/>
        <n v="25"/>
        <n v="16"/>
        <n v="45"/>
      </sharedItems>
    </cacheField>
    <cacheField name="KIwise_x000a_weighted_x000a_Grade_x000a_points_x000a_Average" numFmtId="0">
      <sharedItems containsString="0" containsBlank="1" containsNumber="1" minValue="0" maxValue="4" count="17">
        <n v="0"/>
        <m/>
        <n v="4"/>
        <n v="3.5"/>
        <n v="3"/>
        <n v="2.125"/>
        <n v="2"/>
        <n v="1"/>
        <n v="0.33333333333333331"/>
        <n v="1.2"/>
        <n v="1.3333333333333333"/>
        <n v="0.66666666666666663"/>
        <n v="2.4"/>
        <n v="3.3333333333333335"/>
        <n v="0.5"/>
        <n v="1.6"/>
        <n v="1.5"/>
      </sharedItems>
    </cacheField>
    <cacheField name="©Wise_x000a_Weighted _x000a_Average" numFmtId="0">
      <sharedItems containsString="0" containsBlank="1" containsNumber="1" containsInteger="1" minValue="60" maxValue="585" count="8">
        <n v="80"/>
        <m/>
        <n v="585"/>
        <n v="115"/>
        <n v="60"/>
        <n v="245"/>
        <n v="61"/>
        <n v="100"/>
      </sharedItems>
    </cacheField>
    <cacheField name="©Wise_x000a_Weighted_x000a_Grade_x000a_Point_x000a_Average" numFmtId="0">
      <sharedItems containsString="0" containsBlank="1" containsNumber="1" minValue="0.6" maxValue="1.75" count="8">
        <n v="0.8"/>
        <m/>
        <n v="1.6714285714285715"/>
        <n v="1.0454545454545454"/>
        <n v="0.6"/>
        <n v="1.75"/>
        <n v="0.61"/>
        <n v="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Author" refreshedDate="44819.550214467592" createdVersion="6" refreshedVersion="6" minRefreshableVersion="3" recordCount="72">
  <cacheSource type="worksheet">
    <worksheetSource ref="A2:K74" sheet="Qn (72m)" r:id="rId2"/>
  </cacheSource>
  <cacheFields count="11">
    <cacheField name="S._x000a_No" numFmtId="0">
      <sharedItems containsSemiMixedTypes="0" containsString="0" containsNumber="1" containsInteger="1" minValue="1" maxValue="72"/>
    </cacheField>
    <cacheField name="Criteria_x000a_©" numFmtId="0">
      <sharedItems containsBlank="1" count="8">
        <s v="1. Curricular Aspects"/>
        <s v="2. Teaching-Learning and Evaluation"/>
        <s v="3. Research, Innovations and Extension"/>
        <s v="4. Infrastructure and Learning Resources"/>
        <s v="5. Student Support and Progression"/>
        <s v="6. Governance, Leadership and Management"/>
        <s v="7. Institutional Values and Best Practices"/>
        <m/>
      </sharedItems>
    </cacheField>
    <cacheField name="Key_x000a_Indicator_x000a_ (KI)" numFmtId="0">
      <sharedItems containsBlank="1" count="24">
        <s v="1.2 Academic Flexibility"/>
        <s v="1.3 Curriculum Enrichment"/>
        <s v="1.4 Feedback System"/>
        <s v="2.1 Student Enrolment and Profile"/>
        <s v="2.2 Student Teacher Ratio"/>
        <s v="2.4 Teacher Profile and Quality"/>
        <s v="2.6 Student Performance and Learning Outcomes"/>
        <s v="2.7 Student Satisfaction Survey"/>
        <s v="3.1 Resource Mobilization for Research"/>
        <s v="3.2 Innovation Ecosystem"/>
        <s v="3.3 Research Publications and Awards"/>
        <s v="3.4 Extension Activities"/>
        <s v="3.5 Collaboration"/>
        <s v="4.1 Physical Facilities"/>
        <s v="4.3 IT Infrastructure"/>
        <s v="4.4 Maintenance of Campus Infrastructure"/>
        <s v="5.1 Student Support"/>
        <s v="5.2 Student Progression"/>
        <s v="5.3 Student Participation and Activities"/>
        <s v="6.2 Strategy Development and Deployment"/>
        <s v="6.3 Faculty Empowerment Strategies"/>
        <s v="6.5 Internal Quality Assurance System (IQAS)"/>
        <s v="7.1 Institutional Values and Social Responsibilities"/>
        <m/>
      </sharedItems>
    </cacheField>
    <cacheField name="Metric_x000a_(M)_x000a_Type" numFmtId="0">
      <sharedItems/>
    </cacheField>
    <cacheField name="Metric_x000a_(M)_x000a_Num" numFmtId="0">
      <sharedItems count="72">
        <s v="1.1.2"/>
        <s v="1.1.3"/>
        <s v="1.2.1"/>
        <s v="1.2.2"/>
        <s v="1.3.2"/>
        <s v="1.3.3"/>
        <s v="1.3.4"/>
        <s v="1.4.1"/>
        <s v="1.4.2"/>
        <s v="2.1.1"/>
        <s v="2.1.2"/>
        <s v="2.2.2"/>
        <s v="2.3.3"/>
        <s v="2.4.1"/>
        <s v="2.4.2"/>
        <s v="2.4.3"/>
        <s v="2.5.1"/>
        <s v="2.5.2"/>
        <s v="2.6.3"/>
        <s v="2.7.1"/>
        <s v="3.1.2"/>
        <s v="3.1.3"/>
        <s v="3.2.1"/>
        <s v="3.2.2"/>
        <s v="3.2.3"/>
        <s v="3.2.4"/>
        <s v="3.3.2"/>
        <s v="3.4.1"/>
        <s v="3.4.2"/>
        <s v="3.4.3"/>
        <s v="3.4.4"/>
        <s v="3.4.5"/>
        <s v="3.4.6"/>
        <s v="3.5.1"/>
        <s v="3.5.2"/>
        <s v="3.6.2"/>
        <s v="3.6.3"/>
        <s v="3.6.4"/>
        <s v="3.7.1"/>
        <s v="3.7.2"/>
        <s v="4.1.3"/>
        <s v="4.1.4"/>
        <s v="4.2.2"/>
        <s v="4.2.3"/>
        <s v="4.2.4"/>
        <s v="4.3.2"/>
        <s v="4.3.3"/>
        <s v="4.3.4"/>
        <s v="4.4.1"/>
        <s v="5.1.1"/>
        <s v="5.1.2"/>
        <s v="5.1.3"/>
        <s v="5.1.4"/>
        <s v="5.1.5"/>
        <s v="5.2.1"/>
        <s v="5.2.2"/>
        <s v="5.2.3"/>
        <s v="5.3.1"/>
        <s v="5.3.3"/>
        <s v="5.4.2"/>
        <s v="6.2.3"/>
        <s v="6.3.2"/>
        <s v="6.3.3"/>
        <s v="6.3.4"/>
        <s v="6.4.2"/>
        <s v="6.5.3"/>
        <s v="7.1.2"/>
        <s v="7.1.4"/>
        <s v="7.1.5"/>
        <s v="7.1.6"/>
        <s v="7.1.7"/>
        <s v="7.1.10"/>
      </sharedItems>
    </cacheField>
    <cacheField name="Metric (M) Description" numFmtId="0">
      <sharedItems longText="1"/>
    </cacheField>
    <cacheField name="M_x000a_Wt" numFmtId="0">
      <sharedItems containsSemiMixedTypes="0" containsString="0" containsNumber="1" containsInteger="1" minValue="2" maxValue="50"/>
    </cacheField>
    <cacheField name="KI_x000a_Wt" numFmtId="0">
      <sharedItems containsString="0" containsBlank="1" containsNumber="1" containsInteger="1" minValue="4" maxValue="50"/>
    </cacheField>
    <cacheField name="©_x000a_Wt" numFmtId="0">
      <sharedItems containsString="0" containsBlank="1" containsNumber="1" containsInteger="1" minValue="27" maxValue="200"/>
    </cacheField>
    <cacheField name="Institute_x000a_Name" numFmtId="0">
      <sharedItems containsMixedTypes="1" containsNumber="1" minValue="0" maxValue="116.67"/>
    </cacheField>
    <cacheField name="Metric_x000a_Grade_x000a_scale_x000a_(0-4)" numFmtId="0">
      <sharedItems containsSemiMixedTypes="0" containsString="0" containsNumber="1" containsInteger="1" minValue="0" maxValue="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Author" refreshedDate="44819.550790972222" createdVersion="6" refreshedVersion="6" minRefreshableVersion="3" recordCount="72">
  <cacheSource type="worksheet">
    <worksheetSource ref="A2:K74" sheet="Qn (72m)" r:id="rId2"/>
  </cacheSource>
  <cacheFields count="11">
    <cacheField name="S._x000a_No" numFmtId="0">
      <sharedItems containsSemiMixedTypes="0" containsString="0" containsNumber="1" containsInteger="1" minValue="1" maxValue="72"/>
    </cacheField>
    <cacheField name="Criteria_x000a_©" numFmtId="0">
      <sharedItems containsBlank="1"/>
    </cacheField>
    <cacheField name="Key_x000a_Indicator_x000a_ (KI)" numFmtId="0">
      <sharedItems containsBlank="1"/>
    </cacheField>
    <cacheField name="Metric_x000a_(M)_x000a_Type" numFmtId="0">
      <sharedItems/>
    </cacheField>
    <cacheField name="Metric_x000a_(M)_x000a_Num" numFmtId="0">
      <sharedItems count="72">
        <s v="1.1.2"/>
        <s v="1.1.3"/>
        <s v="1.2.1"/>
        <s v="1.2.2"/>
        <s v="1.3.2"/>
        <s v="1.3.3"/>
        <s v="1.3.4"/>
        <s v="1.4.1"/>
        <s v="1.4.2"/>
        <s v="2.1.1"/>
        <s v="2.1.2"/>
        <s v="2.2.2"/>
        <s v="2.3.3"/>
        <s v="2.4.1"/>
        <s v="2.4.2"/>
        <s v="2.4.3"/>
        <s v="2.5.1"/>
        <s v="2.5.2"/>
        <s v="2.6.3"/>
        <s v="2.7.1"/>
        <s v="3.1.2"/>
        <s v="3.1.3"/>
        <s v="3.2.1"/>
        <s v="3.2.2"/>
        <s v="3.2.3"/>
        <s v="3.2.4"/>
        <s v="3.3.2"/>
        <s v="3.4.1"/>
        <s v="3.4.2"/>
        <s v="3.4.3"/>
        <s v="3.4.4"/>
        <s v="3.4.5"/>
        <s v="3.4.6"/>
        <s v="3.5.1"/>
        <s v="3.5.2"/>
        <s v="3.6.2"/>
        <s v="3.6.3"/>
        <s v="3.6.4"/>
        <s v="3.7.1"/>
        <s v="3.7.2"/>
        <s v="4.1.3"/>
        <s v="4.1.4"/>
        <s v="4.2.2"/>
        <s v="4.2.3"/>
        <s v="4.2.4"/>
        <s v="4.3.2"/>
        <s v="4.3.3"/>
        <s v="4.3.4"/>
        <s v="4.4.1"/>
        <s v="5.1.1"/>
        <s v="5.1.2"/>
        <s v="5.1.3"/>
        <s v="5.1.4"/>
        <s v="5.1.5"/>
        <s v="5.2.1"/>
        <s v="5.2.2"/>
        <s v="5.2.3"/>
        <s v="5.3.1"/>
        <s v="5.3.3"/>
        <s v="5.4.2"/>
        <s v="6.2.3"/>
        <s v="6.3.2"/>
        <s v="6.3.3"/>
        <s v="6.3.4"/>
        <s v="6.4.2"/>
        <s v="6.5.3"/>
        <s v="7.1.2"/>
        <s v="7.1.4"/>
        <s v="7.1.5"/>
        <s v="7.1.6"/>
        <s v="7.1.7"/>
        <s v="7.1.10"/>
      </sharedItems>
    </cacheField>
    <cacheField name="Metric (M) Description" numFmtId="0">
      <sharedItems longText="1"/>
    </cacheField>
    <cacheField name="M_x000a_Wt" numFmtId="0">
      <sharedItems containsSemiMixedTypes="0" containsString="0" containsNumber="1" containsInteger="1" minValue="2" maxValue="50"/>
    </cacheField>
    <cacheField name="KI_x000a_Wt" numFmtId="0">
      <sharedItems containsString="0" containsBlank="1" containsNumber="1" containsInteger="1" minValue="4" maxValue="50"/>
    </cacheField>
    <cacheField name="©_x000a_Wt" numFmtId="0">
      <sharedItems containsString="0" containsBlank="1" containsNumber="1" containsInteger="1" minValue="27" maxValue="200"/>
    </cacheField>
    <cacheField name="Institute_x000a_Name" numFmtId="0">
      <sharedItems containsMixedTypes="1" containsNumber="1" minValue="0" maxValue="116.67"/>
    </cacheField>
    <cacheField name="Metric_x000a_Grade_x000a_scale_x000a_(0-4)" numFmtId="0">
      <sharedItems containsSemiMixedTypes="0" containsString="0" containsNumber="1" containsInteger="1" minValue="0" maxValue="4"/>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Author" refreshedDate="44819.570016782411" createdVersion="6" refreshedVersion="6" minRefreshableVersion="3" recordCount="35">
  <cacheSource type="worksheet">
    <worksheetSource ref="A2:K37" sheet="Ql (35m)" r:id="rId2"/>
  </cacheSource>
  <cacheFields count="11">
    <cacheField name="S._x000a_No" numFmtId="0">
      <sharedItems containsSemiMixedTypes="0" containsString="0" containsNumber="1" containsInteger="1" minValue="1" maxValue="35"/>
    </cacheField>
    <cacheField name="Criteria_x000a_©" numFmtId="0">
      <sharedItems/>
    </cacheField>
    <cacheField name="Key_x000a_Indicator_x000a_ (KI)" numFmtId="0">
      <sharedItems count="23">
        <s v="1.1 Curriculum Planning and Implementation"/>
        <s v="1.3 Curriculum Enrichment"/>
        <s v="2.2 Catering to Student Diversity"/>
        <s v="2.3 Teaching-Learning Process"/>
        <s v="2.5 Evaluation Process and Reforms"/>
        <s v="2.6 Student Performance and Learning Outcomes"/>
        <s v="3.1 Promotion of Research and Facilities"/>
        <s v="3.3 Innovation Ecosystem"/>
        <s v="3.6 Extension Activities"/>
        <s v="4.1 Physical Facilities"/>
        <s v="4.2 Library as a Learning Resource"/>
        <s v="4.3 IT Infrastructure"/>
        <s v="4.4 Maintenance of Campus Infrastructure"/>
        <s v="5.3 Student Participation and Activities"/>
        <s v="5.4 Alumni Engagement"/>
        <s v="6.1 Institutional Vision and Leadership"/>
        <s v="6.2 Strategy Development and Deployment"/>
        <s v="6.3 Faculty Empowerment Strategies"/>
        <s v="6.4 Financial Management and Resource Mobilization"/>
        <s v="6.5 Internal Quality Assurance System (IQAS)"/>
        <s v="7.1 Institutional Values and Social Responsibilities"/>
        <s v="7.2 Best Practices"/>
        <s v="7.3 Institutional Distinctiveness"/>
      </sharedItems>
    </cacheField>
    <cacheField name="Metric_x000a_(M)_x000a_Type" numFmtId="0">
      <sharedItems/>
    </cacheField>
    <cacheField name="Metric_x000a_(M)_x000a_Num" numFmtId="0">
      <sharedItems count="35">
        <s v="1.1.1"/>
        <s v="1.3.1"/>
        <s v="2.2.1"/>
        <s v="2.3.1"/>
        <s v="2.3.2"/>
        <s v="2.3.4"/>
        <s v="2.5.3"/>
        <s v="2.6.1"/>
        <s v="2.6.2"/>
        <s v="3.1.1"/>
        <s v="3.3.1"/>
        <s v="3.6.1"/>
        <s v="4.1.1"/>
        <s v="4.1.2"/>
        <s v="4.2.1"/>
        <s v="4.3.1"/>
        <s v="4.4.2"/>
        <s v="5.3.2"/>
        <s v="5.4.1"/>
        <s v="6.1.1"/>
        <s v="6.1.2"/>
        <s v="6.2.1"/>
        <s v="6.2.2"/>
        <s v="6.3.1"/>
        <s v="6.4.1"/>
        <s v="6.4.3"/>
        <s v="6.5.1"/>
        <s v="6.5.2"/>
        <s v="7.1.1"/>
        <s v="7.1.3"/>
        <s v="7.1.8"/>
        <s v="7.1.9"/>
        <s v="7.1.11"/>
        <s v="7.2.1"/>
        <s v="7.3.1"/>
      </sharedItems>
    </cacheField>
    <cacheField name="Metric (M) Description" numFmtId="0">
      <sharedItems longText="1"/>
    </cacheField>
    <cacheField name="M_x000a_Wt" numFmtId="0">
      <sharedItems containsSemiMixedTypes="0" containsString="0" containsNumber="1" containsInteger="1" minValue="2" maxValue="30"/>
    </cacheField>
    <cacheField name="KI_x000a_Wt" numFmtId="0">
      <sharedItems containsString="0" containsBlank="1" containsNumber="1" containsInteger="1" minValue="4" maxValue="40"/>
    </cacheField>
    <cacheField name="©_x000a_Wt" numFmtId="0">
      <sharedItems containsString="0" containsBlank="1" containsNumber="1" containsInteger="1" minValue="15" maxValue="100"/>
    </cacheField>
    <cacheField name="Response" numFmtId="1">
      <sharedItems containsNonDate="0" containsString="0" containsBlank="1"/>
    </cacheField>
    <cacheField name="Metric_x000a_Grade_x000a_scale_x000a_(0-4)"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r:id="rId1" refreshedBy="Author" refreshedDate="44819.57015486111" createdVersion="6" refreshedVersion="6" minRefreshableVersion="3" recordCount="35">
  <cacheSource type="worksheet">
    <worksheetSource ref="A2:K37" sheet="Ql (35m)" r:id="rId2"/>
  </cacheSource>
  <cacheFields count="11">
    <cacheField name="S._x000a_No" numFmtId="0">
      <sharedItems containsSemiMixedTypes="0" containsString="0" containsNumber="1" containsInteger="1" minValue="1" maxValue="35"/>
    </cacheField>
    <cacheField name="Criteria_x000a_©" numFmtId="0">
      <sharedItems containsBlank="1" count="8">
        <s v="1. Curricular Aspects"/>
        <s v="2. Teaching-Learning and Evaluation"/>
        <s v="3. Research, Innovations and Extension"/>
        <s v="4. Infrastructure and Learning Resources"/>
        <s v="5. Student Support and Progression"/>
        <s v="6. Governance, Leadership and Management"/>
        <s v="7. Institutional Values and Best Practices"/>
        <m u="1"/>
      </sharedItems>
    </cacheField>
    <cacheField name="Key_x000a_Indicator_x000a_ (KI)" numFmtId="0">
      <sharedItems/>
    </cacheField>
    <cacheField name="Metric_x000a_(M)_x000a_Type" numFmtId="0">
      <sharedItems/>
    </cacheField>
    <cacheField name="Metric_x000a_(M)_x000a_Num" numFmtId="0">
      <sharedItems/>
    </cacheField>
    <cacheField name="Metric (M) Description" numFmtId="0">
      <sharedItems longText="1"/>
    </cacheField>
    <cacheField name="M_x000a_Wt" numFmtId="0">
      <sharedItems containsSemiMixedTypes="0" containsString="0" containsNumber="1" containsInteger="1" minValue="2" maxValue="30"/>
    </cacheField>
    <cacheField name="KI_x000a_Wt" numFmtId="0">
      <sharedItems containsString="0" containsBlank="1" containsNumber="1" containsInteger="1" minValue="4" maxValue="40"/>
    </cacheField>
    <cacheField name="©_x000a_Wt" numFmtId="0">
      <sharedItems containsString="0" containsBlank="1" containsNumber="1" containsInteger="1" minValue="15" maxValue="100"/>
    </cacheField>
    <cacheField name="Response" numFmtId="1">
      <sharedItems containsNonDate="0" containsString="0" containsBlank="1"/>
    </cacheField>
    <cacheField name="Metric_x000a_Grade_x000a_scale_x000a_(0-4)"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r:id="rId1" refreshedBy="Author" refreshedDate="44819.573451736112" createdVersion="6" refreshedVersion="6" minRefreshableVersion="3" recordCount="35">
  <cacheSource type="worksheet">
    <worksheetSource ref="C2:I37" sheet="Ql (35m)" r:id="rId2"/>
  </cacheSource>
  <cacheFields count="7">
    <cacheField name="Key_x000a_Indicator_x000a_ (KI)" numFmtId="0">
      <sharedItems count="23">
        <s v="1.1 Curriculum Planning and Implementation"/>
        <s v="1.3 Curriculum Enrichment"/>
        <s v="2.2 Catering to Student Diversity"/>
        <s v="2.3 Teaching-Learning Process"/>
        <s v="2.5 Evaluation Process and Reforms"/>
        <s v="2.6 Student Performance and Learning Outcomes"/>
        <s v="3.1 Promotion of Research and Facilities"/>
        <s v="3.3 Innovation Ecosystem"/>
        <s v="3.6 Extension Activities"/>
        <s v="4.1 Physical Facilities"/>
        <s v="4.2 Library as a Learning Resource"/>
        <s v="4.3 IT Infrastructure"/>
        <s v="4.4 Maintenance of Campus Infrastructure"/>
        <s v="5.3 Student Participation and Activities"/>
        <s v="5.4 Alumni Engagement"/>
        <s v="6.1 Institutional Vision and Leadership"/>
        <s v="6.2 Strategy Development and Deployment"/>
        <s v="6.3 Faculty Empowerment Strategies"/>
        <s v="6.4 Financial Management and Resource Mobilization"/>
        <s v="6.5 Internal Quality Assurance System (IQAS)"/>
        <s v="7.1 Institutional Values and Social Responsibilities"/>
        <s v="7.2 Best Practices"/>
        <s v="7.3 Institutional Distinctiveness"/>
      </sharedItems>
    </cacheField>
    <cacheField name="Metric_x000a_(M)_x000a_Type" numFmtId="0">
      <sharedItems/>
    </cacheField>
    <cacheField name="Metric_x000a_(M)_x000a_Num" numFmtId="0">
      <sharedItems/>
    </cacheField>
    <cacheField name="Metric (M) Description" numFmtId="0">
      <sharedItems longText="1"/>
    </cacheField>
    <cacheField name="M_x000a_Wt" numFmtId="0">
      <sharedItems containsSemiMixedTypes="0" containsString="0" containsNumber="1" containsInteger="1" minValue="2" maxValue="30"/>
    </cacheField>
    <cacheField name="KI_x000a_Wt" numFmtId="0">
      <sharedItems containsString="0" containsBlank="1" containsNumber="1" containsInteger="1" minValue="4" maxValue="40"/>
    </cacheField>
    <cacheField name="©_x000a_Wt" numFmtId="0">
      <sharedItems containsString="0" containsBlank="1" containsNumber="1" containsInteger="1" minValue="15"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7">
  <r>
    <n v="1"/>
    <x v="0"/>
    <x v="0"/>
    <s v="QlM"/>
    <s v="1.1.1"/>
    <s v="Curricula developed and implemented have relevance to the local, national, regional and global developmental needs which is reflected in Programme outcomes (POs), Programme Specific outcomes (PSOs) and Course Outcomes (COs) of the Programmes offered by the Institution _x000a__x000a_Write description in maximum of 500 words _x000a_"/>
    <n v="20"/>
    <n v="50"/>
    <n v="150"/>
    <m/>
    <m/>
  </r>
  <r>
    <n v="2"/>
    <x v="0"/>
    <x v="0"/>
    <s v="QnM"/>
    <s v="1.1.2"/>
    <s v="Percentage of Programmes where syllabus revision was carried out during the last five years _x000a__x000a_1.1.2.1: How many Programmes were revised out of total number of Programmes offered during the same period within last five years? _x000a_1.1.2.2 : Number of all Programmes offered by the institution during the last five years_x000a_"/>
    <n v="20"/>
    <m/>
    <m/>
    <n v="92.86"/>
    <n v="4"/>
  </r>
  <r>
    <n v="3"/>
    <x v="0"/>
    <x v="0"/>
    <s v="QnM"/>
    <s v="1.1.3"/>
    <s v="Average percentage of courses having focus on employability/ entrepreneurship/ skill development offered by the institution during the last five years _x000a__x000a_1.1.3.1: Number of courses having focus on employability/ entrepreneurship/ skill development year wise during last five years _x000a_"/>
    <n v="10"/>
    <m/>
    <m/>
    <n v="84.19"/>
    <n v="4"/>
  </r>
  <r>
    <n v="4"/>
    <x v="0"/>
    <x v="1"/>
    <s v="QnM"/>
    <s v="1.2.1"/>
    <s v="Percentage of new courses introduced of the total number of courses across all programs offered during the last five years _x000a__x000a_1.2.1.1: How many new courses are introduced within the last five years _x000a_1.2.1.2 : Number of courses offered by the institution across all Programmes during the last five years _x000a_"/>
    <n v="20"/>
    <n v="40"/>
    <m/>
    <n v="38.71"/>
    <n v="1"/>
  </r>
  <r>
    <n v="5"/>
    <x v="0"/>
    <x v="1"/>
    <s v="QnM"/>
    <s v="1.2.2"/>
    <s v="Percentage of Programmes in which Choice Based Credit System (CBCS)/elective course system has been implemented (Data for the latest completed academic year ) _x000a__x000a_1.2.2.1: Number of Programmes in which CBCS/Elective course system implemented._x000a_"/>
    <n v="20"/>
    <m/>
    <m/>
    <n v="81.25"/>
    <n v="4"/>
  </r>
  <r>
    <n v="6"/>
    <x v="0"/>
    <x v="2"/>
    <s v="QlM"/>
    <s v="1.3.1"/>
    <s v="Institution integrates crosscutting issues relevant to Professional Ethics, Gender, Human Values, Environment and Sustainability, Human Values into the Curriculum _x000a_Write description in maximum of 500 words_x000a_ "/>
    <n v="10"/>
    <n v="40"/>
    <m/>
    <m/>
    <m/>
  </r>
  <r>
    <n v="7"/>
    <x v="0"/>
    <x v="2"/>
    <s v="QnM"/>
    <s v="1.3.2"/>
    <s v="Number of value-added courses for imparting transferable and life skills offered during last five years _x000a__x000a_1.3.2.1: How many new value-added courses are added within the last 5 years _x000a_"/>
    <n v="10"/>
    <m/>
    <m/>
    <n v="87"/>
    <n v="4"/>
  </r>
  <r>
    <n v="8"/>
    <x v="0"/>
    <x v="2"/>
    <s v="QnM"/>
    <s v="1.3.3"/>
    <s v="Average Percentage of students enrolled in the courses under 1.3.2 above _x000a__x000a_1.3.3.1: Number of students enrolled in value added courses (beyond the curriculum) offered year wise during last five year_x000a_"/>
    <n v="10"/>
    <m/>
    <m/>
    <n v="32.64"/>
    <n v="1"/>
  </r>
  <r>
    <n v="9"/>
    <x v="0"/>
    <x v="2"/>
    <s v="QnM"/>
    <s v="1.3.4"/>
    <s v="Percentage of students undertaking field projects/ internships / student projects (Data for the latest completed academic year) _x000a__x000a_1.3.4.1: Number of students undertaking field projects / internships / student projects "/>
    <n v="10"/>
    <m/>
    <m/>
    <n v="61.81"/>
    <n v="0"/>
  </r>
  <r>
    <n v="10"/>
    <x v="0"/>
    <x v="3"/>
    <s v="QnM"/>
    <s v="1.4.1"/>
    <s v="Structured feedback for design and review of syllabus ( semester wise / year wise) is obtained from 1) Students, 2) Teachers, 3) Employers, 4) Alumni _x000a_"/>
    <n v="10"/>
    <n v="20"/>
    <m/>
    <s v="B"/>
    <n v="3"/>
  </r>
  <r>
    <n v="11"/>
    <x v="0"/>
    <x v="3"/>
    <s v="QnM"/>
    <s v="1.4.2"/>
    <s v="The feedback system of the Institution comprises of the following : _x000a_A. Feedback collected, analysed and action taken and report made available on website _x000a_B. Feedback collected, analysed and action taken _x000a_C. Feedback collected and analysed _x000a_D. Feedback collected _x000a_E. Feedback not obtained _x000a_"/>
    <n v="10"/>
    <m/>
    <m/>
    <s v="C"/>
    <n v="2"/>
  </r>
  <r>
    <n v="12"/>
    <x v="1"/>
    <x v="4"/>
    <s v="QnM"/>
    <s v="2.1.1"/>
    <s v="Average Enrolment percentage (Average of last five years) _x000a__x000a_2.1.1.1: Number of students admitted year wise during last five years _x000a_2.1.1.2: Number of sanctioned seats year wise during last five years "/>
    <n v="10"/>
    <n v="20"/>
    <n v="300"/>
    <n v="85.42"/>
    <n v="4"/>
  </r>
  <r>
    <n v="13"/>
    <x v="1"/>
    <x v="4"/>
    <s v="QnM"/>
    <s v="2.1.2"/>
    <s v="Average percentage of seats filled against reserved categories (SC, ST, OBC, Divyangjan, etc. as per applicable reservation policy ) during the last five years  ( exclusive of supernumerary seats) _x000a__x000a_2.1.2.1: Number of actual students admitted from the reserved categories year wise during last five years"/>
    <n v="10"/>
    <m/>
    <m/>
    <n v="97.91"/>
    <n v="4"/>
  </r>
  <r>
    <n v="14"/>
    <x v="1"/>
    <x v="5"/>
    <s v="QlM"/>
    <s v="2.2.1"/>
    <s v="The institution assesses the learning levels of the students and organises special Programmes for advanced learners and slow learners._x000a_Write description in of 500 words _x000a_"/>
    <n v="15"/>
    <n v="30"/>
    <m/>
    <m/>
    <m/>
  </r>
  <r>
    <n v="15"/>
    <x v="1"/>
    <x v="5"/>
    <s v="QnM"/>
    <s v="2.2.2"/>
    <s v="Student - Full time teacher ratio (Data for the latest completed academic year) "/>
    <n v="15"/>
    <m/>
    <m/>
    <n v="16.13"/>
    <n v="0"/>
  </r>
  <r>
    <n v="16"/>
    <x v="1"/>
    <x v="6"/>
    <s v="QlM"/>
    <s v="2.3.1"/>
    <s v="Student centric methods, such as experiential learning, participative learning and problem solving methodologies are used for enhancing learning experiences _x000a_Write description in maximum of 500 words "/>
    <n v="15"/>
    <n v="50"/>
    <m/>
    <m/>
    <m/>
  </r>
  <r>
    <n v="17"/>
    <x v="1"/>
    <x v="6"/>
    <s v="QlM"/>
    <s v="2.3.2"/>
    <s v="Teachers use ICT enabled tools including online resources for effective teaching and learning process _x000a_Write description in maximum of 500 words "/>
    <n v="15"/>
    <m/>
    <m/>
    <m/>
    <m/>
  </r>
  <r>
    <n v="18"/>
    <x v="1"/>
    <x v="6"/>
    <s v="QnM"/>
    <s v="2.3.3"/>
    <s v="Ratio of students to mentor for academic and other related issues (Data for the latest completed academic year ) _x000a__x000a_2.3.3.1: Number of mentors _x000a_             Number of students assigned to each Mentor"/>
    <n v="10"/>
    <m/>
    <m/>
    <d v="1899-12-30T19:01:00"/>
    <n v="0"/>
  </r>
  <r>
    <n v="19"/>
    <x v="1"/>
    <x v="6"/>
    <s v="QlM"/>
    <s v="2.3.4"/>
    <s v="Preparation and adherence of Academic Calendar and Teaching plans by the institution _x000a_Describe the Preparation and adherence to Academic Calendar and Teaching plans by the institution within the minimum of 500 Characters and maximum of 500 words."/>
    <n v="10"/>
    <m/>
    <m/>
    <m/>
    <m/>
  </r>
  <r>
    <n v="20"/>
    <x v="1"/>
    <x v="7"/>
    <s v="QnM"/>
    <s v="2.4.1"/>
    <s v="Average percentage of full time teachers against sanctioned posts during the last five years _x000a_"/>
    <n v="15"/>
    <n v="50"/>
    <m/>
    <n v="99.34"/>
    <n v="4"/>
  </r>
  <r>
    <n v="21"/>
    <x v="1"/>
    <x v="7"/>
    <s v="QnM"/>
    <s v="2.4.2"/>
    <s v="Average percentage of full time teachers with Ph.D. / D.M. / M.Ch. / D.N.B Super speciality / D.Sc. / D.Litt. during the last five years _x000a_2.4.2.1: Number of full time teachers with Ph.D./ D.M. / M.Ch. / D.N.B Super speciality / D.Sc. / D.Litt. year wise during last five years _x000a_"/>
    <n v="20"/>
    <m/>
    <m/>
    <n v="11.09"/>
    <n v="0"/>
  </r>
  <r>
    <n v="22"/>
    <x v="1"/>
    <x v="7"/>
    <s v="QnM"/>
    <s v="2.4.3"/>
    <s v="Average teaching experience of full time teachers in the same institution (Data for the latest completed academic year in number of  years_x000a__x000a_2.4.3.1: Total experience of full-time teachers "/>
    <n v="15"/>
    <m/>
    <m/>
    <n v="5.69"/>
    <n v="0"/>
  </r>
  <r>
    <n v="23"/>
    <x v="1"/>
    <x v="8"/>
    <s v="QnM"/>
    <s v="2.5.1"/>
    <s v="Average number of days from the date of last semester-end/ year- end examination till the declaration of results during the last five years _x000a__x000a_2.5.1.1: Number of days from the date of last semester-end/ year- end examination till the declaration of results year wise during the last five years_x000a_"/>
    <n v="20"/>
    <n v="50"/>
    <m/>
    <n v="21"/>
    <n v="1"/>
  </r>
  <r>
    <n v="24"/>
    <x v="1"/>
    <x v="8"/>
    <s v="QnM"/>
    <s v="2.5.2"/>
    <s v="Average percentage of student complaints/grievances about evaluation against total number appeared in the examinations during the last five years _x000a_2.5.2.1: Number of complaints/grievances about evaluation year wise during last five years "/>
    <n v="15"/>
    <m/>
    <m/>
    <n v="12.61"/>
    <n v="0"/>
  </r>
  <r>
    <n v="25"/>
    <x v="1"/>
    <x v="8"/>
    <s v="QlM"/>
    <s v="2.5.3"/>
    <s v="IT integration and reforms in the examination procedures and processes including Continuous Internal Assessment (CIA) have brought in considerable improvement in Examination Management System (EMS) of the Institution _x000a__x000a_Describe the examination reforms with reference to the following within a minimum of 500 words and maximum 1000 words:  _x000a_"/>
    <n v="15"/>
    <m/>
    <m/>
    <m/>
    <m/>
  </r>
  <r>
    <n v="26"/>
    <x v="1"/>
    <x v="9"/>
    <s v="QlM"/>
    <s v="2.6.1"/>
    <s v="Programme outcomes and course outcomes for all Programmes offered by the institution are stated and displayed on website and communicated to teachers and students _x000a_Describe Course Outcomes (COs) for all courses and mechanism of communication within a maximum of 500 words _x000a_"/>
    <n v="20"/>
    <n v="50"/>
    <m/>
    <m/>
    <m/>
  </r>
  <r>
    <n v="27"/>
    <x v="1"/>
    <x v="9"/>
    <s v="QlM"/>
    <s v="2.6.2"/>
    <s v="Attainment of program outcomes and course outcomes are evaluated by the institution _x000a_Describe the method of measuring attainment of POs , PSOs and COs in not more than 500 words and the level of attainment of POs , PSOs and COs. "/>
    <n v="10"/>
    <m/>
    <m/>
    <m/>
    <m/>
  </r>
  <r>
    <n v="28"/>
    <x v="1"/>
    <x v="9"/>
    <s v="QnM"/>
    <s v="2.6.3"/>
    <s v="Pass percentage of students (Data for the latest completed academic year) _x000a__x000a_2.6.3.1: Total number of final year students who passed the examination conducted by Institution. _x000a_2.6.3.2: Total number of final year students who appeared for the examination"/>
    <n v="20"/>
    <m/>
    <m/>
    <n v="90.9"/>
    <n v="4"/>
  </r>
  <r>
    <n v="29"/>
    <x v="1"/>
    <x v="10"/>
    <s v="QnM"/>
    <s v="2.7.1"/>
    <s v="Online student satisfaction survey regarding to teaching learning process. (Online survey to be conducted) "/>
    <n v="50"/>
    <n v="50"/>
    <m/>
    <n v="3.48"/>
    <n v="0"/>
  </r>
  <r>
    <n v="30"/>
    <x v="2"/>
    <x v="11"/>
    <s v="QlM"/>
    <s v="3.1.1"/>
    <s v="The institution Research facilities are frequently updated and there is well defined policy for promotion of research which is uploaded on the institutional website and implemented _x000a_Write description in maximum of 500 words "/>
    <n v="6"/>
    <n v="20"/>
    <n v="150"/>
    <m/>
    <m/>
  </r>
  <r>
    <n v="31"/>
    <x v="2"/>
    <x v="11"/>
    <s v="QnM"/>
    <s v="3.1.2"/>
    <s v="The institution provides seed money to its teachers for research _x000a_(Average per year) _x000a_3.1.2.1: The amount of seed money provided by institution to its teachers for research year wise during last five years (INR in lakhs) "/>
    <n v="8"/>
    <m/>
    <m/>
    <n v="0"/>
    <n v="0"/>
  </r>
  <r>
    <n v="32"/>
    <x v="2"/>
    <x v="11"/>
    <s v="QnM"/>
    <s v="3.1.3"/>
    <s v="Percentage of teachers awarded national / international fellowship for advanced studies/research during the last five years _x000a_3.1.3.1: The number of teachers awarded national / international fellowship for advanced studies / research year wise during last five years"/>
    <n v="6"/>
    <m/>
    <m/>
    <n v="0.06"/>
    <n v="0"/>
  </r>
  <r>
    <n v="33"/>
    <x v="2"/>
    <x v="12"/>
    <s v="QnM"/>
    <s v="3.2.1"/>
    <s v="Grants received from Government and non-governmental agencies for research projects, endowments, Chairs in the institution during the last five years (INR in Lakhs) _x000a_3.2.1.1: Total Grants from Government and non-governmental agencies for research projects , endowments, Chairs in the institution during the last five years (INR in Lakhs)"/>
    <n v="2"/>
    <n v="10"/>
    <m/>
    <n v="116.67"/>
    <n v="4"/>
  </r>
  <r>
    <n v="34"/>
    <x v="2"/>
    <x v="12"/>
    <s v="QnM"/>
    <s v="3.2.2"/>
    <s v="Percentage of teachers having research projects during the last five years _x000a__x000a_3.2.2.1: Number of teachers having research projects during the last five years _x000a_"/>
    <n v="2"/>
    <m/>
    <m/>
    <n v="1.02"/>
    <n v="0"/>
  </r>
  <r>
    <n v="35"/>
    <x v="2"/>
    <x v="12"/>
    <s v="QnM"/>
    <s v="3.2.3"/>
    <s v="Percentage of teachers recognised as research guides _x000a_3.2.3.1: Number of teachers recognised as research guides"/>
    <n v="3"/>
    <m/>
    <m/>
    <n v="3.03"/>
    <n v="0"/>
  </r>
  <r>
    <n v="36"/>
    <x v="2"/>
    <x v="12"/>
    <s v="QnM"/>
    <s v="3.2.4"/>
    <s v="Average percentage of departments having Research projects funded by government and non-government agencies during the last five years _x000a__x000a_3.2.4.1: Number of departments having Research projects funded by government and non-government agencies during the last five years "/>
    <n v="3"/>
    <m/>
    <m/>
    <n v="43.57"/>
    <n v="2"/>
  </r>
  <r>
    <n v="37"/>
    <x v="2"/>
    <x v="13"/>
    <s v="QlM"/>
    <s v="3.3.1"/>
    <s v="Institution has created an eco system for innovations, creation and transfer of knowledge supported by dedicated centers for research, entrepreneurship, community orientation, Incubation etc. _x000a__x000a_Write description in maximum of 500 words"/>
    <n v="5"/>
    <n v="10"/>
    <m/>
    <m/>
    <m/>
  </r>
  <r>
    <n v="38"/>
    <x v="2"/>
    <x v="13"/>
    <s v="QnM"/>
    <s v="3.3.2"/>
    <s v="Number of workshops/seminars conducted on Research Methodology, Intellectual Property Rights (IPR), entrepreneurship and skills development during the last five years _x000a_3.3.2.1: Total number of workshops/seminars conducted on Research Methodology, Intellectual Property Rights (IPR) and entrepreneurship and skills development year wise during last five years "/>
    <n v="5"/>
    <m/>
    <m/>
    <n v="43"/>
    <n v="2"/>
  </r>
  <r>
    <n v="39"/>
    <x v="2"/>
    <x v="14"/>
    <s v="QnM"/>
    <s v="3.4.1"/>
    <s v="The Institution ensures implementation of its stated Code of Ethics for research through the following: _x000a_1. Inclusion of research ethics in the research methodology course work _x000a_2. Presence of Ethics committee _x000a_3. Plagiarism check through software _x000a_4. Research Advisory Committee"/>
    <n v="5"/>
    <n v="30"/>
    <m/>
    <s v="C"/>
    <n v="2"/>
  </r>
  <r>
    <n v="40"/>
    <x v="2"/>
    <x v="14"/>
    <s v="QnM"/>
    <s v="3.4.2"/>
    <s v="Number of Ph.D’s registered per teacher (as per the data given w.r.t recognized Ph.D guides/ supervisors provided at 3.2.3 metric) during the last five years _x000a__x000a_3.4.2.1: How many Ph.Ds are registered within last 5 years _x000a_3.4.2.2 : Number of teachers recognized as guides during the last five years "/>
    <n v="5"/>
    <m/>
    <m/>
    <n v="0"/>
    <n v="0"/>
  </r>
  <r>
    <n v="41"/>
    <x v="2"/>
    <x v="14"/>
    <s v="QnM"/>
    <s v="3.4.3"/>
    <s v="Number of research papers per teacher in the Journals notified on UGC website during the last five years _x000a__x000a_3.4.3.1: Number of research papers in the Journals notified on UGC website during the last five "/>
    <n v="5"/>
    <m/>
    <m/>
    <n v="2.11"/>
    <n v="0"/>
  </r>
  <r>
    <n v="42"/>
    <x v="2"/>
    <x v="14"/>
    <s v="QnM"/>
    <s v="3.4.4"/>
    <s v="Number of books and chapters in edited volumes / books published per teacher during the last five years _x000a__x000a_3.4.4.1: Total number of books and chapters in edited volumes / books published, and papers in national/international conference-proceedings year wise during last five years"/>
    <n v="5"/>
    <m/>
    <m/>
    <n v="0.22"/>
    <n v="0"/>
  </r>
  <r>
    <n v="43"/>
    <x v="2"/>
    <x v="14"/>
    <s v="QnM"/>
    <s v="3.4.5"/>
    <s v="Bibliometrics of the publications during the last five years based on average Citation index in Scopus/ Web of Science/ PubMed _x000a__x000a_3.4.5.1:  Total number of Citations in Scopus in 5 years _x000a_              Total number of Citations in Web of Science in 5 years _x000a__x000a_3.4.5.2 : Total number of Publications in Scopus in 5 years _x000a_              Total number of Publications in Web of Science in 5 years  _x000a_"/>
    <n v="5"/>
    <m/>
    <m/>
    <n v="1.81"/>
    <n v="0"/>
  </r>
  <r>
    <n v="44"/>
    <x v="2"/>
    <x v="14"/>
    <s v="QnM"/>
    <s v="3.4.6"/>
    <s v="Bibliometrics of the publications during the last five years based on Scopus/ Web of Science – h-index of the Institution _x000a__x000a_3.4.6.1: h-index of Scopus during the last five years _x000a__x000a_h-index of Web of Science during the last five years "/>
    <n v="5"/>
    <m/>
    <m/>
    <n v="8"/>
    <n v="0"/>
  </r>
  <r>
    <n v="45"/>
    <x v="2"/>
    <x v="15"/>
    <s v="QnM"/>
    <s v="3.5.1"/>
    <s v="Revenue generated from consultancy and corporate training during the last five years (INR in Lakhs) _x000a__x000a_3.5.1.1: Total amount generated from consultancy and corporate training year wise during last five years (INR in lakhs) "/>
    <n v="5"/>
    <n v="10"/>
    <m/>
    <n v="0"/>
    <n v="0"/>
  </r>
  <r>
    <n v="46"/>
    <x v="2"/>
    <x v="15"/>
    <s v="QnM"/>
    <s v="3.5.2"/>
    <s v="Total amount spent on developing facilities, training teachers and staff for undertaking consultancy during the last five years _x000a__x000a_3.5.2.1: Total amount spent on developing facilities, training teachers and staff for undertaking consultancy during the last five years _x000a_"/>
    <n v="5"/>
    <m/>
    <m/>
    <n v="0"/>
    <n v="0"/>
  </r>
  <r>
    <n v="47"/>
    <x v="2"/>
    <x v="16"/>
    <s v="QlM"/>
    <s v="3.6.1"/>
    <s v="Extension activities are carried out in the neighbourhood community, sensitising students to social issues, for their holistic development, and impact thereof during the last five years _x000a__x000a_Describe the impact of extension activities in sensitising students to social issues and holistic development within a maximum of 500 words _x000a_"/>
    <n v="10"/>
    <n v="50"/>
    <m/>
    <m/>
    <m/>
  </r>
  <r>
    <n v="48"/>
    <x v="2"/>
    <x v="16"/>
    <s v="QnM"/>
    <s v="3.6.2"/>
    <s v="Number of awards and recognition received by the Institution, its teachers and students for extension activities from Government / Government recognised bodies during last five years _x000a__x000a_3.6.2.1: Total number of awards and recognition received for extension activities from Government /recognised bodies year wise during last five years _x000a_"/>
    <n v="15"/>
    <m/>
    <m/>
    <n v="0"/>
    <n v="0"/>
  </r>
  <r>
    <n v="49"/>
    <x v="2"/>
    <x v="16"/>
    <s v="QnM"/>
    <s v="3.6.3"/>
    <s v="Number of extension and outreach programs conducted by the institution through NSS/NCC/Red cross/YRC etc., during the last five years ( including Government initiated programs such as Swachh Bharat, Aids Awareness, Gender Issue, etc. and those organised in collaboration with industry, community and NGOs) _x000a__x000a_3.6.3.1: Number of extension and outreach programs conducted in collaboration with industry, community and Non-Government Organisations through NSS/NCC/Red cross/YRC etc., year wise during last five years_x000a_"/>
    <n v="10"/>
    <m/>
    <m/>
    <n v="85"/>
    <n v="0"/>
  </r>
  <r>
    <n v="50"/>
    <x v="2"/>
    <x v="16"/>
    <s v="QnM"/>
    <s v="3.6.4"/>
    <s v="Average percentage of students participating in extension activities listed at 3.6.3 above during the last five years _x000a__x000a_3.6.4.1: Total number of students participating in extension activities with Government Organisations, Non-Government Organisations and Programmes such as Swachh Bharat, Aids Awareness, Gender Issue, etc. year wise during last five years _x000a_"/>
    <n v="15"/>
    <m/>
    <m/>
    <n v="83.05"/>
    <n v="4"/>
  </r>
  <r>
    <n v="51"/>
    <x v="2"/>
    <x v="17"/>
    <s v="QnM"/>
    <s v="3.7.1"/>
    <s v="Number of Collaborative activities per year for research/ faculty exchange/ student exchange/ internship/ on –the-job training/ project work _x000a__x000a_3.7.1.1: Total number of Collaborative activities per year for research/ faculty exchange/ student exchange/ internship/ on –the-job training/ project work  _x000a__x000a_"/>
    <n v="10"/>
    <n v="20"/>
    <m/>
    <n v="0"/>
    <n v="0"/>
  </r>
  <r>
    <n v="52"/>
    <x v="2"/>
    <x v="17"/>
    <s v="QnM"/>
    <s v="3.7.2"/>
    <s v="Number of functional MoUs with institutions of national, international importance, other universities, industries, corporate houses etc. during the last five years (only functional MoUs with ongoing activities to be considered) _x000a__x000a_3.7.2.1: Number of functional MoUs with institutions of national, international importance, other Institutions, industries, corporate houses etc. year wise during last five years  _x000a_Data Template_x000a_"/>
    <n v="10"/>
    <m/>
    <m/>
    <n v="55"/>
    <n v="2"/>
  </r>
  <r>
    <n v="53"/>
    <x v="3"/>
    <x v="18"/>
    <s v="QlM"/>
    <s v="4.1.1"/>
    <s v="The Institution has adequate infrastructure and physical facilities for teaching – learning, viz., classrooms, laboratories, computing equipment, etc. _x000a__x000a_Describe the adequacy of facilities for teaching –learning as per the minimum specified requirement by statutory bodies within a maximum of 500 words "/>
    <n v="6"/>
    <n v="30"/>
    <n v="100"/>
    <m/>
    <m/>
  </r>
  <r>
    <n v="54"/>
    <x v="3"/>
    <x v="18"/>
    <s v="QlM"/>
    <s v="4.1.2"/>
    <s v="The institution has adequate facilities for cultural activities, yoga, games (indoor, outdoor) and sports. (gymnasium, yoga centre, auditorium, etc.) _x000a__x000a_Describe the adequacy facilities for cultural activities, yoga, games (indoor, outdoor) and sports which include specification about area/size, year of establishment and user rate within minimum of 500 characters and maximum of 500 words"/>
    <n v="4"/>
    <m/>
    <m/>
    <m/>
    <m/>
  </r>
  <r>
    <n v="55"/>
    <x v="3"/>
    <x v="18"/>
    <s v="QnM"/>
    <s v="4.1.3"/>
    <s v="Percentage of classrooms and seminar halls with ICT – enabled facilities such as smart class, LMS, etc. (Data for the latest completed academic year) _x000a__x000a_4.1.3.1: Number of classrooms and seminar halls with ICT facilities _x000a_"/>
    <n v="10"/>
    <m/>
    <m/>
    <n v="47.62"/>
    <n v="0"/>
  </r>
  <r>
    <n v="56"/>
    <x v="3"/>
    <x v="18"/>
    <s v="QnM"/>
    <s v="4.1.4"/>
    <s v="Average percentage of expenditure for infrastructure augmentation excluding salary during the last five years (INR in Lakhs) _x000a__x000a_4.1.4.1: Expenditure for infrastructure augmentation, excluding salary year wise during last five years (INR in lakhs) _x000a_"/>
    <n v="10"/>
    <m/>
    <m/>
    <n v="11.5"/>
    <n v="0"/>
  </r>
  <r>
    <n v="57"/>
    <x v="3"/>
    <x v="19"/>
    <s v="QlM"/>
    <s v="4.2.1"/>
    <s v="Library is automated using Integrated Library Management System (ILMS) _x000a_"/>
    <n v="5"/>
    <n v="20"/>
    <m/>
    <m/>
    <m/>
  </r>
  <r>
    <n v="58"/>
    <x v="3"/>
    <x v="19"/>
    <s v="QnM"/>
    <s v="4.2.2"/>
    <s v="Institution has access to the following: _x000a_1. e-journals _x000a_2. e-ShodhSindhu _x000a_3. Shodhganga Membership _x000a_4. e-books _x000a_5. Databases _x000a_6. Remote access to e-resources"/>
    <n v="5"/>
    <m/>
    <m/>
    <s v="A"/>
    <n v="4"/>
  </r>
  <r>
    <n v="59"/>
    <x v="3"/>
    <x v="19"/>
    <s v="QnM"/>
    <s v="4.2.3"/>
    <s v="Average annual expenditure for purchase of books/ e-books and subscription to journals/e-journals during the last five years (INR in Lakhs) _x000a__x000a_4.2.3.1: Annual expenditure for purchase of books / e-books and subscription to journals/e-journals year wise during last five years (INR in lakhs)  "/>
    <n v="5"/>
    <m/>
    <m/>
    <n v="11.52"/>
    <n v="0"/>
  </r>
  <r>
    <n v="60"/>
    <x v="3"/>
    <x v="19"/>
    <s v="QnM"/>
    <s v="4.2.4"/>
    <s v="Percentage per day usage of library by teachers and students ( foot falls and login data for online access) _x000a__x000a_4.2.6.1: Number of teachers and students using library per day over last one year _x000a_"/>
    <n v="5"/>
    <m/>
    <m/>
    <n v="12.21"/>
    <n v="0"/>
  </r>
  <r>
    <n v="61"/>
    <x v="3"/>
    <x v="20"/>
    <s v="QlM"/>
    <s v="4.3.1"/>
    <s v="Institution has an IT policy covering wi-fi, cyber security, etc., and allocated budget for updating its IT facilities _x000a_Describe IT facilities including Wi-Fi with date and nature of updation within a maximum of 500 words "/>
    <n v="8"/>
    <n v="30"/>
    <m/>
    <m/>
    <m/>
  </r>
  <r>
    <n v="62"/>
    <x v="3"/>
    <x v="20"/>
    <s v="QnM"/>
    <s v="4.3.2"/>
    <s v="Student - Computer ratio(Data for the latest completed academic year) _x000a_"/>
    <n v="8"/>
    <m/>
    <m/>
    <d v="1899-12-30T04:01:00"/>
    <n v="0"/>
  </r>
  <r>
    <n v="63"/>
    <x v="3"/>
    <x v="20"/>
    <s v="QnM"/>
    <s v="4.3.3"/>
    <s v="Bandwidth of internet connection in the Institution _x000a_Options: _x000a_A. ≥50 MBPS _x000a_B. 35 MBPS - 50 MBPS _x000a_C. 20 MBPS - 35 MBPS Opt One _x000a_D. 5 MBPS - 20 MBPS _x000a_E. &lt;5 MBPS "/>
    <n v="10"/>
    <m/>
    <m/>
    <n v="50"/>
    <n v="4"/>
  </r>
  <r>
    <n v="64"/>
    <x v="3"/>
    <x v="20"/>
    <s v="QnM"/>
    <s v="4.3.4"/>
    <s v="Institution has Facilities for e-content development _x000a_Facilities available for e-content development : _x000a_1. Media centre _x000a_2. Audio visual centre, _x000a_3. Lecture Capturing System(LCS) _x000a_4. Mixing equipment's and software's for editing  _x000a__x000a_"/>
    <n v="4"/>
    <m/>
    <m/>
    <s v="D"/>
    <n v="1"/>
  </r>
  <r>
    <n v="65"/>
    <x v="3"/>
    <x v="21"/>
    <s v="QnM"/>
    <s v="4.4.1"/>
    <s v="Average percentage expenditure incurred on maintenance of physical facilities and academic support facilities excluding salary component, during the last five years _x000a_4.4.1.1: Expenditure incurred on maintenance of physical facilities and academic support facilities excluding salary component year wise during last five years (INR in lakhs) "/>
    <n v="10"/>
    <n v="20"/>
    <m/>
    <n v="9.51"/>
    <n v="0"/>
  </r>
  <r>
    <n v="66"/>
    <x v="3"/>
    <x v="21"/>
    <s v="QlM"/>
    <s v="4.4.2"/>
    <s v="There are established systems and procedures for maintaining and utilizing physical, academic and support facilities – laboratory, library, sports complex, computers, classrooms etc. _x000a__x000a_Describe policy details of systems and procedures for maintaining and utilizing physical, academic and support facilities on the website within a minimum of 500 word and maximum of 1000 words  _x000a_"/>
    <n v="10"/>
    <m/>
    <m/>
    <m/>
    <m/>
  </r>
  <r>
    <n v="67"/>
    <x v="4"/>
    <x v="22"/>
    <s v="QnM"/>
    <s v="5.1.1"/>
    <s v="Average percentage of students benefited by scholarships and _x000a_freeships provided by the Government during the last five years _x000a__x000a_5.1.1.1: Number of students benefited by scholarships and freeships provided by the Government year wise during last five years _x000a_"/>
    <n v="6"/>
    <n v="30"/>
    <n v="100"/>
    <n v="48"/>
    <n v="0"/>
  </r>
  <r>
    <n v="68"/>
    <x v="4"/>
    <x v="22"/>
    <s v="QnM"/>
    <s v="5.1.2"/>
    <s v="Average percentage of students benefited by scholarships, freeships, etc. provided by the institution and non-government agencies during the last five years _x000a__x000a_5.1.2.1: Total number of students benefited by scholarships, freeships, etc provided by the institution and non-government agencies year wise during last five years "/>
    <n v="5"/>
    <m/>
    <m/>
    <n v="0"/>
    <n v="0"/>
  </r>
  <r>
    <n v="69"/>
    <x v="4"/>
    <x v="22"/>
    <s v="QnM"/>
    <s v="5.1.3"/>
    <s v="Following Capacity development and skills enhancement activities are organised for improving students capability _x000a_1. Soft skills _x000a_2. Language and communication skills _x000a_3. Life skills (Yoga, physical fitness, health and hygiene) _x000a_4. Awareness of trends in technology"/>
    <n v="8"/>
    <m/>
    <m/>
    <s v="B"/>
    <n v="3"/>
  </r>
  <r>
    <n v="70"/>
    <x v="4"/>
    <x v="22"/>
    <s v="QnM"/>
    <s v="5.1.4"/>
    <s v="Average percentage of students benefited by guidance for competitive examinations and career counselling offered by the institution during the last five years _x000a__x000a_5.1.4.1: Number of students benefited by guidance for competitive examinations and career counselling offered by the institution year wise during last five years "/>
    <n v="6"/>
    <m/>
    <m/>
    <n v="3.49"/>
    <n v="0"/>
  </r>
  <r>
    <n v="71"/>
    <x v="4"/>
    <x v="22"/>
    <s v="QnM"/>
    <s v="5.1.5"/>
    <s v="The institution adopts the following for redressal of student grievances including sexual harassment and ragging cases _x000a__x000a_1. Implementation of guidelines of statutory/regulatory bodies _x000a_2. Organisation wide awareness and undertakings on policies with zero tolerance _x000a_3. Mechanisms for submission of online/offline students’ grievances _x000a_4. Timely redressal of the grievances through appropriate committees _x000a_"/>
    <n v="5"/>
    <m/>
    <m/>
    <s v="B"/>
    <n v="3"/>
  </r>
  <r>
    <n v="72"/>
    <x v="4"/>
    <x v="23"/>
    <s v="QnM"/>
    <s v="5.2.1"/>
    <s v="Average percentage of placement of outgoing students during the last five years _x000a__x000a_5.2.1.1: Number of outgoing students placed year wise during last five years"/>
    <n v="10"/>
    <n v="30"/>
    <m/>
    <n v="44.94"/>
    <n v="0"/>
  </r>
  <r>
    <n v="73"/>
    <x v="4"/>
    <x v="23"/>
    <s v="QnM"/>
    <s v="5.2.2"/>
    <s v="Percentage of student progression to higher education (previous graduating batch) _x000a__x000a_5.2.2.1: Number of outgoing students progressing to higher education _x000a_Data Requirements: (As per Data Template) _x000a_Number of students proceeding from _x000a_UG to PG:. _x000a_PG to MPhil: _x000a_PG to PhD: _x000a_MPhil to PhD: _x000a_PhD to Post doctoral: "/>
    <n v="10"/>
    <m/>
    <m/>
    <n v="7.46"/>
    <n v="0"/>
  </r>
  <r>
    <n v="74"/>
    <x v="4"/>
    <x v="23"/>
    <s v="QnM"/>
    <s v="5.2.3"/>
    <s v="Average percentage of students qualifying in state/ national/ international level examinations during the last five years _x000a_(eg: IIT/JAM/NET/SLET/GATE/GMAT/CAT/ GRE/TOEFL/Civil Services/State government examinations etc.) _x000a__x000a_5.2.3.1: Number of students qualifying in state/ national/ international level examinations (eg: IIT/JAM/NET/SLET/GATE/GMAT/CAT/ GRE/TOEFL/Civil Services/State government examinations) year wise during last five years  _x000a__x000a_5.2.3.2: Number of students appearing in state/ national/ international level examinations (eg: IIT/JAM/ NET/SLET/GATE/GMAT/CAT, GRE/TOEFL/Civil Services/State government examinations) year wise during last five years  _x000a_"/>
    <n v="10"/>
    <m/>
    <m/>
    <n v="100"/>
    <n v="4"/>
  </r>
  <r>
    <n v="75"/>
    <x v="4"/>
    <x v="24"/>
    <s v="QnM"/>
    <s v="5.3.1"/>
    <s v="Number of awards/medals for outstanding performance in sports/cultural activities at inter-university / state /national / international events (award for a team event should be counted as one) during the last five years _x000a__x000a_5.3.1.1: Number of awards/medals for outstanding performance in sports/cultural activities at inter-university / state / national / international level (award for a team event should be counted as one) year wise during last five years "/>
    <n v="10"/>
    <n v="30"/>
    <m/>
    <n v="27"/>
    <n v="1"/>
  </r>
  <r>
    <n v="76"/>
    <x v="4"/>
    <x v="24"/>
    <s v="QlM"/>
    <s v="5.3.2"/>
    <s v="Presence of an active Student Council &amp; representation of students on academic &amp; administrative bodies/committees of the institution _x000a__x000a_Describe the Student Council activity and students role in academic &amp; administrative bodies within a minimum of 500 characters and maximum of 500 words  _x000a_"/>
    <n v="10"/>
    <m/>
    <m/>
    <m/>
    <m/>
  </r>
  <r>
    <n v="77"/>
    <x v="4"/>
    <x v="24"/>
    <s v="QnM"/>
    <s v="5.3.3"/>
    <s v="Average number of sports and cultural events / competitions organised by the institution per year _x000a__x000a_5.3.3.1: Number of sports and cultural events / competitions organised by the institution year wise during last five years  _x000a_"/>
    <n v="10"/>
    <m/>
    <m/>
    <n v="22.8"/>
    <n v="1"/>
  </r>
  <r>
    <n v="78"/>
    <x v="4"/>
    <x v="25"/>
    <s v="QlM"/>
    <s v="5.4.1"/>
    <s v="The Alumni Association/Chapters (registered and functional)contributes significantly to the development of the institution through financial and other support services _x000a__x000a_Describe contribution of alumni association to the institution within a maximum of 500 words "/>
    <n v="5"/>
    <n v="10"/>
    <m/>
    <m/>
    <m/>
  </r>
  <r>
    <n v="79"/>
    <x v="4"/>
    <x v="25"/>
    <s v="QnM"/>
    <s v="5.4.2"/>
    <s v="Alumni financial contribution during the last five years (in INR) _x000a_Options: _x000a_A. ≥ 15 Lakhs _x000a_B. 10Lakhs - 15 Lakhs _x000a_C. 5 Lakhs - 10 Lakhs _x000a_D. 2 Lakhs - 5 "/>
    <n v="5"/>
    <m/>
    <m/>
    <s v="D"/>
    <n v="4"/>
  </r>
  <r>
    <n v="80"/>
    <x v="5"/>
    <x v="26"/>
    <s v="QlM"/>
    <s v="6.1.1"/>
    <s v="The governance of the institution is reflective of an effective leadership in tune with the vision and mission of the Institution _x000a__x000a_Describe the vision and mission statement of the institution on the nature of governance, perspective plans and participation of the teachers in the decision making bodies of the institution within a maximum of 500 words. "/>
    <n v="5"/>
    <n v="10"/>
    <n v="100"/>
    <m/>
    <m/>
  </r>
  <r>
    <n v="81"/>
    <x v="5"/>
    <x v="26"/>
    <s v="QlM"/>
    <s v="6.1.2"/>
    <s v="The effective leadership is reflected in various institutional practices such as decentralization and participative management _x000a__x000a_Upload a case study showing practicing decentralisation and participative management in the institution in not more than 500 words "/>
    <n v="5"/>
    <m/>
    <m/>
    <m/>
    <m/>
  </r>
  <r>
    <n v="82"/>
    <x v="5"/>
    <x v="27"/>
    <s v="QlM"/>
    <s v="6.2.1"/>
    <s v="The institutional Strategic/ Perspective plan is effectively deployed _x000a__x000a_Describe one activity successfully implemented based on the strategic plan within a maximum of 500 words  _x000a_"/>
    <n v="2"/>
    <n v="10"/>
    <m/>
    <m/>
    <m/>
  </r>
  <r>
    <n v="83"/>
    <x v="5"/>
    <x v="27"/>
    <s v="QlM"/>
    <s v="6.2.2"/>
    <s v="The functioning of the institutional bodies is effective and efficient as visible from policies, administrative setup appointment and service rules, procedures, etc. _x000a__x000a_Describe the Organogram of the Institution within a maximum of 500 words_x000a_"/>
    <n v="4"/>
    <m/>
    <m/>
    <m/>
    <m/>
  </r>
  <r>
    <n v="84"/>
    <x v="5"/>
    <x v="27"/>
    <s v="QnM"/>
    <s v="6.2.3"/>
    <s v="Implementation of e-governance in areas of operation: _x000a_1. Administration _x000a_2. Finance and Accounts _x000a_3. Student Admission and Support _x000a_4. Examination "/>
    <n v="4"/>
    <m/>
    <m/>
    <s v="B"/>
    <n v="3"/>
  </r>
  <r>
    <n v="85"/>
    <x v="5"/>
    <x v="28"/>
    <s v="QlM"/>
    <s v="6.3.1"/>
    <s v="The institution has effective welfare measures for teaching and non-teaching staff and avenues for career development/ progression _x000a__x000a_Provide the list of existing welfare measures for teaching and non-teaching staff in maximum of 500 words "/>
    <n v="4"/>
    <n v="30"/>
    <m/>
    <m/>
    <m/>
  </r>
  <r>
    <n v="86"/>
    <x v="5"/>
    <x v="28"/>
    <s v="QnM"/>
    <s v="6.3.2"/>
    <s v="Average percentage of teachers provided with financial support to attend conferences / workshops and towards membership fee of professional bodies during the last five years _x000a_6.3.2.1: Number of teachers provided with financial support to attend conferences / workshops and towards membership fee of professional bodies year wise during last five years "/>
    <n v="8"/>
    <m/>
    <m/>
    <n v="42.41"/>
    <n v="2"/>
  </r>
  <r>
    <n v="87"/>
    <x v="5"/>
    <x v="28"/>
    <s v="QnM"/>
    <s v="6.3.3"/>
    <s v="Average number of professional development / administrative training programs organized by the Institution for teaching and non teaching staff during the last five years _x000a_6.3.3.1: Total number of professional development / administrative training Programmes organized by the Institution for teaching and non teaching staff year wise during last five  years"/>
    <n v="8"/>
    <m/>
    <m/>
    <n v="51.2"/>
    <n v="2"/>
  </r>
  <r>
    <n v="88"/>
    <x v="5"/>
    <x v="28"/>
    <s v="QnM"/>
    <s v="6.3.4"/>
    <s v="Average percentage of teachers undergoing online/ face-to-face Faculty Development Programmes during the last five years _x000a_(Professional Development Programmes, Orientation / Induction Programmes, Refresher Course, Short Term Course etc.,) _x000a__x000a_6.3.4.1: Total number of teachers attending professional development Programmes, viz., Orientation Programme, Refresher Course, Short Term Course, Faculty Development Programmes year wise during last five years. _x000a_"/>
    <n v="10"/>
    <m/>
    <m/>
    <n v="21.4"/>
    <n v="1"/>
  </r>
  <r>
    <n v="89"/>
    <x v="5"/>
    <x v="29"/>
    <s v="QlM"/>
    <s v="6.4.1"/>
    <s v="Institution conducts internal and external financial audits regularly _x000a__x000a_Enumerate the various internal and external financial audits carried out during the last five years with the mechanism for settling audit objections within a maximum of 500 words "/>
    <n v="4"/>
    <n v="20"/>
    <m/>
    <m/>
    <m/>
  </r>
  <r>
    <n v="90"/>
    <x v="5"/>
    <x v="29"/>
    <s v="QnM"/>
    <s v="6.4.2"/>
    <s v="Funds / Grants received from non-government bodies, individuals, philanthropists during the last five years (not covered in Criterion III and V) (INR in Lakhs) _x000a_6.4.2.1: Total Grants received from non-government bodies, individuals, philanthropists year wise during last five years (INR in Lakhs)_x000a_"/>
    <n v="10"/>
    <m/>
    <m/>
    <n v="5.99"/>
    <n v="0"/>
  </r>
  <r>
    <n v="91"/>
    <x v="5"/>
    <x v="29"/>
    <s v="QlM"/>
    <s v="6.4.3"/>
    <s v="Institutional strategies for mobilisation of funds and the optimal utilisation of resources _x000a_Describe the resource mobilisation policy and procedures of the Institution within a maximum of 500 words _x000a_"/>
    <n v="6"/>
    <m/>
    <m/>
    <m/>
    <m/>
  </r>
  <r>
    <n v="92"/>
    <x v="5"/>
    <x v="30"/>
    <s v="QlM"/>
    <s v="6.5.1"/>
    <s v="Internal Quality Assurance Cell (IQAC) has contributed significantly for institutionalizing the quality assurance strategies and processes visible in terms of – _x000a__x000a_Incremental improvements made for the preceding five years with regard to quality (in case of first cycle) _x000a__x000a_Incremental improvements made for the preceding five years with regard to quality and post accreditation quality initiatives (second and subsequent cycles) _x000a__x000a_Describe two practices institutionalized as a result of IQAC initiatives within a maximum of 500 words "/>
    <n v="10"/>
    <n v="30"/>
    <m/>
    <m/>
    <m/>
  </r>
  <r>
    <n v="93"/>
    <x v="5"/>
    <x v="30"/>
    <s v="QlM"/>
    <s v="6.5.2"/>
    <s v="The institution reviews its teaching learning process, structures &amp; methodologies of operations and learning outcomes at periodic intervals through IQAC set up as per norms _x000a_Describe any two examples of institutional reviews and implementation of teaching learning reforms facilitated by the IQAC within a maximum of 500 words each "/>
    <n v="10"/>
    <m/>
    <m/>
    <m/>
    <m/>
  </r>
  <r>
    <n v="94"/>
    <x v="5"/>
    <x v="30"/>
    <s v="QnM"/>
    <s v="6.5.3"/>
    <s v="Quality assurance initiatives of the institution include: _x000a_1. Regular meeting of Internal Quality Assurance Cell (IQAC); Feedback collected, analysed and used for improvements _x000a_2. Collaborative quality initiatives with other institution(s) _x000a_3. Participation in NIRF _x000a_4. Any other quality audit recognized by state, national or international agencies (ISO Certification) _x000a_"/>
    <n v="10"/>
    <m/>
    <m/>
    <s v="A"/>
    <n v="4"/>
  </r>
  <r>
    <n v="95"/>
    <x v="6"/>
    <x v="31"/>
    <s v="QlM"/>
    <s v="7.1.1"/>
    <s v="Measures initiated by the Institution for the promotion of gender equity during the last five years. _x000a_Describe gender equity &amp; sensitization in curricular and co-curricular activities, facilities for women on campus etc., within 500 words _x000a__x000a_"/>
    <n v="5"/>
    <n v="50"/>
    <n v="100"/>
    <m/>
    <m/>
  </r>
  <r>
    <n v="96"/>
    <x v="6"/>
    <x v="31"/>
    <s v="QnM"/>
    <s v="7.1.2"/>
    <s v="The Institution has facilities for alternate sources of energy and energy conservation measures _x000a_1. Solar energy _x000a_2. Biogas plant _x000a_3. Wheeling to the Grid _x000a_4. Sensor-based energy conservation _x000a_5. Use of LED bulbs/ power efficient equipment _x000a_  _x000a_"/>
    <n v="5"/>
    <m/>
    <m/>
    <s v="A"/>
    <n v="4"/>
  </r>
  <r>
    <n v="97"/>
    <x v="6"/>
    <x v="31"/>
    <s v="QlM"/>
    <s v="7.1.3"/>
    <s v="Describe the facilities in the Institution for the management of the following types of degradable and non-degradable waste (within 500 words) _x000a_1. Solid waste management _x000a_2. Liquid waste management _x000a_3. Biomedical waste management _x000a_4. E-waste management _x000a_5. Waste recycling system _x000a_6. Hazardous chemicals and radioactive waste management _x000a_"/>
    <n v="4"/>
    <m/>
    <m/>
    <m/>
    <m/>
  </r>
  <r>
    <n v="98"/>
    <x v="6"/>
    <x v="31"/>
    <s v="QnM"/>
    <s v="7.1.4"/>
    <s v="Water conservation facilities available in the Institution: _x000a_1. Rain water harvesting _x000a_2. Borewell /Open well recharge _x000a_3. Construction of tanks and bunds _x000a_4. Waste water recycling _x000a_5. Maintenance of water bodies and distribution system in the campus  _x000a_"/>
    <n v="4"/>
    <m/>
    <m/>
    <s v="C"/>
    <n v="4"/>
  </r>
  <r>
    <n v="99"/>
    <x v="6"/>
    <x v="31"/>
    <s v="QnM"/>
    <s v="7.1.5"/>
    <s v="Green campus initiatives include (4) _x000a_7.1.5.1. The institutional initiatives for greening the campus are as follows: _x000a_1. Restricted entry of automobiles _x000a_2. Use of Bicycles/ Battery powered vehicles _x000a_3. Pedestrian Friendly pathways _x000a_4. Ban on use of Plastic _x000a_5. landscaping with trees and plants _x000a_"/>
    <n v="4"/>
    <m/>
    <m/>
    <s v="B"/>
    <n v="3"/>
  </r>
  <r>
    <n v="100"/>
    <x v="6"/>
    <x v="31"/>
    <s v="QnM"/>
    <s v="7.1.6"/>
    <s v="Quality audits on environment and energy are regularly undertaken by the institution (5) _x000a_7.1.7.1. The institutional environment and energy initiatives are confirmed through the following _x000a_1.Green audit _x000a_2. Energy audit _x000a_3.Environment audit _x000a_4.Clean and green campus recognitions/awards _x000a_5. Beyond the campus environmental promotional activities  _x000a__x000a_"/>
    <n v="5"/>
    <m/>
    <m/>
    <s v="D"/>
    <n v="4"/>
  </r>
  <r>
    <n v="101"/>
    <x v="6"/>
    <x v="31"/>
    <s v="QnM"/>
    <s v="7.1.7"/>
    <s v="The Institution has disabled-friendly, barrier free environment _x000a_1. Built environment with ramps/lifts for easy access to classrooms. _x000a_2. Disabled-friendly washrooms _x000a_3. Signage including tactile path, lights, display boards and signposts _x000a_4. Assistive technology and facilities for persons with disabilities ( Divyangjan) accessible website, screen-reading software, mechanized equipment _x000a_5. Provision for enquiry and information : Human assistance, reader, scribe, soft      copies of reading material, screen reading _x000a_"/>
    <n v="4"/>
    <m/>
    <m/>
    <s v="D"/>
    <n v="1"/>
  </r>
  <r>
    <n v="102"/>
    <x v="6"/>
    <x v="31"/>
    <s v="QlM"/>
    <s v="7.1.8"/>
    <s v="Describe the Institutional efforts/initiatives in providing an inclusive environment i.e., tolerance and harmony towards cultural, regional, linguistic, communal socioeconomic and other diversities (within 500 words). "/>
    <n v="5"/>
    <m/>
    <m/>
    <m/>
    <m/>
  </r>
  <r>
    <n v="103"/>
    <x v="6"/>
    <x v="31"/>
    <s v="QlM"/>
    <s v="7.1.9"/>
    <s v="Sensitization of students and employees of the Institution to the constitutional obligations: values, rights, duties and responsibilities of citizens _x000a__x000a_Describe the various activities in the Institution for inculcating values for being responsible citizens as reflected in the Constitution of India within 500 words. "/>
    <n v="4"/>
    <m/>
    <m/>
    <m/>
    <m/>
  </r>
  <r>
    <n v="104"/>
    <x v="6"/>
    <x v="31"/>
    <s v="QnM"/>
    <s v="7.1.10"/>
    <s v="The Institution has a prescribed code of conduct for students, teachers, administrators and other staff and conducts periodic programmes in this regard. _x000a_1. The Code of Conduct is displayed on the website _x000a_2. There is a committee to monitor adherence to the Code of Conduct _x000a_3. Institution organizes professional ethics programmes for students, teachers,  administrators and other staff _x000a_4. Annual awareness programmes on Code of Conduct are organized _x000a_"/>
    <n v="5"/>
    <m/>
    <m/>
    <s v="C"/>
    <n v="2"/>
  </r>
  <r>
    <n v="105"/>
    <x v="6"/>
    <x v="31"/>
    <s v="QlM"/>
    <s v="7.1.11"/>
    <s v="Institution celebrates / organizes national and international commemorative days, events and festivals _x000a_Describe the efforts of the Institution in celebrating /organizing national and international commemorative days, events and festivals during the last five years within 500 words "/>
    <n v="5"/>
    <m/>
    <m/>
    <m/>
    <m/>
  </r>
  <r>
    <n v="106"/>
    <x v="6"/>
    <x v="32"/>
    <s v="QlM"/>
    <s v="7.2.1"/>
    <s v="Describe two best practices successfully implemented by the Institution as per NAAC format provided in the Manual. "/>
    <n v="30"/>
    <n v="30"/>
    <m/>
    <m/>
    <m/>
  </r>
  <r>
    <n v="107"/>
    <x v="6"/>
    <x v="33"/>
    <s v="QlM"/>
    <s v="7.3.1"/>
    <s v="Portray the performance of the Institution in one area distinctive to its priority and thrust within 1000 words  "/>
    <n v="20"/>
    <n v="20"/>
    <m/>
    <m/>
    <m/>
  </r>
</pivotCacheRecords>
</file>

<file path=xl/pivotCache/pivotCacheRecords2.xml><?xml version="1.0" encoding="utf-8"?>
<pivotCacheRecords xmlns="http://schemas.openxmlformats.org/spreadsheetml/2006/main" xmlns:r="http://schemas.openxmlformats.org/officeDocument/2006/relationships" count="107">
  <r>
    <n v="1"/>
    <s v="1. Curricular Aspects"/>
    <s v="1.1 Curriculum Planning and Implementation"/>
    <s v="QlM"/>
    <x v="0"/>
    <s v="Curricula developed and implemented have relevance to the local, national, regional and global developmental needs which is reflected in Programme outcomes (POs), Programme Specific outcomes (PSOs) and Course Outcomes (COs) of the Programmes offered by the Institution _x000a__x000a_Write description in maximum of 500 words _x000a_"/>
    <n v="20"/>
    <n v="50"/>
    <n v="150"/>
    <m/>
    <m/>
    <n v="0"/>
  </r>
  <r>
    <n v="2"/>
    <s v="1. Curricular Aspects"/>
    <s v="1.1 Curriculum Planning and Implementation"/>
    <s v="QnM"/>
    <x v="1"/>
    <s v="Percentage of Programmes where syllabus revision was carried out during the last five years _x000a__x000a_1.1.2.1: How many Programmes were revised out of total number of Programmes offered during the same period within last five years? _x000a_1.1.2.2 : Number of all Programmes offered by the institution during the last five years_x000a_"/>
    <n v="20"/>
    <m/>
    <m/>
    <n v="92.86"/>
    <n v="4"/>
    <n v="80"/>
  </r>
  <r>
    <n v="3"/>
    <s v="1. Curricular Aspects"/>
    <s v="1.1 Curriculum Planning and Implementation"/>
    <s v="QnM"/>
    <x v="2"/>
    <s v="Average percentage of courses having focus on employability/ entrepreneurship/ skill development offered by the institution during the last five years _x000a__x000a_1.1.3.1: Number of courses having focus on employability/ entrepreneurship/ skill development year wise during last five years _x000a_"/>
    <n v="10"/>
    <m/>
    <m/>
    <n v="84.19"/>
    <n v="4"/>
    <n v="40"/>
  </r>
  <r>
    <n v="4"/>
    <s v="1. Curricular Aspects"/>
    <s v="1.2 Academic Flexibility"/>
    <s v="QnM"/>
    <x v="3"/>
    <s v="Percentage of new courses introduced of the total number of courses across all programs offered during the last five years _x000a__x000a_1.2.1.1: How many new courses are introduced within the last five years _x000a_1.2.1.2 : Number of courses offered by the institution across all Programmes during the last five years _x000a_"/>
    <n v="20"/>
    <n v="40"/>
    <m/>
    <n v="38.71"/>
    <n v="1"/>
    <n v="20"/>
  </r>
  <r>
    <n v="5"/>
    <s v="1. Curricular Aspects"/>
    <s v="1.2 Academic Flexibility"/>
    <s v="QnM"/>
    <x v="4"/>
    <s v="Percentage of Programmes in which Choice Based Credit System (CBCS)/elective course system has been implemented (Data for the latest completed academic year ) _x000a__x000a_1.2.2.1: Number of Programmes in which CBCS/Elective course system implemented._x000a_"/>
    <n v="20"/>
    <m/>
    <m/>
    <n v="81.25"/>
    <n v="4"/>
    <n v="80"/>
  </r>
  <r>
    <n v="6"/>
    <s v="1. Curricular Aspects"/>
    <s v="1.3 Curriculum Enrichment"/>
    <s v="QlM"/>
    <x v="5"/>
    <s v="Institution integrates crosscutting issues relevant to Professional Ethics, Gender, Human Values, Environment and Sustainability, Human Values into the Curriculum _x000a_Write description in maximum of 500 words_x000a_ "/>
    <n v="10"/>
    <n v="40"/>
    <m/>
    <m/>
    <m/>
    <n v="0"/>
  </r>
  <r>
    <n v="7"/>
    <s v="1. Curricular Aspects"/>
    <s v="1.3 Curriculum Enrichment"/>
    <s v="QnM"/>
    <x v="6"/>
    <s v="Number of value-added courses for imparting transferable and life skills offered during last five years _x000a__x000a_1.3.2.1: How many new value-added courses are added within the last 5 years _x000a_"/>
    <n v="10"/>
    <m/>
    <m/>
    <n v="87"/>
    <n v="4"/>
    <n v="40"/>
  </r>
  <r>
    <n v="8"/>
    <s v="1. Curricular Aspects"/>
    <s v="1.3 Curriculum Enrichment"/>
    <s v="QnM"/>
    <x v="7"/>
    <s v="Average Percentage of students enrolled in the courses under 1.3.2 above _x000a__x000a_1.3.3.1: Number of students enrolled in value added courses (beyond the curriculum) offered year wise during last five year_x000a_"/>
    <n v="10"/>
    <m/>
    <m/>
    <n v="32.64"/>
    <n v="1"/>
    <n v="10"/>
  </r>
  <r>
    <n v="9"/>
    <s v="1. Curricular Aspects"/>
    <s v="1.3 Curriculum Enrichment"/>
    <s v="QnM"/>
    <x v="8"/>
    <s v="Percentage of students undertaking field projects/ internships / student projects (Data for the latest completed academic year) _x000a__x000a_1.3.4.1: Number of students undertaking field projects / internships / student projects "/>
    <n v="10"/>
    <m/>
    <m/>
    <n v="61.81"/>
    <n v="0"/>
    <n v="0"/>
  </r>
  <r>
    <n v="10"/>
    <s v="1. Curricular Aspects"/>
    <s v="1.4 Feedback System"/>
    <s v="QnM"/>
    <x v="9"/>
    <s v="Structured feedback for design and review of syllabus ( semester wise / year wise) is obtained from 1) Students, 2) Teachers, 3) Employers, 4) Alumni _x000a_"/>
    <n v="10"/>
    <n v="20"/>
    <m/>
    <s v="B"/>
    <n v="3"/>
    <n v="30"/>
  </r>
  <r>
    <n v="11"/>
    <s v="1. Curricular Aspects"/>
    <s v="1.4 Feedback System"/>
    <s v="QnM"/>
    <x v="10"/>
    <s v="The feedback system of the Institution comprises of the following : _x000a_A. Feedback collected, analysed and action taken and report made available on website _x000a_B. Feedback collected, analysed and action taken _x000a_C. Feedback collected and analysed _x000a_D. Feedback collected _x000a_E. Feedback not obtained _x000a_"/>
    <n v="10"/>
    <m/>
    <m/>
    <s v="C"/>
    <n v="2"/>
    <n v="20"/>
  </r>
  <r>
    <n v="12"/>
    <s v="2. Teaching-Learning and Evaluation"/>
    <s v="2.1 Student Enrolment and Profile"/>
    <s v="QnM"/>
    <x v="11"/>
    <s v="Average Enrolment percentage (Average of last five years) _x000a__x000a_2.1.1.1: Number of students admitted year wise during last five years _x000a_2.1.1.2: Number of sanctioned seats year wise during last five years "/>
    <n v="10"/>
    <n v="20"/>
    <n v="300"/>
    <n v="85.42"/>
    <n v="4"/>
    <n v="40"/>
  </r>
  <r>
    <n v="13"/>
    <s v="2. Teaching-Learning and Evaluation"/>
    <s v="2.1 Student Enrolment and Profile"/>
    <s v="QnM"/>
    <x v="12"/>
    <s v="Average percentage of seats filled against reserved categories (SC, ST, OBC, Divyangjan, etc. as per applicable reservation policy ) during the last five years  ( exclusive of supernumerary seats) _x000a__x000a_2.1.2.1: Number of actual students admitted from the reserved categories year wise during last five years"/>
    <n v="10"/>
    <m/>
    <m/>
    <n v="97.91"/>
    <n v="4"/>
    <n v="40"/>
  </r>
  <r>
    <n v="14"/>
    <s v="2. Teaching-Learning and Evaluation"/>
    <s v="2.2 Catering to Student Diversity"/>
    <s v="QlM"/>
    <x v="13"/>
    <s v="The institution assesses the learning levels of the students and organises special Programmes for advanced learners and slow learners._x000a_Write description in of 500 words _x000a_"/>
    <n v="15"/>
    <n v="30"/>
    <m/>
    <m/>
    <m/>
    <n v="0"/>
  </r>
  <r>
    <n v="15"/>
    <s v="2. Teaching-Learning and Evaluation"/>
    <s v="2.2 Catering to Student Diversity"/>
    <s v="QnM"/>
    <x v="14"/>
    <s v="Student - Full time teacher ratio (Data for the latest completed academic year) "/>
    <n v="15"/>
    <m/>
    <m/>
    <n v="16.13"/>
    <n v="0"/>
    <n v="0"/>
  </r>
  <r>
    <n v="16"/>
    <s v="2. Teaching-Learning and Evaluation"/>
    <s v="2.3 Teaching-Learning Process"/>
    <s v="QlM"/>
    <x v="15"/>
    <s v="Student centric methods, such as experiential learning, participative learning and problem solving methodologies are used for enhancing learning experiences _x000a_Write description in maximum of 500 words "/>
    <n v="15"/>
    <n v="50"/>
    <m/>
    <m/>
    <m/>
    <n v="0"/>
  </r>
  <r>
    <n v="17"/>
    <s v="2. Teaching-Learning and Evaluation"/>
    <s v="2.3 Teaching-Learning Process"/>
    <s v="QlM"/>
    <x v="16"/>
    <s v="Teachers use ICT enabled tools including online resources for effective teaching and learning process _x000a_Write description in maximum of 500 words "/>
    <n v="15"/>
    <m/>
    <m/>
    <m/>
    <m/>
    <n v="0"/>
  </r>
  <r>
    <n v="18"/>
    <s v="2. Teaching-Learning and Evaluation"/>
    <s v="2.3 Teaching-Learning Process"/>
    <s v="QnM"/>
    <x v="17"/>
    <s v="Ratio of students to mentor for academic and other related issues (Data for the latest completed academic year ) _x000a__x000a_2.3.3.1: Number of mentors _x000a_             Number of students assigned to each Mentor"/>
    <n v="10"/>
    <m/>
    <m/>
    <d v="1899-12-30T19:01:00"/>
    <n v="0"/>
    <n v="0"/>
  </r>
  <r>
    <n v="19"/>
    <s v="2. Teaching-Learning and Evaluation"/>
    <s v="2.3 Teaching-Learning Process"/>
    <s v="QlM"/>
    <x v="18"/>
    <s v="Preparation and adherence of Academic Calendar and Teaching plans by the institution _x000a_Describe the Preparation and adherence to Academic Calendar and Teaching plans by the institution within the minimum of 500 Characters and maximum of 500 words."/>
    <n v="10"/>
    <m/>
    <m/>
    <m/>
    <m/>
    <n v="0"/>
  </r>
  <r>
    <n v="20"/>
    <s v="2. Teaching-Learning and Evaluation"/>
    <s v="2.4 Teacher Profile and Quality"/>
    <s v="QnM"/>
    <x v="19"/>
    <s v="Average percentage of full time teachers against sanctioned posts during the last five years _x000a_"/>
    <n v="15"/>
    <n v="50"/>
    <m/>
    <n v="99.34"/>
    <n v="4"/>
    <n v="60"/>
  </r>
  <r>
    <n v="21"/>
    <s v="2. Teaching-Learning and Evaluation"/>
    <s v="2.4 Teacher Profile and Quality"/>
    <s v="QnM"/>
    <x v="20"/>
    <s v="Average percentage of full time teachers with Ph.D. / D.M. / M.Ch. / D.N.B Super speciality / D.Sc. / D.Litt. during the last five years _x000a_2.4.2.1: Number of full time teachers with Ph.D./ D.M. / M.Ch. / D.N.B Super speciality / D.Sc. / D.Litt. year wise during last five years _x000a_"/>
    <n v="20"/>
    <m/>
    <m/>
    <n v="11.09"/>
    <n v="0"/>
    <n v="0"/>
  </r>
  <r>
    <n v="22"/>
    <s v="2. Teaching-Learning and Evaluation"/>
    <s v="2.4 Teacher Profile and Quality"/>
    <s v="QnM"/>
    <x v="21"/>
    <s v="Average teaching experience of full time teachers in the same institution (Data for the latest completed academic year in number of  years_x000a__x000a_2.4.3.1: Total experience of full-time teachers "/>
    <n v="15"/>
    <m/>
    <m/>
    <n v="5.69"/>
    <n v="0"/>
    <n v="0"/>
  </r>
  <r>
    <n v="23"/>
    <s v="2. Teaching-Learning and Evaluation"/>
    <s v="2.5 Evaluation Process and Reforms"/>
    <s v="QnM"/>
    <x v="22"/>
    <s v="Average number of days from the date of last semester-end/ year- end examination till the declaration of results during the last five years _x000a__x000a_2.5.1.1: Number of days from the date of last semester-end/ year- end examination till the declaration of results year wise during the last five years_x000a_"/>
    <n v="20"/>
    <n v="50"/>
    <m/>
    <n v="21"/>
    <n v="1"/>
    <n v="20"/>
  </r>
  <r>
    <n v="24"/>
    <s v="2. Teaching-Learning and Evaluation"/>
    <s v="2.5 Evaluation Process and Reforms"/>
    <s v="QnM"/>
    <x v="23"/>
    <s v="Average percentage of student complaints/grievances about evaluation against total number appeared in the examinations during the last five years _x000a_2.5.2.1: Number of complaints/grievances about evaluation year wise during last five years "/>
    <n v="15"/>
    <m/>
    <m/>
    <n v="12.61"/>
    <n v="0"/>
    <n v="0"/>
  </r>
  <r>
    <n v="25"/>
    <s v="2. Teaching-Learning and Evaluation"/>
    <s v="2.5 Evaluation Process and Reforms"/>
    <s v="QlM"/>
    <x v="24"/>
    <s v="IT integration and reforms in the examination procedures and processes including Continuous Internal Assessment (CIA) have brought in considerable improvement in Examination Management System (EMS) of the Institution _x000a__x000a_Describe the examination reforms with reference to the following within a minimum of 500 words and maximum 1000 words:  _x000a_"/>
    <n v="15"/>
    <m/>
    <m/>
    <m/>
    <m/>
    <n v="0"/>
  </r>
  <r>
    <n v="26"/>
    <s v="2. Teaching-Learning and Evaluation"/>
    <s v="2.6 Student Performance and Learning Outcomes"/>
    <s v="QlM"/>
    <x v="25"/>
    <s v="Programme outcomes and course outcomes for all Programmes offered by the institution are stated and displayed on website and communicated to teachers and students _x000a_Describe Course Outcomes (COs) for all courses and mechanism of communication within a maximum of 500 words _x000a_"/>
    <n v="20"/>
    <n v="50"/>
    <m/>
    <m/>
    <m/>
    <n v="0"/>
  </r>
  <r>
    <n v="27"/>
    <s v="2. Teaching-Learning and Evaluation"/>
    <s v="2.6 Student Performance and Learning Outcomes"/>
    <s v="QlM"/>
    <x v="26"/>
    <s v="Attainment of program outcomes and course outcomes are evaluated by the institution _x000a_Describe the method of measuring attainment of POs , PSOs and COs in not more than 500 words and the level of attainment of POs , PSOs and COs. "/>
    <n v="10"/>
    <m/>
    <m/>
    <m/>
    <m/>
    <n v="0"/>
  </r>
  <r>
    <n v="28"/>
    <s v="2. Teaching-Learning and Evaluation"/>
    <s v="2.6 Student Performance and Learning Outcomes"/>
    <s v="QnM"/>
    <x v="27"/>
    <s v="Pass percentage of students (Data for the latest completed academic year) _x000a__x000a_2.6.3.1: Total number of final year students who passed the examination conducted by Institution. _x000a_2.6.3.2: Total number of final year students who appeared for the examination"/>
    <n v="20"/>
    <m/>
    <m/>
    <n v="90.9"/>
    <n v="4"/>
    <n v="80"/>
  </r>
  <r>
    <n v="29"/>
    <s v="2. Teaching-Learning and Evaluation"/>
    <s v="2.7 Student Satisfaction Survey"/>
    <s v="QnM"/>
    <x v="28"/>
    <s v="Online student satisfaction survey regarding to teaching learning process. (Online survey to be conducted) "/>
    <n v="50"/>
    <n v="50"/>
    <m/>
    <n v="3.48"/>
    <n v="0"/>
    <n v="0"/>
  </r>
  <r>
    <n v="30"/>
    <s v="3. Research, Innovations and Extension"/>
    <s v="3.1 Promotion of Research and Facilities"/>
    <s v="QlM"/>
    <x v="29"/>
    <s v="The institution Research facilities are frequently updated and there is well defined policy for promotion of research which is uploaded on the institutional website and implemented _x000a_Write description in maximum of 500 words "/>
    <n v="6"/>
    <n v="20"/>
    <n v="150"/>
    <m/>
    <m/>
    <n v="0"/>
  </r>
  <r>
    <n v="31"/>
    <s v="3. Research, Innovations and Extension"/>
    <s v="3.1 Promotion of Research and Facilities"/>
    <s v="QnM"/>
    <x v="30"/>
    <s v="The institution provides seed money to its teachers for research _x000a_(Average per year) _x000a_3.1.2.1: The amount of seed money provided by institution to its teachers for research year wise during last five years (INR in lakhs) "/>
    <n v="8"/>
    <m/>
    <m/>
    <n v="0"/>
    <n v="0"/>
    <n v="0"/>
  </r>
  <r>
    <n v="32"/>
    <s v="3. Research, Innovations and Extension"/>
    <s v="3.1 Promotion of Research and Facilities"/>
    <s v="QnM"/>
    <x v="31"/>
    <s v="Percentage of teachers awarded national / international fellowship for advanced studies/research during the last five years _x000a_3.1.3.1: The number of teachers awarded national / international fellowship for advanced studies / research year wise during last five years"/>
    <n v="6"/>
    <m/>
    <m/>
    <n v="0.06"/>
    <n v="0"/>
    <n v="0"/>
  </r>
  <r>
    <n v="33"/>
    <s v="3. Research, Innovations and Extension"/>
    <s v="3.2 Resource Mobilization for Research"/>
    <s v="QnM"/>
    <x v="32"/>
    <s v="Grants received from Government and non-governmental agencies for research projects, endowments, Chairs in the institution during the last five years (INR in Lakhs) _x000a_3.2.1.1: Total Grants from Government and non-governmental agencies for research projects , endowments, Chairs in the institution during the last five years (INR in Lakhs)"/>
    <n v="2"/>
    <n v="10"/>
    <m/>
    <n v="116.67"/>
    <n v="4"/>
    <n v="8"/>
  </r>
  <r>
    <n v="34"/>
    <s v="3. Research, Innovations and Extension"/>
    <s v="3.2 Resource Mobilization for Research"/>
    <s v="QnM"/>
    <x v="33"/>
    <s v="Percentage of teachers having research projects during the last five years _x000a__x000a_3.2.2.1: Number of teachers having research projects during the last five years _x000a_"/>
    <n v="2"/>
    <m/>
    <m/>
    <n v="1.02"/>
    <n v="0"/>
    <n v="0"/>
  </r>
  <r>
    <n v="35"/>
    <s v="3. Research, Innovations and Extension"/>
    <s v="3.2 Resource Mobilization for Research"/>
    <s v="QnM"/>
    <x v="34"/>
    <s v="Percentage of teachers recognised as research guides _x000a_3.2.3.1: Number of teachers recognised as research guides"/>
    <n v="3"/>
    <m/>
    <m/>
    <n v="3.03"/>
    <n v="0"/>
    <n v="0"/>
  </r>
  <r>
    <n v="36"/>
    <s v="3. Research, Innovations and Extension"/>
    <s v="3.2 Resource Mobilization for Research"/>
    <s v="QnM"/>
    <x v="35"/>
    <s v="Average percentage of departments having Research projects funded by government and non-government agencies during the last five years _x000a__x000a_3.2.4.1: Number of departments having Research projects funded by government and non-government agencies during the last five years "/>
    <n v="3"/>
    <m/>
    <m/>
    <n v="43.57"/>
    <n v="2"/>
    <n v="6"/>
  </r>
  <r>
    <n v="37"/>
    <s v="3. Research, Innovations and Extension"/>
    <s v="3.3 Innovation Ecosystem"/>
    <s v="QlM"/>
    <x v="36"/>
    <s v="Institution has created an eco system for innovations, creation and transfer of knowledge supported by dedicated centers for research, entrepreneurship, community orientation, Incubation etc. _x000a__x000a_Write description in maximum of 500 words"/>
    <n v="5"/>
    <n v="10"/>
    <m/>
    <m/>
    <m/>
    <n v="0"/>
  </r>
  <r>
    <n v="38"/>
    <s v="3. Research, Innovations and Extension"/>
    <s v="3.3 Innovation Ecosystem"/>
    <s v="QnM"/>
    <x v="37"/>
    <s v="Number of workshops/seminars conducted on Research Methodology, Intellectual Property Rights (IPR), entrepreneurship and skills development during the last five years _x000a_3.3.2.1: Total number of workshops/seminars conducted on Research Methodology, Intellectual Property Rights (IPR) and entrepreneurship and skills development year wise during last five years "/>
    <n v="5"/>
    <m/>
    <m/>
    <n v="43"/>
    <n v="2"/>
    <n v="10"/>
  </r>
  <r>
    <n v="39"/>
    <s v="3. Research, Innovations and Extension"/>
    <s v="3.4 Research Publications and Awards"/>
    <s v="QnM"/>
    <x v="38"/>
    <s v="The Institution ensures implementation of its stated Code of Ethics for research through the following: _x000a_1. Inclusion of research ethics in the research methodology course work _x000a_2. Presence of Ethics committee _x000a_3. Plagiarism check through software _x000a_4. Research Advisory Committee"/>
    <n v="5"/>
    <n v="30"/>
    <m/>
    <s v="C"/>
    <n v="2"/>
    <n v="10"/>
  </r>
  <r>
    <n v="40"/>
    <s v="3. Research, Innovations and Extension"/>
    <s v="3.4 Research Publications and Awards"/>
    <s v="QnM"/>
    <x v="39"/>
    <s v="Number of Ph.D’s registered per teacher (as per the data given w.r.t recognized Ph.D guides/ supervisors provided at 3.2.3 metric) during the last five years _x000a__x000a_3.4.2.1: How many Ph.Ds are registered within last 5 years _x000a_3.4.2.2 : Number of teachers recognized as guides during the last five years "/>
    <n v="5"/>
    <m/>
    <m/>
    <n v="0"/>
    <n v="0"/>
    <n v="0"/>
  </r>
  <r>
    <n v="41"/>
    <s v="3. Research, Innovations and Extension"/>
    <s v="3.4 Research Publications and Awards"/>
    <s v="QnM"/>
    <x v="40"/>
    <s v="Number of research papers per teacher in the Journals notified on UGC website during the last five years _x000a__x000a_3.4.3.1: Number of research papers in the Journals notified on UGC website during the last five "/>
    <n v="5"/>
    <m/>
    <m/>
    <n v="2.11"/>
    <n v="0"/>
    <n v="0"/>
  </r>
  <r>
    <n v="42"/>
    <s v="3. Research, Innovations and Extension"/>
    <s v="3.4 Research Publications and Awards"/>
    <s v="QnM"/>
    <x v="41"/>
    <s v="Number of books and chapters in edited volumes / books published per teacher during the last five years _x000a__x000a_3.4.4.1: Total number of books and chapters in edited volumes / books published, and papers in national/international conference-proceedings year wise during last five years"/>
    <n v="5"/>
    <m/>
    <m/>
    <n v="0.22"/>
    <n v="0"/>
    <n v="0"/>
  </r>
  <r>
    <n v="43"/>
    <s v="3. Research, Innovations and Extension"/>
    <s v="3.4 Research Publications and Awards"/>
    <s v="QnM"/>
    <x v="42"/>
    <s v="Bibliometrics of the publications during the last five years based on average Citation index in Scopus/ Web of Science/ PubMed _x000a__x000a_3.4.5.1:  Total number of Citations in Scopus in 5 years _x000a_              Total number of Citations in Web of Science in 5 years _x000a__x000a_3.4.5.2 : Total number of Publications in Scopus in 5 years _x000a_              Total number of Publications in Web of Science in 5 years  _x000a_"/>
    <n v="5"/>
    <m/>
    <m/>
    <n v="1.81"/>
    <n v="0"/>
    <n v="0"/>
  </r>
  <r>
    <n v="44"/>
    <s v="3. Research, Innovations and Extension"/>
    <s v="3.4 Research Publications and Awards"/>
    <s v="QnM"/>
    <x v="43"/>
    <s v="Bibliometrics of the publications during the last five years based on Scopus/ Web of Science – h-index of the Institution _x000a__x000a_3.4.6.1: h-index of Scopus during the last five years _x000a__x000a_h-index of Web of Science during the last five years "/>
    <n v="5"/>
    <m/>
    <m/>
    <n v="8"/>
    <n v="0"/>
    <n v="0"/>
  </r>
  <r>
    <n v="45"/>
    <s v="3. Research, Innovations and Extension"/>
    <s v="3.5 Consultancy"/>
    <s v="QnM"/>
    <x v="44"/>
    <s v="Revenue generated from consultancy and corporate training during the last five years (INR in Lakhs) _x000a__x000a_3.5.1.1: Total amount generated from consultancy and corporate training year wise during last five years (INR in lakhs) "/>
    <n v="5"/>
    <n v="10"/>
    <m/>
    <n v="0"/>
    <n v="0"/>
    <n v="0"/>
  </r>
  <r>
    <n v="46"/>
    <s v="3. Research, Innovations and Extension"/>
    <s v="3.5 Consultancy"/>
    <s v="QnM"/>
    <x v="45"/>
    <s v="Total amount spent on developing facilities, training teachers and staff for undertaking consultancy during the last five years _x000a__x000a_3.5.2.1: Total amount spent on developing facilities, training teachers and staff for undertaking consultancy during the last five years _x000a_"/>
    <n v="5"/>
    <m/>
    <m/>
    <n v="0"/>
    <n v="0"/>
    <n v="0"/>
  </r>
  <r>
    <n v="47"/>
    <s v="3. Research, Innovations and Extension"/>
    <s v="3.6 Extension Activities"/>
    <s v="QlM"/>
    <x v="46"/>
    <s v="Extension activities are carried out in the neighbourhood community, sensitising students to social issues, for their holistic development, and impact thereof during the last five years _x000a__x000a_Describe the impact of extension activities in sensitising students to social issues and holistic development within a maximum of 500 words _x000a_"/>
    <n v="10"/>
    <n v="50"/>
    <m/>
    <m/>
    <m/>
    <n v="0"/>
  </r>
  <r>
    <n v="48"/>
    <s v="3. Research, Innovations and Extension"/>
    <s v="3.6 Extension Activities"/>
    <s v="QnM"/>
    <x v="47"/>
    <s v="Number of awards and recognition received by the Institution, its teachers and students for extension activities from Government / Government recognised bodies during last five years _x000a__x000a_3.6.2.1: Total number of awards and recognition received for extension activities from Government /recognised bodies year wise during last five years _x000a_"/>
    <n v="15"/>
    <m/>
    <m/>
    <n v="0"/>
    <n v="0"/>
    <n v="0"/>
  </r>
  <r>
    <n v="49"/>
    <s v="3. Research, Innovations and Extension"/>
    <s v="3.6 Extension Activities"/>
    <s v="QnM"/>
    <x v="48"/>
    <s v="Number of extension and outreach programs conducted by the institution through NSS/NCC/Red cross/YRC etc., during the last five years ( including Government initiated programs such as Swachh Bharat, Aids Awareness, Gender Issue, etc. and those organised in collaboration with industry, community and NGOs) _x000a__x000a_3.6.3.1: Number of extension and outreach programs conducted in collaboration with industry, community and Non-Government Organisations through NSS/NCC/Red cross/YRC etc., year wise during last five years_x000a_"/>
    <n v="10"/>
    <m/>
    <m/>
    <n v="85"/>
    <n v="0"/>
    <n v="0"/>
  </r>
  <r>
    <n v="50"/>
    <s v="3. Research, Innovations and Extension"/>
    <s v="3.6 Extension Activities"/>
    <s v="QnM"/>
    <x v="49"/>
    <s v="Average percentage of students participating in extension activities listed at 3.6.3 above during the last five years _x000a__x000a_3.6.4.1: Total number of students participating in extension activities with Government Organisations, Non-Government Organisations and Programmes such as Swachh Bharat, Aids Awareness, Gender Issue, etc. year wise during last five years _x000a_"/>
    <n v="15"/>
    <m/>
    <m/>
    <n v="83.05"/>
    <n v="4"/>
    <n v="60"/>
  </r>
  <r>
    <n v="51"/>
    <s v="3. Research, Innovations and Extension"/>
    <s v="3.7 Collaboration"/>
    <s v="QnM"/>
    <x v="50"/>
    <s v="Number of Collaborative activities per year for research/ faculty exchange/ student exchange/ internship/ on –the-job training/ project work _x000a__x000a_3.7.1.1: Total number of Collaborative activities per year for research/ faculty exchange/ student exchange/ internship/ on –the-job training/ project work  _x000a__x000a_"/>
    <n v="10"/>
    <n v="20"/>
    <m/>
    <n v="0"/>
    <n v="0"/>
    <n v="0"/>
  </r>
  <r>
    <n v="52"/>
    <s v="3. Research, Innovations and Extension"/>
    <s v="3.7 Collaboration"/>
    <s v="QnM"/>
    <x v="51"/>
    <s v="Number of functional MoUs with institutions of national, international importance, other universities, industries, corporate houses etc. during the last five years (only functional MoUs with ongoing activities to be considered) _x000a__x000a_3.7.2.1: Number of functional MoUs with institutions of national, international importance, other Institutions, industries, corporate houses etc. year wise during last five years  _x000a_Data Template_x000a_"/>
    <n v="10"/>
    <m/>
    <m/>
    <n v="55"/>
    <n v="2"/>
    <n v="20"/>
  </r>
  <r>
    <n v="53"/>
    <s v="4. Infrastructure and Learning Resources"/>
    <s v="4.1 Physical Facilities"/>
    <s v="QlM"/>
    <x v="52"/>
    <s v="The Institution has adequate infrastructure and physical facilities for teaching – learning, viz., classrooms, laboratories, computing equipment, etc. _x000a__x000a_Describe the adequacy of facilities for teaching –learning as per the minimum specified requirement by statutory bodies within a maximum of 500 words "/>
    <n v="6"/>
    <n v="30"/>
    <n v="100"/>
    <m/>
    <m/>
    <n v="0"/>
  </r>
  <r>
    <n v="54"/>
    <s v="4. Infrastructure and Learning Resources"/>
    <s v="4.1 Physical Facilities"/>
    <s v="QlM"/>
    <x v="53"/>
    <s v="The institution has adequate facilities for cultural activities, yoga, games (indoor, outdoor) and sports. (gymnasium, yoga centre, auditorium, etc.) _x000a__x000a_Describe the adequacy facilities for cultural activities, yoga, games (indoor, outdoor) and sports which include specification about area/size, year of establishment and user rate within minimum of 500 characters and maximum of 500 words"/>
    <n v="4"/>
    <m/>
    <m/>
    <m/>
    <m/>
    <n v="0"/>
  </r>
  <r>
    <n v="55"/>
    <s v="4. Infrastructure and Learning Resources"/>
    <s v="4.1 Physical Facilities"/>
    <s v="QnM"/>
    <x v="54"/>
    <s v="Percentage of classrooms and seminar halls with ICT – enabled facilities such as smart class, LMS, etc. (Data for the latest completed academic year) _x000a__x000a_4.1.3.1: Number of classrooms and seminar halls with ICT facilities _x000a_"/>
    <n v="10"/>
    <m/>
    <m/>
    <n v="47.62"/>
    <n v="0"/>
    <n v="0"/>
  </r>
  <r>
    <n v="56"/>
    <s v="4. Infrastructure and Learning Resources"/>
    <s v="4.1 Physical Facilities"/>
    <s v="QnM"/>
    <x v="55"/>
    <s v="Average percentage of expenditure for infrastructure augmentation excluding salary during the last five years (INR in Lakhs) _x000a__x000a_4.1.4.1: Expenditure for infrastructure augmentation, excluding salary year wise during last five years (INR in lakhs) _x000a_"/>
    <n v="10"/>
    <m/>
    <m/>
    <n v="11.5"/>
    <n v="0"/>
    <n v="0"/>
  </r>
  <r>
    <n v="57"/>
    <s v="4. Infrastructure and Learning Resources"/>
    <s v="4.2 Library as a Learning Resource"/>
    <s v="QlM"/>
    <x v="56"/>
    <s v="Library is automated using Integrated Library Management System (ILMS) _x000a_"/>
    <n v="5"/>
    <n v="20"/>
    <m/>
    <m/>
    <m/>
    <n v="0"/>
  </r>
  <r>
    <n v="58"/>
    <s v="4. Infrastructure and Learning Resources"/>
    <s v="4.2 Library as a Learning Resource"/>
    <s v="QnM"/>
    <x v="57"/>
    <s v="Institution has access to the following: _x000a_1. e-journals _x000a_2. e-ShodhSindhu _x000a_3. Shodhganga Membership _x000a_4. e-books _x000a_5. Databases _x000a_6. Remote access to e-resources"/>
    <n v="5"/>
    <m/>
    <m/>
    <s v="A"/>
    <n v="4"/>
    <n v="20"/>
  </r>
  <r>
    <n v="59"/>
    <s v="4. Infrastructure and Learning Resources"/>
    <s v="4.2 Library as a Learning Resource"/>
    <s v="QnM"/>
    <x v="58"/>
    <s v="Average annual expenditure for purchase of books/ e-books and subscription to journals/e-journals during the last five years (INR in Lakhs) _x000a__x000a_4.2.3.1: Annual expenditure for purchase of books / e-books and subscription to journals/e-journals year wise during last five years (INR in lakhs)  "/>
    <n v="5"/>
    <m/>
    <m/>
    <n v="11.52"/>
    <n v="0"/>
    <n v="0"/>
  </r>
  <r>
    <n v="60"/>
    <s v="4. Infrastructure and Learning Resources"/>
    <s v="4.2 Library as a Learning Resource"/>
    <s v="QnM"/>
    <x v="59"/>
    <s v="Percentage per day usage of library by teachers and students ( foot falls and login data for online access) _x000a__x000a_4.2.6.1: Number of teachers and students using library per day over last one year _x000a_"/>
    <n v="5"/>
    <m/>
    <m/>
    <n v="12.21"/>
    <n v="0"/>
    <n v="0"/>
  </r>
  <r>
    <n v="61"/>
    <s v="4. Infrastructure and Learning Resources"/>
    <s v="4.3 IT Infrastructure"/>
    <s v="QlM"/>
    <x v="60"/>
    <s v="Institution has an IT policy covering wi-fi, cyber security, etc., and allocated budget for updating its IT facilities _x000a_Describe IT facilities including Wi-Fi with date and nature of updation within a maximum of 500 words "/>
    <n v="8"/>
    <n v="30"/>
    <m/>
    <m/>
    <m/>
    <n v="0"/>
  </r>
  <r>
    <n v="62"/>
    <s v="4. Infrastructure and Learning Resources"/>
    <s v="4.3 IT Infrastructure"/>
    <s v="QnM"/>
    <x v="61"/>
    <s v="Student - Computer ratio(Data for the latest completed academic year) _x000a_"/>
    <n v="8"/>
    <m/>
    <m/>
    <d v="1899-12-30T04:01:00"/>
    <n v="0"/>
    <n v="0"/>
  </r>
  <r>
    <n v="63"/>
    <s v="4. Infrastructure and Learning Resources"/>
    <s v="4.3 IT Infrastructure"/>
    <s v="QnM"/>
    <x v="62"/>
    <s v="Bandwidth of internet connection in the Institution _x000a_Options: _x000a_A. ≥50 MBPS _x000a_B. 35 MBPS - 50 MBPS _x000a_C. 20 MBPS - 35 MBPS Opt One _x000a_D. 5 MBPS - 20 MBPS _x000a_E. &lt;5 MBPS "/>
    <n v="10"/>
    <m/>
    <m/>
    <n v="50"/>
    <n v="4"/>
    <n v="40"/>
  </r>
  <r>
    <n v="64"/>
    <s v="4. Infrastructure and Learning Resources"/>
    <s v="4.3 IT Infrastructure"/>
    <s v="QnM"/>
    <x v="63"/>
    <s v="Institution has Facilities for e-content development _x000a_Facilities available for e-content development : _x000a_1. Media centre _x000a_2. Audio visual centre, _x000a_3. Lecture Capturing System(LCS) _x000a_4. Mixing equipment's and software's for editing  _x000a__x000a_"/>
    <n v="4"/>
    <m/>
    <m/>
    <s v="D"/>
    <n v="1"/>
    <n v="4"/>
  </r>
  <r>
    <n v="65"/>
    <s v="4. Infrastructure and Learning Resources"/>
    <s v="4.4 Maintenance of Campus Infrastructure"/>
    <s v="QnM"/>
    <x v="64"/>
    <s v="Average percentage expenditure incurred on maintenance of physical facilities and academic support facilities excluding salary component, during the last five years _x000a_4.4.1.1: Expenditure incurred on maintenance of physical facilities and academic support facilities excluding salary component year wise during last five years (INR in lakhs) "/>
    <n v="10"/>
    <n v="20"/>
    <m/>
    <n v="9.51"/>
    <n v="0"/>
    <n v="0"/>
  </r>
  <r>
    <n v="66"/>
    <s v="4. Infrastructure and Learning Resources"/>
    <s v="4.4 Maintenance of Campus Infrastructure"/>
    <s v="QlM"/>
    <x v="65"/>
    <s v="There are established systems and procedures for maintaining and utilizing physical, academic and support facilities – laboratory, library, sports complex, computers, classrooms etc. _x000a__x000a_Describe policy details of systems and procedures for maintaining and utilizing physical, academic and support facilities on the website within a minimum of 500 word and maximum of 1000 words  _x000a_"/>
    <n v="10"/>
    <m/>
    <m/>
    <m/>
    <m/>
    <n v="0"/>
  </r>
  <r>
    <n v="67"/>
    <s v="5. Student Support and Progression"/>
    <s v="5.1 Student Support"/>
    <s v="QnM"/>
    <x v="66"/>
    <s v="Average percentage of students benefited by scholarships and _x000a_freeships provided by the Government during the last five years _x000a__x000a_5.1.1.1: Number of students benefited by scholarships and freeships provided by the Government year wise during last five years _x000a_"/>
    <n v="6"/>
    <n v="30"/>
    <n v="100"/>
    <n v="48"/>
    <n v="0"/>
    <n v="0"/>
  </r>
  <r>
    <n v="68"/>
    <s v="5. Student Support and Progression"/>
    <s v="5.1 Student Support"/>
    <s v="QnM"/>
    <x v="67"/>
    <s v="Average percentage of students benefited by scholarships, freeships, etc. provided by the institution and non-government agencies during the last five years _x000a__x000a_5.1.2.1: Total number of students benefited by scholarships, freeships, etc provided by the institution and non-government agencies year wise during last five years "/>
    <n v="5"/>
    <m/>
    <m/>
    <n v="0"/>
    <n v="0"/>
    <n v="0"/>
  </r>
  <r>
    <n v="69"/>
    <s v="5. Student Support and Progression"/>
    <s v="5.1 Student Support"/>
    <s v="QnM"/>
    <x v="68"/>
    <s v="Following Capacity development and skills enhancement activities are organised for improving students capability _x000a_1. Soft skills _x000a_2. Language and communication skills _x000a_3. Life skills (Yoga, physical fitness, health and hygiene) _x000a_4. Awareness of trends in technology"/>
    <n v="8"/>
    <m/>
    <m/>
    <s v="B"/>
    <n v="3"/>
    <n v="24"/>
  </r>
  <r>
    <n v="70"/>
    <s v="5. Student Support and Progression"/>
    <s v="5.1 Student Support"/>
    <s v="QnM"/>
    <x v="69"/>
    <s v="Average percentage of students benefited by guidance for competitive examinations and career counselling offered by the institution during the last five years _x000a__x000a_5.1.4.1: Number of students benefited by guidance for competitive examinations and career counselling offered by the institution year wise during last five years "/>
    <n v="6"/>
    <m/>
    <m/>
    <n v="3.49"/>
    <n v="0"/>
    <n v="0"/>
  </r>
  <r>
    <n v="71"/>
    <s v="5. Student Support and Progression"/>
    <s v="5.1 Student Support"/>
    <s v="QnM"/>
    <x v="70"/>
    <s v="The institution adopts the following for redressal of student grievances including sexual harassment and ragging cases _x000a__x000a_1. Implementation of guidelines of statutory/regulatory bodies _x000a_2. Organisation wide awareness and undertakings on policies with zero tolerance _x000a_3. Mechanisms for submission of online/offline students’ grievances _x000a_4. Timely redressal of the grievances through appropriate committees _x000a_"/>
    <n v="5"/>
    <m/>
    <m/>
    <s v="B"/>
    <n v="3"/>
    <n v="15"/>
  </r>
  <r>
    <n v="72"/>
    <s v="5. Student Support and Progression"/>
    <s v="5.2 Student Progression"/>
    <s v="QnM"/>
    <x v="71"/>
    <s v="Average percentage of placement of outgoing students during the last five years _x000a__x000a_5.2.1.1: Number of outgoing students placed year wise during last five years"/>
    <n v="10"/>
    <n v="30"/>
    <m/>
    <n v="44.94"/>
    <n v="0"/>
    <n v="0"/>
  </r>
  <r>
    <n v="73"/>
    <s v="5. Student Support and Progression"/>
    <s v="5.2 Student Progression"/>
    <s v="QnM"/>
    <x v="72"/>
    <s v="Percentage of student progression to higher education (previous graduating batch) _x000a__x000a_5.2.2.1: Number of outgoing students progressing to higher education _x000a_Data Requirements: (As per Data Template) _x000a_Number of students proceeding from _x000a_UG to PG:. _x000a_PG to MPhil: _x000a_PG to PhD: _x000a_MPhil to PhD: _x000a_PhD to Post doctoral: "/>
    <n v="10"/>
    <m/>
    <m/>
    <n v="7.46"/>
    <n v="0"/>
    <n v="0"/>
  </r>
  <r>
    <n v="74"/>
    <s v="5. Student Support and Progression"/>
    <s v="5.2 Student Progression"/>
    <s v="QnM"/>
    <x v="73"/>
    <s v="Average percentage of students qualifying in state/ national/ international level examinations during the last five years _x000a_(eg: IIT/JAM/NET/SLET/GATE/GMAT/CAT/ GRE/TOEFL/Civil Services/State government examinations etc.) _x000a__x000a_5.2.3.1: Number of students qualifying in state/ national/ international level examinations (eg: IIT/JAM/NET/SLET/GATE/GMAT/CAT/ GRE/TOEFL/Civil Services/State government examinations) year wise during last five years  _x000a__x000a_5.2.3.2: Number of students appearing in state/ national/ international level examinations (eg: IIT/JAM/ NET/SLET/GATE/GMAT/CAT, GRE/TOEFL/Civil Services/State government examinations) year wise during last five years  _x000a_"/>
    <n v="10"/>
    <m/>
    <m/>
    <n v="100"/>
    <n v="4"/>
    <n v="40"/>
  </r>
  <r>
    <n v="75"/>
    <s v="5. Student Support and Progression"/>
    <s v="5.3 Student Participation and Activities"/>
    <s v="QnM"/>
    <x v="74"/>
    <s v="Number of awards/medals for outstanding performance in sports/cultural activities at inter-university / state /national / international events (award for a team event should be counted as one) during the last five years _x000a__x000a_5.3.1.1: Number of awards/medals for outstanding performance in sports/cultural activities at inter-university / state / national / international level (award for a team event should be counted as one) year wise during last five years "/>
    <n v="10"/>
    <n v="30"/>
    <m/>
    <n v="27"/>
    <n v="1"/>
    <n v="10"/>
  </r>
  <r>
    <n v="76"/>
    <s v="5. Student Support and Progression"/>
    <s v="5.3 Student Participation and Activities"/>
    <s v="QlM"/>
    <x v="75"/>
    <s v="Presence of an active Student Council &amp; representation of students on academic &amp; administrative bodies/committees of the institution _x000a__x000a_Describe the Student Council activity and students role in academic &amp; administrative bodies within a minimum of 500 characters and maximum of 500 words  _x000a_"/>
    <n v="10"/>
    <m/>
    <m/>
    <m/>
    <m/>
    <n v="0"/>
  </r>
  <r>
    <n v="77"/>
    <s v="5. Student Support and Progression"/>
    <s v="5.3 Student Participation and Activities"/>
    <s v="QnM"/>
    <x v="76"/>
    <s v="Average number of sports and cultural events / competitions organised by the institution per year _x000a__x000a_5.3.3.1: Number of sports and cultural events / competitions organised by the institution year wise during last five years  _x000a_"/>
    <n v="10"/>
    <m/>
    <m/>
    <n v="22.8"/>
    <n v="1"/>
    <n v="10"/>
  </r>
  <r>
    <n v="78"/>
    <s v="5. Student Support and Progression"/>
    <s v="5.4 Alumni Engagement"/>
    <s v="QlM"/>
    <x v="77"/>
    <s v="The Alumni Association/Chapters (registered and functional)contributes significantly to the development of the institution through financial and other support services _x000a__x000a_Describe contribution of alumni association to the institution within a maximum of 500 words "/>
    <n v="5"/>
    <n v="10"/>
    <m/>
    <m/>
    <m/>
    <n v="0"/>
  </r>
  <r>
    <n v="79"/>
    <s v="5. Student Support and Progression"/>
    <s v="5.4 Alumni Engagement"/>
    <s v="QnM"/>
    <x v="78"/>
    <s v="Alumni financial contribution during the last five years (in INR) _x000a_Options: _x000a_A. ≥ 15 Lakhs _x000a_B. 10Lakhs - 15 Lakhs _x000a_C. 5 Lakhs - 10 Lakhs _x000a_D. 2 Lakhs - 5 "/>
    <n v="5"/>
    <m/>
    <m/>
    <s v="D"/>
    <n v="4"/>
    <n v="20"/>
  </r>
  <r>
    <n v="80"/>
    <s v="6. Governance, Leadership and Management"/>
    <s v="6.1 Institutional Vision and Leadership"/>
    <s v="QlM"/>
    <x v="79"/>
    <s v="The governance of the institution is reflective of an effective leadership in tune with the vision and mission of the Institution _x000a__x000a_Describe the vision and mission statement of the institution on the nature of governance, perspective plans and participation of the teachers in the decision making bodies of the institution within a maximum of 500 words. "/>
    <n v="5"/>
    <n v="10"/>
    <n v="100"/>
    <m/>
    <m/>
    <n v="0"/>
  </r>
  <r>
    <n v="81"/>
    <s v="6. Governance, Leadership and Management"/>
    <s v="6.1 Institutional Vision and Leadership"/>
    <s v="QlM"/>
    <x v="80"/>
    <s v="The effective leadership is reflected in various institutional practices such as decentralization and participative management _x000a__x000a_Upload a case study showing practicing decentralisation and participative management in the institution in not more than 500 words "/>
    <n v="5"/>
    <m/>
    <m/>
    <m/>
    <m/>
    <n v="0"/>
  </r>
  <r>
    <n v="82"/>
    <s v="6. Governance, Leadership and Management"/>
    <s v="6.2 Strategy Development and Deployment"/>
    <s v="QlM"/>
    <x v="81"/>
    <s v="The institutional Strategic/ Perspective plan is effectively deployed _x000a__x000a_Describe one activity successfully implemented based on the strategic plan within a maximum of 500 words  _x000a_"/>
    <n v="2"/>
    <n v="10"/>
    <m/>
    <m/>
    <m/>
    <n v="0"/>
  </r>
  <r>
    <n v="83"/>
    <s v="6. Governance, Leadership and Management"/>
    <s v="6.2 Strategy Development and Deployment"/>
    <s v="QlM"/>
    <x v="82"/>
    <s v="The functioning of the institutional bodies is effective and efficient as visible from policies, administrative setup appointment and service rules, procedures, etc. _x000a__x000a_Describe the Organogram of the Institution within a maximum of 500 words_x000a_"/>
    <n v="4"/>
    <m/>
    <m/>
    <m/>
    <m/>
    <n v="0"/>
  </r>
  <r>
    <n v="84"/>
    <s v="6. Governance, Leadership and Management"/>
    <s v="6.2 Strategy Development and Deployment"/>
    <s v="QnM"/>
    <x v="83"/>
    <s v="Implementation of e-governance in areas of operation: _x000a_1. Administration _x000a_2. Finance and Accounts _x000a_3. Student Admission and Support _x000a_4. Examination "/>
    <n v="4"/>
    <m/>
    <m/>
    <s v="B"/>
    <n v="3"/>
    <n v="12"/>
  </r>
  <r>
    <n v="85"/>
    <s v="6. Governance, Leadership and Management"/>
    <s v="6.3 Faculty Empowerment Strategies"/>
    <s v="QlM"/>
    <x v="84"/>
    <s v="The institution has effective welfare measures for teaching and non-teaching staff and avenues for career development/ progression _x000a__x000a_Provide the list of existing welfare measures for teaching and non-teaching staff in maximum of 500 words "/>
    <n v="4"/>
    <n v="30"/>
    <m/>
    <m/>
    <m/>
    <n v="0"/>
  </r>
  <r>
    <n v="86"/>
    <s v="6. Governance, Leadership and Management"/>
    <s v="6.3 Faculty Empowerment Strategies"/>
    <s v="QnM"/>
    <x v="85"/>
    <s v="Average percentage of teachers provided with financial support to attend conferences / workshops and towards membership fee of professional bodies during the last five years _x000a_6.3.2.1: Number of teachers provided with financial support to attend conferences / workshops and towards membership fee of professional bodies year wise during last five years "/>
    <n v="8"/>
    <m/>
    <m/>
    <n v="42.41"/>
    <n v="2"/>
    <n v="16"/>
  </r>
  <r>
    <n v="87"/>
    <s v="6. Governance, Leadership and Management"/>
    <s v="6.3 Faculty Empowerment Strategies"/>
    <s v="QnM"/>
    <x v="86"/>
    <s v="Average number of professional development / administrative training programs organized by the Institution for teaching and non teaching staff during the last five years _x000a_6.3.3.1: Total number of professional development / administrative training Programmes organized by the Institution for teaching and non teaching staff year wise during last five  years"/>
    <n v="8"/>
    <m/>
    <m/>
    <n v="51.2"/>
    <n v="2"/>
    <n v="16"/>
  </r>
  <r>
    <n v="88"/>
    <s v="6. Governance, Leadership and Management"/>
    <s v="6.3 Faculty Empowerment Strategies"/>
    <s v="QnM"/>
    <x v="87"/>
    <s v="Average percentage of teachers undergoing online/ face-to-face Faculty Development Programmes during the last five years _x000a_(Professional Development Programmes, Orientation / Induction Programmes, Refresher Course, Short Term Course etc.,) _x000a__x000a_6.3.4.1: Total number of teachers attending professional development Programmes, viz., Orientation Programme, Refresher Course, Short Term Course, Faculty Development Programmes year wise during last five years. _x000a_"/>
    <n v="10"/>
    <m/>
    <m/>
    <n v="21.4"/>
    <n v="1"/>
    <n v="10"/>
  </r>
  <r>
    <n v="89"/>
    <s v="6. Governance, Leadership and Management"/>
    <s v="6.4 Financial Management and Resource Mobilization"/>
    <s v="QlM"/>
    <x v="88"/>
    <s v="Institution conducts internal and external financial audits regularly _x000a__x000a_Enumerate the various internal and external financial audits carried out during the last five years with the mechanism for settling audit objections within a maximum of 500 words "/>
    <n v="4"/>
    <n v="20"/>
    <m/>
    <m/>
    <m/>
    <n v="0"/>
  </r>
  <r>
    <n v="90"/>
    <s v="6. Governance, Leadership and Management"/>
    <s v="6.4 Financial Management and Resource Mobilization"/>
    <s v="QnM"/>
    <x v="89"/>
    <s v="Funds / Grants received from non-government bodies, individuals, philanthropists during the last five years (not covered in Criterion III and V) (INR in Lakhs) _x000a_6.4.2.1: Total Grants received from non-government bodies, individuals, philanthropists year wise during last five years (INR in Lakhs)_x000a_"/>
    <n v="10"/>
    <m/>
    <m/>
    <n v="5.99"/>
    <n v="0"/>
    <n v="0"/>
  </r>
  <r>
    <n v="91"/>
    <s v="6. Governance, Leadership and Management"/>
    <s v="6.4 Financial Management and Resource Mobilization"/>
    <s v="QlM"/>
    <x v="90"/>
    <s v="Institutional strategies for mobilisation of funds and the optimal utilisation of resources _x000a_Describe the resource mobilisation policy and procedures of the Institution within a maximum of 500 words _x000a_"/>
    <n v="6"/>
    <m/>
    <m/>
    <m/>
    <m/>
    <n v="0"/>
  </r>
  <r>
    <n v="92"/>
    <s v="6. Governance, Leadership and Management"/>
    <s v="6.5 Internal Quality Assurance System (IQAS)"/>
    <s v="QlM"/>
    <x v="91"/>
    <s v="Internal Quality Assurance Cell (IQAC) has contributed significantly for institutionalizing the quality assurance strategies and processes visible in terms of – _x000a__x000a_Incremental improvements made for the preceding five years with regard to quality (in case of first cycle) _x000a__x000a_Incremental improvements made for the preceding five years with regard to quality and post accreditation quality initiatives (second and subsequent cycles) _x000a__x000a_Describe two practices institutionalized as a result of IQAC initiatives within a maximum of 500 words "/>
    <n v="10"/>
    <n v="30"/>
    <m/>
    <m/>
    <m/>
    <n v="0"/>
  </r>
  <r>
    <n v="93"/>
    <s v="6. Governance, Leadership and Management"/>
    <s v="6.5 Internal Quality Assurance System (IQAS)"/>
    <s v="QlM"/>
    <x v="92"/>
    <s v="The institution reviews its teaching learning process, structures &amp; methodologies of operations and learning outcomes at periodic intervals through IQAC set up as per norms _x000a_Describe any two examples of institutional reviews and implementation of teaching learning reforms facilitated by the IQAC within a maximum of 500 words each "/>
    <n v="10"/>
    <m/>
    <m/>
    <m/>
    <m/>
    <n v="0"/>
  </r>
  <r>
    <n v="94"/>
    <s v="6. Governance, Leadership and Management"/>
    <s v="6.5 Internal Quality Assurance System (IQAS)"/>
    <s v="QnM"/>
    <x v="93"/>
    <s v="Quality assurance initiatives of the institution include: _x000a_1. Regular meeting of Internal Quality Assurance Cell (IQAC); Feedback collected, analysed and used for improvements _x000a_2. Collaborative quality initiatives with other institution(s) _x000a_3. Participation in NIRF _x000a_4. Any other quality audit recognized by state, national or international agencies (ISO Certification) _x000a_"/>
    <n v="10"/>
    <m/>
    <m/>
    <s v="A"/>
    <n v="4"/>
    <n v="40"/>
  </r>
  <r>
    <n v="95"/>
    <s v="7. Institutional Values and Best Practices"/>
    <s v="7.1 Institutional Values and Social Responsibilities"/>
    <s v="QlM"/>
    <x v="94"/>
    <s v="Measures initiated by the Institution for the promotion of gender equity during the last five years. _x000a_Describe gender equity &amp; sensitization in curricular and co-curricular activities, facilities for women on campus etc., within 500 words _x000a__x000a_"/>
    <n v="5"/>
    <n v="50"/>
    <n v="100"/>
    <m/>
    <m/>
    <n v="0"/>
  </r>
  <r>
    <n v="96"/>
    <s v="7. Institutional Values and Best Practices"/>
    <s v="7.1 Institutional Values and Social Responsibilities"/>
    <s v="QnM"/>
    <x v="95"/>
    <s v="The Institution has facilities for alternate sources of energy and energy conservation measures _x000a_1. Solar energy _x000a_2. Biogas plant _x000a_3. Wheeling to the Grid _x000a_4. Sensor-based energy conservation _x000a_5. Use of LED bulbs/ power efficient equipment _x000a_  _x000a_"/>
    <n v="5"/>
    <m/>
    <m/>
    <s v="A"/>
    <n v="4"/>
    <n v="20"/>
  </r>
  <r>
    <n v="97"/>
    <s v="7. Institutional Values and Best Practices"/>
    <s v="7.1 Institutional Values and Social Responsibilities"/>
    <s v="QlM"/>
    <x v="96"/>
    <s v="Describe the facilities in the Institution for the management of the following types of degradable and non-degradable waste (within 500 words) _x000a_1. Solid waste management _x000a_2. Liquid waste management _x000a_3. Biomedical waste management _x000a_4. E-waste management _x000a_5. Waste recycling system _x000a_6. Hazardous chemicals and radioactive waste management _x000a_"/>
    <n v="4"/>
    <m/>
    <m/>
    <m/>
    <m/>
    <n v="0"/>
  </r>
  <r>
    <n v="98"/>
    <s v="7. Institutional Values and Best Practices"/>
    <s v="7.1 Institutional Values and Social Responsibilities"/>
    <s v="QnM"/>
    <x v="97"/>
    <s v="Water conservation facilities available in the Institution: _x000a_1. Rain water harvesting _x000a_2. Borewell /Open well recharge _x000a_3. Construction of tanks and bunds _x000a_4. Waste water recycling _x000a_5. Maintenance of water bodies and distribution system in the campus  _x000a_"/>
    <n v="4"/>
    <m/>
    <m/>
    <s v="C"/>
    <n v="4"/>
    <n v="16"/>
  </r>
  <r>
    <n v="99"/>
    <s v="7. Institutional Values and Best Practices"/>
    <s v="7.1 Institutional Values and Social Responsibilities"/>
    <s v="QnM"/>
    <x v="98"/>
    <s v="Green campus initiatives include (4) _x000a_7.1.5.1. The institutional initiatives for greening the campus are as follows: _x000a_1. Restricted entry of automobiles _x000a_2. Use of Bicycles/ Battery powered vehicles _x000a_3. Pedestrian Friendly pathways _x000a_4. Ban on use of Plastic _x000a_5. landscaping with trees and plants _x000a_"/>
    <n v="4"/>
    <m/>
    <m/>
    <s v="B"/>
    <n v="3"/>
    <n v="12"/>
  </r>
  <r>
    <n v="100"/>
    <s v="7. Institutional Values and Best Practices"/>
    <s v="7.1 Institutional Values and Social Responsibilities"/>
    <s v="QnM"/>
    <x v="99"/>
    <s v="Quality audits on environment and energy are regularly undertaken by the institution (5) _x000a_7.1.7.1. The institutional environment and energy initiatives are confirmed through the following _x000a_1.Green audit _x000a_2. Energy audit _x000a_3.Environment audit _x000a_4.Clean and green campus recognitions/awards _x000a_5. Beyond the campus environmental promotional activities  _x000a__x000a_"/>
    <n v="5"/>
    <m/>
    <m/>
    <s v="D"/>
    <n v="4"/>
    <n v="20"/>
  </r>
  <r>
    <n v="101"/>
    <s v="7. Institutional Values and Best Practices"/>
    <s v="7.1 Institutional Values and Social Responsibilities"/>
    <s v="QnM"/>
    <x v="100"/>
    <s v="The Institution has disabled-friendly, barrier free environment _x000a_1. Built environment with ramps/lifts for easy access to classrooms. _x000a_2. Disabled-friendly washrooms _x000a_3. Signage including tactile path, lights, display boards and signposts _x000a_4. Assistive technology and facilities for persons with disabilities ( Divyangjan) accessible website, screen-reading software, mechanized equipment _x000a_5. Provision for enquiry and information : Human assistance, reader, scribe, soft      copies of reading material, screen reading _x000a_"/>
    <n v="4"/>
    <m/>
    <m/>
    <s v="D"/>
    <n v="1"/>
    <n v="4"/>
  </r>
  <r>
    <n v="102"/>
    <s v="7. Institutional Values and Best Practices"/>
    <s v="7.1 Institutional Values and Social Responsibilities"/>
    <s v="QlM"/>
    <x v="101"/>
    <s v="Describe the Institutional efforts/initiatives in providing an inclusive environment i.e., tolerance and harmony towards cultural, regional, linguistic, communal socioeconomic and other diversities (within 500 words). "/>
    <n v="5"/>
    <m/>
    <m/>
    <m/>
    <m/>
    <n v="0"/>
  </r>
  <r>
    <n v="103"/>
    <s v="7. Institutional Values and Best Practices"/>
    <s v="7.1 Institutional Values and Social Responsibilities"/>
    <s v="QlM"/>
    <x v="102"/>
    <s v="Sensitization of students and employees of the Institution to the constitutional obligations: values, rights, duties and responsibilities of citizens _x000a__x000a_Describe the various activities in the Institution for inculcating values for being responsible citizens as reflected in the Constitution of India within 500 words. "/>
    <n v="4"/>
    <m/>
    <m/>
    <m/>
    <m/>
    <n v="0"/>
  </r>
  <r>
    <n v="104"/>
    <s v="7. Institutional Values and Best Practices"/>
    <s v="7.1 Institutional Values and Social Responsibilities"/>
    <s v="QnM"/>
    <x v="103"/>
    <s v="The Institution has a prescribed code of conduct for students, teachers, administrators and other staff and conducts periodic programmes in this regard. _x000a_1. The Code of Conduct is displayed on the website _x000a_2. There is a committee to monitor adherence to the Code of Conduct _x000a_3. Institution organizes professional ethics programmes for students, teachers,  administrators and other staff _x000a_4. Annual awareness programmes on Code of Conduct are organized _x000a_"/>
    <n v="5"/>
    <m/>
    <m/>
    <s v="C"/>
    <n v="2"/>
    <n v="10"/>
  </r>
  <r>
    <n v="105"/>
    <s v="7. Institutional Values and Best Practices"/>
    <s v="7.1 Institutional Values and Social Responsibilities"/>
    <s v="QlM"/>
    <x v="104"/>
    <s v="Institution celebrates / organizes national and international commemorative days, events and festivals _x000a_Describe the efforts of the Institution in celebrating /organizing national and international commemorative days, events and festivals during the last five years within 500 words "/>
    <n v="5"/>
    <m/>
    <m/>
    <m/>
    <m/>
    <n v="0"/>
  </r>
  <r>
    <n v="106"/>
    <s v="7. Institutional Values and Best Practices"/>
    <s v="7.2 Best Practices"/>
    <s v="QlM"/>
    <x v="105"/>
    <s v="Describe two best practices successfully implemented by the Institution as per NAAC format provided in the Manual. "/>
    <n v="30"/>
    <n v="30"/>
    <m/>
    <m/>
    <m/>
    <n v="0"/>
  </r>
  <r>
    <n v="107"/>
    <s v="7. Institutional Values and Best Practices"/>
    <s v="7.3 Institutional Distinctiveness"/>
    <s v="QlM"/>
    <x v="106"/>
    <s v="Portray the performance of the Institution in one area distinctive to its priority and thrust within 1000 words  "/>
    <n v="20"/>
    <n v="20"/>
    <m/>
    <m/>
    <m/>
    <n v="0"/>
  </r>
</pivotCacheRecords>
</file>

<file path=xl/pivotCache/pivotCacheRecords3.xml><?xml version="1.0" encoding="utf-8"?>
<pivotCacheRecords xmlns="http://schemas.openxmlformats.org/spreadsheetml/2006/main" xmlns:r="http://schemas.openxmlformats.org/officeDocument/2006/relationships" count="55">
  <r>
    <n v="1"/>
    <x v="0"/>
    <s v="1.1 Curriculum Planning and Implementation"/>
    <x v="0"/>
    <s v="1.1.1"/>
    <s v="The Institution ensures effective curriculum planning and delivery through a well-planned and documented process including Academic calendar and conduct of continuous internal Assessment"/>
    <x v="0"/>
    <x v="0"/>
    <x v="0"/>
    <x v="0"/>
    <x v="0"/>
    <x v="0"/>
    <x v="0"/>
    <x v="0"/>
    <x v="0"/>
    <x v="0"/>
  </r>
  <r>
    <n v="2"/>
    <x v="0"/>
    <s v="1.2 Academic Flexibility"/>
    <x v="1"/>
    <s v="1.2.1"/>
    <s v="Number of Add on /Certificate/ Value added programs offered during the last five years"/>
    <x v="1"/>
    <x v="1"/>
    <x v="1"/>
    <x v="1"/>
    <x v="0"/>
    <x v="0"/>
    <x v="0"/>
    <x v="0"/>
    <x v="1"/>
    <x v="1"/>
  </r>
  <r>
    <n v="3"/>
    <x v="0"/>
    <s v="1.2 Academic Flexibility"/>
    <x v="1"/>
    <s v="1.2.2"/>
    <s v="Average percentage of students enrolled in Certificate/ Add-on/ Value added programs as against the total number of students during the last five years"/>
    <x v="1"/>
    <x v="2"/>
    <x v="1"/>
    <x v="2"/>
    <x v="0"/>
    <x v="0"/>
    <x v="1"/>
    <x v="1"/>
    <x v="1"/>
    <x v="1"/>
  </r>
  <r>
    <n v="4"/>
    <x v="0"/>
    <s v="1.3 Curriculum Enrichment"/>
    <x v="0"/>
    <s v="1.3.1"/>
    <s v="Institution integrates crosscutting issues relevant to Professional Ethics, Gender, Human Values, Environment and Sustainability into the Curriculum"/>
    <x v="2"/>
    <x v="1"/>
    <x v="1"/>
    <x v="0"/>
    <x v="0"/>
    <x v="0"/>
    <x v="0"/>
    <x v="0"/>
    <x v="1"/>
    <x v="1"/>
  </r>
  <r>
    <n v="5"/>
    <x v="0"/>
    <s v="1.3 Curriculum Enrichment"/>
    <x v="1"/>
    <s v="1.3.2"/>
    <s v="Percentage of students undertaking project work/field work/internships (Data for the latest completed academic year)"/>
    <x v="0"/>
    <x v="2"/>
    <x v="1"/>
    <x v="3"/>
    <x v="0"/>
    <x v="0"/>
    <x v="1"/>
    <x v="1"/>
    <x v="1"/>
    <x v="1"/>
  </r>
  <r>
    <n v="6"/>
    <x v="0"/>
    <s v="1.4 Feedback System"/>
    <x v="1"/>
    <s v="1.4.1"/>
    <s v="Institution obtains feedback on the academic performance and ambience of the institution from various stakeholders, such as Students, Teachers, Employers, Alumni etc. and action taken report on the feedback is made available on institutional website (Yes or No)"/>
    <x v="0"/>
    <x v="0"/>
    <x v="1"/>
    <x v="4"/>
    <x v="1"/>
    <x v="1"/>
    <x v="2"/>
    <x v="2"/>
    <x v="1"/>
    <x v="1"/>
  </r>
  <r>
    <n v="7"/>
    <x v="1"/>
    <s v="2.1 Student Enrolment and Profile"/>
    <x v="1"/>
    <s v="2.1.1"/>
    <s v="Enrolment percentage "/>
    <x v="0"/>
    <x v="3"/>
    <x v="2"/>
    <x v="5"/>
    <x v="2"/>
    <x v="2"/>
    <x v="3"/>
    <x v="3"/>
    <x v="2"/>
    <x v="2"/>
  </r>
  <r>
    <n v="8"/>
    <x v="1"/>
    <s v="2.1 Student Enrolment and Profile"/>
    <x v="1"/>
    <s v="2.1.2"/>
    <s v="Percentage of seats filled against seats reserved for various categories (SC, ST, OBC, Divyangjan, etc. as per applicable reservation policy during the last five years ( exclusive of supernumerary seats)_x000a_"/>
    <x v="0"/>
    <x v="2"/>
    <x v="1"/>
    <x v="6"/>
    <x v="1"/>
    <x v="1"/>
    <x v="1"/>
    <x v="1"/>
    <x v="1"/>
    <x v="1"/>
  </r>
  <r>
    <n v="9"/>
    <x v="1"/>
    <s v="2.2 Student Teacher Ratio"/>
    <x v="1"/>
    <s v="2.2.1"/>
    <s v="Student- Full time teacher ratio (Data for the latest completed academic year)"/>
    <x v="3"/>
    <x v="3"/>
    <x v="1"/>
    <x v="7"/>
    <x v="2"/>
    <x v="3"/>
    <x v="4"/>
    <x v="4"/>
    <x v="1"/>
    <x v="1"/>
  </r>
  <r>
    <n v="10"/>
    <x v="1"/>
    <s v="2.3 Teaching Learning Process"/>
    <x v="0"/>
    <s v="2.3.1"/>
    <s v="Student centric methods, such as experiential learning, participative learning and problem solving methodologies are used for enhancing learning experiences using ICT tools"/>
    <x v="3"/>
    <x v="3"/>
    <x v="1"/>
    <x v="0"/>
    <x v="0"/>
    <x v="0"/>
    <x v="0"/>
    <x v="0"/>
    <x v="1"/>
    <x v="1"/>
  </r>
  <r>
    <n v="11"/>
    <x v="1"/>
    <s v="2.4 Teacher Profile and Quality"/>
    <x v="1"/>
    <s v="2.4.1"/>
    <s v="Percentage of full time teachers against sanctioned posts during the last five years"/>
    <x v="1"/>
    <x v="3"/>
    <x v="1"/>
    <x v="8"/>
    <x v="1"/>
    <x v="2"/>
    <x v="5"/>
    <x v="5"/>
    <x v="1"/>
    <x v="1"/>
  </r>
  <r>
    <n v="12"/>
    <x v="1"/>
    <s v="2.4 Teacher Profile and Quality"/>
    <x v="1"/>
    <s v="2.4.2"/>
    <s v="Percentage of full time teachers with NET/SET/SLET/ Ph. D. / D.M. / M.Ch. / D.N.B Super speciality / D.Sc. / D.Litt. during the last five years (consider only highest degree for count)"/>
    <x v="4"/>
    <x v="2"/>
    <x v="1"/>
    <x v="9"/>
    <x v="3"/>
    <x v="4"/>
    <x v="1"/>
    <x v="1"/>
    <x v="1"/>
    <x v="1"/>
  </r>
  <r>
    <n v="13"/>
    <x v="1"/>
    <s v="2.5 Evaluation Process and Reforms"/>
    <x v="0"/>
    <s v="2.5.1"/>
    <s v="Mechanism of internal/ external assessment is transparent and the grievance redressal system is time- bound and efficient"/>
    <x v="3"/>
    <x v="3"/>
    <x v="1"/>
    <x v="0"/>
    <x v="0"/>
    <x v="0"/>
    <x v="0"/>
    <x v="0"/>
    <x v="1"/>
    <x v="1"/>
  </r>
  <r>
    <n v="14"/>
    <x v="1"/>
    <s v="2.6 Student Performance and Learning Outcomes"/>
    <x v="0"/>
    <s v="2.6.1"/>
    <s v="Programme Outcomes (POs) and Course Outcomes (COs) for all Programmes offered by the institution are stated and displayed on website and attainment of POs and COs are evaluated"/>
    <x v="5"/>
    <x v="4"/>
    <x v="1"/>
    <x v="0"/>
    <x v="0"/>
    <x v="0"/>
    <x v="6"/>
    <x v="6"/>
    <x v="1"/>
    <x v="1"/>
  </r>
  <r>
    <n v="15"/>
    <x v="1"/>
    <s v="2.6 Student Performance and Learning Outcomes"/>
    <x v="1"/>
    <s v="2.6.2"/>
    <s v="Pass percentage of Students during last five years"/>
    <x v="5"/>
    <x v="2"/>
    <x v="1"/>
    <x v="10"/>
    <x v="1"/>
    <x v="5"/>
    <x v="1"/>
    <x v="1"/>
    <x v="1"/>
    <x v="1"/>
  </r>
  <r>
    <n v="16"/>
    <x v="1"/>
    <s v="2.7 Student Satisfaction Survey"/>
    <x v="1"/>
    <s v="2.7.1"/>
    <s v="Online student satisfaction survey regarding to teaching learning process. (Online survey to be conducted)"/>
    <x v="6"/>
    <x v="5"/>
    <x v="1"/>
    <x v="11"/>
    <x v="3"/>
    <x v="2"/>
    <x v="7"/>
    <x v="7"/>
    <x v="1"/>
    <x v="1"/>
  </r>
  <r>
    <n v="17"/>
    <x v="2"/>
    <s v="3.1 Resource Mobilization for Research"/>
    <x v="1"/>
    <s v="3.1.1"/>
    <s v="Grants received from Government and non-governmental agencies for research projects, endowments, Chairs in the institution during the last five years (INR in Lakhs)"/>
    <x v="2"/>
    <x v="6"/>
    <x v="3"/>
    <x v="12"/>
    <x v="0"/>
    <x v="0"/>
    <x v="0"/>
    <x v="0"/>
    <x v="3"/>
    <x v="3"/>
  </r>
  <r>
    <n v="18"/>
    <x v="2"/>
    <s v="3.2 Innovation Ecosystem"/>
    <x v="0"/>
    <s v="3.2.1"/>
    <s v="Institution has created an ecosystem for innovations and has initiatives for creation and transfer of knowledge (patents filed, published, incubation centre facilities in the HEI to be considered)"/>
    <x v="2"/>
    <x v="7"/>
    <x v="1"/>
    <x v="0"/>
    <x v="0"/>
    <x v="0"/>
    <x v="8"/>
    <x v="8"/>
    <x v="1"/>
    <x v="1"/>
  </r>
  <r>
    <n v="19"/>
    <x v="2"/>
    <s v="3.2 Innovation Ecosystem"/>
    <x v="1"/>
    <s v="3.2.2"/>
    <s v="Number of workshops/seminars conducted on Research Methodology, Intellectual Property Rights (IPR) and entrepreneurship during the last five years"/>
    <x v="7"/>
    <x v="2"/>
    <x v="1"/>
    <x v="13"/>
    <x v="3"/>
    <x v="6"/>
    <x v="1"/>
    <x v="1"/>
    <x v="1"/>
    <x v="1"/>
  </r>
  <r>
    <n v="20"/>
    <x v="2"/>
    <s v="3.3 Research Publications and Awards"/>
    <x v="1"/>
    <s v="3.3.1"/>
    <s v="Number of research papers per teachers in the Journals notified on UGC website during the last five years"/>
    <x v="2"/>
    <x v="8"/>
    <x v="1"/>
    <x v="14"/>
    <x v="0"/>
    <x v="0"/>
    <x v="9"/>
    <x v="9"/>
    <x v="1"/>
    <x v="1"/>
  </r>
  <r>
    <n v="21"/>
    <x v="2"/>
    <s v="3.3 Research Publications and Awards"/>
    <x v="1"/>
    <s v="3.3.2"/>
    <s v="Number of books and chapters in edited volumes/books published and papers published in national/ international conference proceedings per teacher during last five years"/>
    <x v="1"/>
    <x v="2"/>
    <x v="1"/>
    <x v="15"/>
    <x v="4"/>
    <x v="7"/>
    <x v="1"/>
    <x v="1"/>
    <x v="1"/>
    <x v="1"/>
  </r>
  <r>
    <n v="22"/>
    <x v="2"/>
    <s v="3.4 Extension Activities"/>
    <x v="0"/>
    <s v="3.4.1"/>
    <s v="Extension activities are carried out in the neighbourhood community, sensitizing students to social issues, for their holistic development, and impact thereof during the last five years."/>
    <x v="2"/>
    <x v="3"/>
    <x v="1"/>
    <x v="0"/>
    <x v="0"/>
    <x v="0"/>
    <x v="2"/>
    <x v="6"/>
    <x v="1"/>
    <x v="1"/>
  </r>
  <r>
    <n v="23"/>
    <x v="2"/>
    <s v="3.4 Extension Activities"/>
    <x v="0"/>
    <s v="3.4.2"/>
    <s v="Awards and recognitions received for extension activities from government / government recognised bodies"/>
    <x v="2"/>
    <x v="2"/>
    <x v="1"/>
    <x v="0"/>
    <x v="0"/>
    <x v="0"/>
    <x v="1"/>
    <x v="1"/>
    <x v="1"/>
    <x v="1"/>
  </r>
  <r>
    <n v="24"/>
    <x v="2"/>
    <s v="3.4 Extension Activities"/>
    <x v="1"/>
    <s v="3.4.3"/>
    <s v="Number of extension and outreach Programmes conducted by the institution through NSS/ NCC/ Red Cross/ YRC etc., (including the programmes such as Swachh Bharat, AIDS awareness, Gender issues etc. )and/or those organised in collaboration with industry, community and NGOs during the last five years_x000a_"/>
    <x v="0"/>
    <x v="2"/>
    <x v="1"/>
    <x v="16"/>
    <x v="1"/>
    <x v="1"/>
    <x v="1"/>
    <x v="1"/>
    <x v="1"/>
    <x v="1"/>
  </r>
  <r>
    <n v="25"/>
    <x v="2"/>
    <s v="3.5 Collaboration"/>
    <x v="1"/>
    <s v="3.5.1"/>
    <s v="The number of MoUs, collaborations/linkages for Faculty exchange, Student exchange, Internship, Field trip, On-the- job training, research and other academic activities during the last five years"/>
    <x v="0"/>
    <x v="0"/>
    <x v="1"/>
    <x v="17"/>
    <x v="0"/>
    <x v="0"/>
    <x v="0"/>
    <x v="0"/>
    <x v="1"/>
    <x v="1"/>
  </r>
  <r>
    <n v="26"/>
    <x v="3"/>
    <s v="4.1 Physical Facilities"/>
    <x v="0"/>
    <s v="4.1.1"/>
    <s v="Availability of adequate infrastructure and physical facilities viz., classrooms, laboratories, ICT facilities, cultural activities, gymnasium, yoga centre etc. in the institution"/>
    <x v="0"/>
    <x v="1"/>
    <x v="0"/>
    <x v="0"/>
    <x v="0"/>
    <x v="0"/>
    <x v="10"/>
    <x v="10"/>
    <x v="4"/>
    <x v="4"/>
  </r>
  <r>
    <n v="27"/>
    <x v="3"/>
    <s v="4.1 Physical Facilities"/>
    <x v="1"/>
    <s v="4.1.2"/>
    <s v="Percentage of expenditure, excluding salary for infrastructure augmentation during last five years(INR in Lakhs)"/>
    <x v="2"/>
    <x v="2"/>
    <x v="1"/>
    <x v="8"/>
    <x v="1"/>
    <x v="8"/>
    <x v="1"/>
    <x v="1"/>
    <x v="1"/>
    <x v="1"/>
  </r>
  <r>
    <n v="28"/>
    <x v="3"/>
    <s v="4.2 Library as a Learning Resource"/>
    <x v="0"/>
    <s v="4.2.1"/>
    <s v="Library is automated using Integrated Library Management System (ILMS), subscription to e-resources, amount spent on purchase of books, journals and per day usage of library"/>
    <x v="0"/>
    <x v="0"/>
    <x v="1"/>
    <x v="0"/>
    <x v="0"/>
    <x v="0"/>
    <x v="0"/>
    <x v="0"/>
    <x v="1"/>
    <x v="1"/>
  </r>
  <r>
    <n v="29"/>
    <x v="3"/>
    <s v="4.3 IT Infrastructure"/>
    <x v="0"/>
    <s v="4.3.1"/>
    <s v="Institution frequently updates its IT facilities and provides sufficient bandwidth for internet connection"/>
    <x v="0"/>
    <x v="1"/>
    <x v="1"/>
    <x v="0"/>
    <x v="0"/>
    <x v="0"/>
    <x v="11"/>
    <x v="11"/>
    <x v="1"/>
    <x v="1"/>
  </r>
  <r>
    <n v="30"/>
    <x v="3"/>
    <s v="4.3 IT Infrastructure"/>
    <x v="1"/>
    <s v="4.3.2"/>
    <s v="Student – Computer ratio (Data for the latest completed academic year)"/>
    <x v="2"/>
    <x v="2"/>
    <x v="1"/>
    <x v="18"/>
    <x v="4"/>
    <x v="9"/>
    <x v="1"/>
    <x v="1"/>
    <x v="1"/>
    <x v="1"/>
  </r>
  <r>
    <n v="31"/>
    <x v="3"/>
    <s v="4.4 Maintenance of Campus Infrastructure"/>
    <x v="1"/>
    <s v="4.4.1"/>
    <s v="Percentage of expenditure incurred on maintenance of infrastructure (physical and academic support facilities) excluding salary component during the last five years(INR in Lakhs)"/>
    <x v="0"/>
    <x v="0"/>
    <x v="1"/>
    <x v="19"/>
    <x v="0"/>
    <x v="0"/>
    <x v="0"/>
    <x v="0"/>
    <x v="1"/>
    <x v="1"/>
  </r>
  <r>
    <n v="32"/>
    <x v="4"/>
    <s v="5.1 Student Support"/>
    <x v="1"/>
    <s v="5.1.1"/>
    <s v="Percentage of students benefited by scholarships and freeships provided by the Government and Non-Government agencies during last five years"/>
    <x v="0"/>
    <x v="9"/>
    <x v="4"/>
    <x v="20"/>
    <x v="2"/>
    <x v="2"/>
    <x v="4"/>
    <x v="12"/>
    <x v="5"/>
    <x v="5"/>
  </r>
  <r>
    <n v="33"/>
    <x v="4"/>
    <s v="5.1 Student Support"/>
    <x v="1"/>
    <s v="5.1.2"/>
    <s v="Capacity building and skills enhancement initiatives taken by the institution include the following_x000a_1. Soft skills_x000a_2. Language and communication skills_x000a_3. Life skills (Yoga, physical fitness, health and hygiene)_x000a_4. ICT/computing skills_x000a_"/>
    <x v="2"/>
    <x v="2"/>
    <x v="1"/>
    <x v="21"/>
    <x v="4"/>
    <x v="9"/>
    <x v="1"/>
    <x v="1"/>
    <x v="1"/>
    <x v="1"/>
  </r>
  <r>
    <n v="34"/>
    <x v="4"/>
    <s v="5.1 Student Support"/>
    <x v="1"/>
    <s v="5.1.3"/>
    <s v="Percentage of students benefitted by guidance for competitive examinations and career counselling offered by the Institution duringthe last five years"/>
    <x v="2"/>
    <x v="2"/>
    <x v="1"/>
    <x v="22"/>
    <x v="0"/>
    <x v="0"/>
    <x v="1"/>
    <x v="1"/>
    <x v="1"/>
    <x v="1"/>
  </r>
  <r>
    <n v="35"/>
    <x v="4"/>
    <s v="5.1 Student Support"/>
    <x v="1"/>
    <s v="5.1.4"/>
    <s v="The Institution has a transparent mechanism for timely redressal of student grievances including sexual harassment and ragging cases_x000a_1. Implementation of guidelines of statutory/regulatory bodies_x000a_2. Organisation wide awareness and undertakings on policies with zero tolerance_x000a_3. Mechanisms for submission of online/offline students’ grievances_x000a_4. Timely redressal of the grievances through appropriate committees"/>
    <x v="2"/>
    <x v="2"/>
    <x v="1"/>
    <x v="23"/>
    <x v="1"/>
    <x v="8"/>
    <x v="1"/>
    <x v="1"/>
    <x v="1"/>
    <x v="1"/>
  </r>
  <r>
    <n v="36"/>
    <x v="4"/>
    <s v="5.2 Student Progression"/>
    <x v="1"/>
    <s v="5.2.1"/>
    <s v="Percentage of placement of outgoing students and students progressing to higher education during the last five years"/>
    <x v="0"/>
    <x v="1"/>
    <x v="1"/>
    <x v="24"/>
    <x v="2"/>
    <x v="2"/>
    <x v="12"/>
    <x v="13"/>
    <x v="1"/>
    <x v="1"/>
  </r>
  <r>
    <n v="37"/>
    <x v="4"/>
    <s v="5.2 Student Progression"/>
    <x v="1"/>
    <s v="5.2.2"/>
    <s v="Average percentage of students qualifying in state/national/international level examinations during the last five years (eg: JAM/CLAT/GATE/ GMAT/CAT/GRE/ TOEFL/ Civil Services/State government examinations)"/>
    <x v="2"/>
    <x v="2"/>
    <x v="1"/>
    <x v="8"/>
    <x v="1"/>
    <x v="8"/>
    <x v="1"/>
    <x v="1"/>
    <x v="1"/>
    <x v="1"/>
  </r>
  <r>
    <n v="38"/>
    <x v="4"/>
    <s v="5.3 Student Participation and Activities"/>
    <x v="1"/>
    <s v="5.3.1"/>
    <s v="Number of awards/medals for outstanding performance insports/cultural activities at university/state/national / international level (award for a team event should be counted as one) during the last five years."/>
    <x v="4"/>
    <x v="9"/>
    <x v="1"/>
    <x v="25"/>
    <x v="0"/>
    <x v="0"/>
    <x v="13"/>
    <x v="14"/>
    <x v="1"/>
    <x v="1"/>
  </r>
  <r>
    <n v="39"/>
    <x v="4"/>
    <s v="5.3 Student Participation and Activities"/>
    <x v="1"/>
    <s v="5.3.2"/>
    <s v="Average number of sports and cultural events/competitions in which students of the Institution participated during last five years(organised by the institution/other institutions)"/>
    <x v="4"/>
    <x v="2"/>
    <x v="1"/>
    <x v="26"/>
    <x v="3"/>
    <x v="4"/>
    <x v="1"/>
    <x v="1"/>
    <x v="1"/>
    <x v="1"/>
  </r>
  <r>
    <n v="40"/>
    <x v="4"/>
    <s v="5.4 Alumni Engagement"/>
    <x v="0"/>
    <s v="5.4.1"/>
    <s v="There is a registered Alumni Association that contributes significantly to the development of the institution through financial and/or other support services"/>
    <x v="2"/>
    <x v="6"/>
    <x v="1"/>
    <x v="0"/>
    <x v="0"/>
    <x v="0"/>
    <x v="0"/>
    <x v="0"/>
    <x v="1"/>
    <x v="1"/>
  </r>
  <r>
    <n v="41"/>
    <x v="5"/>
    <s v="6.1 Institutional Vision and Leadership"/>
    <x v="0"/>
    <s v="6.1.1"/>
    <s v="The governance and leadership is in accordance with vision and mission of the institution and it is visible in various institutional practices such as decentralization and participation in the institutional governance_x000a_"/>
    <x v="2"/>
    <x v="6"/>
    <x v="0"/>
    <x v="0"/>
    <x v="0"/>
    <x v="0"/>
    <x v="0"/>
    <x v="0"/>
    <x v="6"/>
    <x v="6"/>
  </r>
  <r>
    <n v="42"/>
    <x v="5"/>
    <s v="6.2 Strategy Development and Deployment"/>
    <x v="0"/>
    <s v="6.2.1"/>
    <s v="The functioning of the institutional bodies is effective and efficient as visible from policies, administrative setup, appointment and service rules, procedures, deployment of institutional Strategic/ perspective/development plan etc_x000a_"/>
    <x v="8"/>
    <x v="6"/>
    <x v="1"/>
    <x v="0"/>
    <x v="0"/>
    <x v="0"/>
    <x v="14"/>
    <x v="15"/>
    <x v="1"/>
    <x v="1"/>
  </r>
  <r>
    <n v="43"/>
    <x v="5"/>
    <s v="6.2 Strategy Development and Deployment"/>
    <x v="1"/>
    <s v="6.2.2"/>
    <s v="Implementation of e-governance in areas of operation_x000a_1. Administration_x000a_2. Finance and Accounts _x000a_3. Student Admission and Support _x000a_4. Examination_x000a_"/>
    <x v="9"/>
    <x v="2"/>
    <x v="1"/>
    <x v="23"/>
    <x v="1"/>
    <x v="10"/>
    <x v="1"/>
    <x v="1"/>
    <x v="1"/>
    <x v="1"/>
  </r>
  <r>
    <n v="44"/>
    <x v="5"/>
    <s v="6.3 Faculty Empowerment Strategies"/>
    <x v="0"/>
    <s v="6.3.1"/>
    <s v="The institution has effective welfare measures and Performance Appraisal System for teaching and non-teaching staff"/>
    <x v="10"/>
    <x v="10"/>
    <x v="1"/>
    <x v="0"/>
    <x v="0"/>
    <x v="0"/>
    <x v="0"/>
    <x v="0"/>
    <x v="1"/>
    <x v="1"/>
  </r>
  <r>
    <n v="45"/>
    <x v="5"/>
    <s v="6.3 Faculty Empowerment Strategies"/>
    <x v="1"/>
    <s v="6.3.2"/>
    <s v="Percentage of teachers provided with financial support to attend conferences/workshops and towards membership fee of professional bodies during the last five years"/>
    <x v="11"/>
    <x v="2"/>
    <x v="1"/>
    <x v="12"/>
    <x v="0"/>
    <x v="0"/>
    <x v="1"/>
    <x v="1"/>
    <x v="1"/>
    <x v="1"/>
  </r>
  <r>
    <n v="46"/>
    <x v="5"/>
    <s v="6.3 Faculty Empowerment Strategies"/>
    <x v="1"/>
    <s v="6.3.3"/>
    <s v="Percentage of teaching and non-teaching staff participating in Faculty development Programmes (FDP), professional development /administrative training programs during the last five years"/>
    <x v="1"/>
    <x v="2"/>
    <x v="1"/>
    <x v="27"/>
    <x v="0"/>
    <x v="0"/>
    <x v="1"/>
    <x v="1"/>
    <x v="1"/>
    <x v="1"/>
  </r>
  <r>
    <n v="47"/>
    <x v="5"/>
    <s v="6.4 Financial Management and Resource Mobilization"/>
    <x v="0"/>
    <s v="6.4.1"/>
    <s v="Institution has strategies for mobilization and optimal utilization of resources and funds from various sources (government/ non-government organizations) and it conducts financial audits regularly (internal and external)"/>
    <x v="1"/>
    <x v="7"/>
    <x v="1"/>
    <x v="0"/>
    <x v="0"/>
    <x v="0"/>
    <x v="0"/>
    <x v="0"/>
    <x v="1"/>
    <x v="1"/>
  </r>
  <r>
    <n v="48"/>
    <x v="5"/>
    <s v="6.5 Internal Quality Assurance System (IQAS)"/>
    <x v="0"/>
    <s v="6.5.1"/>
    <s v="Internal Quality Assurance Cell (IQAC) has contributed significantly for institutionalizing the quality assurance strategies and processes. It reviews teaching learning process, structures &amp; methodologies of operations and learning outcomes at periodic intervals and records the incremental improvement in various activities"/>
    <x v="1"/>
    <x v="1"/>
    <x v="1"/>
    <x v="0"/>
    <x v="0"/>
    <x v="0"/>
    <x v="15"/>
    <x v="16"/>
    <x v="1"/>
    <x v="1"/>
  </r>
  <r>
    <n v="49"/>
    <x v="5"/>
    <s v="6.5 Internal Quality Assurance System (IQAS)"/>
    <x v="1"/>
    <s v="6.5.2"/>
    <s v="Quality assurance initiatives of the institution include:_x000a_1. Regular meeting of Internal Quality Assurance Cell (IQAC); Feedback collected, analysed and used for improvements _x000a_2. Collaborative quality initiatives with other institution(s)/ membership of international networks _x000a_3. Participation in NIRF_x000a_4. any other quality audit/accreditation recognized by state, national or international agencies such as NAAC, NBA, ISO Certification etc_x000a_"/>
    <x v="1"/>
    <x v="2"/>
    <x v="1"/>
    <x v="28"/>
    <x v="2"/>
    <x v="11"/>
    <x v="1"/>
    <x v="1"/>
    <x v="1"/>
    <x v="1"/>
  </r>
  <r>
    <n v="50"/>
    <x v="6"/>
    <s v="7.1 Institutional Values and Social Responsibilities"/>
    <x v="0"/>
    <s v="7.1.1"/>
    <s v="Gender Equity and celebration of days of National/ International commemoration Measures initiated by the Institution for the promotion of gender equity and Institutional initiatives to celebrate / organize national and international commemorative days, events and festivals during the last five years (Within 500 words)"/>
    <x v="2"/>
    <x v="9"/>
    <x v="0"/>
    <x v="0"/>
    <x v="0"/>
    <x v="0"/>
    <x v="12"/>
    <x v="6"/>
    <x v="7"/>
    <x v="7"/>
  </r>
  <r>
    <n v="51"/>
    <x v="6"/>
    <s v="7.1 Institutional Values and Social Responsibilities"/>
    <x v="1"/>
    <s v="7.1.2"/>
    <s v="The Institution has facilities and initiatives for_x000a_1. Alternate sources of energy and energy conservation measures_x000a_2. Management of the various types of degradable and non-degradable waste_x000a_3. Water conservation_x000a_4. Green campus initiatives_x000a_5. Disabled-friendly, barrier free environment"/>
    <x v="0"/>
    <x v="2"/>
    <x v="1"/>
    <x v="23"/>
    <x v="1"/>
    <x v="1"/>
    <x v="1"/>
    <x v="1"/>
    <x v="1"/>
    <x v="1"/>
  </r>
  <r>
    <n v="52"/>
    <x v="6"/>
    <s v="7.1 Institutional Values and Social Responsibilities"/>
    <x v="1"/>
    <s v="7.1.3"/>
    <s v="Quality audits on environment and energy regularly undertaken by the Institution._x000a_The institutional environment and energy initiatives are confirmed_x000a_through the following_x000a_1. Green audit / Environment audit_x000a_2. Energy audit_x000a_3. Clean and green campus initiatives_x000a_4. Beyond the campus environmental promotion activities "/>
    <x v="2"/>
    <x v="2"/>
    <x v="1"/>
    <x v="21"/>
    <x v="4"/>
    <x v="9"/>
    <x v="1"/>
    <x v="1"/>
    <x v="1"/>
    <x v="1"/>
  </r>
  <r>
    <n v="53"/>
    <x v="6"/>
    <s v="7.1 Institutional Values and Social Responsibilities"/>
    <x v="0"/>
    <s v="7.1.4"/>
    <s v="Describe the Institutional efforts/initiatives in providing an inclusive environment i.e., tolerance and harmony towards cultural, regional, linguistic, communal socioeconomic and Sensitization of students and employees to the constitutional obligations: values, rights, duties and responsibilities of citizens (Within 500 words)"/>
    <x v="2"/>
    <x v="2"/>
    <x v="1"/>
    <x v="0"/>
    <x v="0"/>
    <x v="0"/>
    <x v="1"/>
    <x v="1"/>
    <x v="1"/>
    <x v="1"/>
  </r>
  <r>
    <n v="54"/>
    <x v="6"/>
    <s v="7.2 Best Practices"/>
    <x v="0"/>
    <s v="7.2.1"/>
    <s v="Describe two best practices successfully implemented by the Institution as per NAAC format provided in the Manual"/>
    <x v="12"/>
    <x v="1"/>
    <x v="1"/>
    <x v="0"/>
    <x v="0"/>
    <x v="0"/>
    <x v="0"/>
    <x v="0"/>
    <x v="1"/>
    <x v="1"/>
  </r>
  <r>
    <n v="55"/>
    <x v="6"/>
    <s v="7.3 Institutional Distinctiveness"/>
    <x v="0"/>
    <s v="7.3.1"/>
    <s v="Portray the performance of the Institution in one area distinctive to its priority and thrust within 1000 words"/>
    <x v="0"/>
    <x v="0"/>
    <x v="1"/>
    <x v="0"/>
    <x v="0"/>
    <x v="0"/>
    <x v="0"/>
    <x v="0"/>
    <x v="1"/>
    <x v="1"/>
  </r>
</pivotCacheRecords>
</file>

<file path=xl/pivotCache/pivotCacheRecords4.xml><?xml version="1.0" encoding="utf-8"?>
<pivotCacheRecords xmlns="http://schemas.openxmlformats.org/spreadsheetml/2006/main" xmlns:r="http://schemas.openxmlformats.org/officeDocument/2006/relationships" count="72">
  <r>
    <n v="1"/>
    <x v="0"/>
    <x v="0"/>
    <s v="QnM"/>
    <x v="0"/>
    <s v="Percentage of Programmes where syllabus revision was carried out during the last five years _x000a__x000a_1.1.2.1: How many Programmes were revised out of total number of Programmes offered during the same period within last five years? _x000a_1.1.2.2 : Number of all Programmes offered by the institution during the last five years_x000a_"/>
    <n v="20"/>
    <n v="30"/>
    <n v="120"/>
    <n v="92.86"/>
    <n v="4"/>
  </r>
  <r>
    <n v="2"/>
    <x v="0"/>
    <x v="0"/>
    <s v="QnM"/>
    <x v="1"/>
    <s v="Average percentage of courses having focus on employability/ entrepreneurship/ skill development offered by the institution during the last five years _x000a__x000a_1.1.3.1: Number of courses having focus on employability/ entrepreneurship/ skill development year wise during last five years _x000a_"/>
    <n v="10"/>
    <m/>
    <m/>
    <n v="84.19"/>
    <n v="4"/>
  </r>
  <r>
    <n v="3"/>
    <x v="0"/>
    <x v="1"/>
    <s v="QnM"/>
    <x v="2"/>
    <s v="Percentage of new courses introduced of the total number of courses across all programs offered during the last five years _x000a__x000a_1.2.1.1: How many new courses are introduced within the last five years _x000a_1.2.1.2 : Number of courses offered by the institution across all Programmes during the last five years _x000a_"/>
    <n v="20"/>
    <n v="40"/>
    <m/>
    <n v="38.71"/>
    <n v="1"/>
  </r>
  <r>
    <n v="4"/>
    <x v="0"/>
    <x v="2"/>
    <s v="QnM"/>
    <x v="3"/>
    <s v="Percentage of Programmes in which Choice Based Credit System (CBCS)/elective course system has been implemented (Data for the latest completed academic year ) _x000a__x000a_1.2.2.1: Number of Programmes in which CBCS/Elective course system implemented._x000a_"/>
    <n v="20"/>
    <m/>
    <m/>
    <n v="81.25"/>
    <n v="4"/>
  </r>
  <r>
    <n v="5"/>
    <x v="1"/>
    <x v="3"/>
    <s v="QnM"/>
    <x v="4"/>
    <s v="Number of value-added courses for imparting transferable and life skills offered during last five years _x000a__x000a_1.3.2.1: How many new value-added courses are added within the last 5 years _x000a_"/>
    <n v="10"/>
    <n v="30"/>
    <m/>
    <n v="87"/>
    <n v="4"/>
  </r>
  <r>
    <n v="6"/>
    <x v="1"/>
    <x v="3"/>
    <s v="QnM"/>
    <x v="5"/>
    <s v="Average Percentage of students enrolled in the courses under 1.3.2 above _x000a__x000a_1.3.3.1: Number of students enrolled in value added courses (beyond the curriculum) offered year wise during last five year_x000a_"/>
    <n v="10"/>
    <m/>
    <m/>
    <n v="32.64"/>
    <n v="1"/>
  </r>
  <r>
    <n v="7"/>
    <x v="1"/>
    <x v="4"/>
    <s v="QnM"/>
    <x v="6"/>
    <s v="Percentage of students undertaking field projects/ internships / student projects (Data for the latest completed academic year) _x000a__x000a_1.3.4.1: Number of students undertaking field projects / internships / student projects "/>
    <n v="10"/>
    <m/>
    <m/>
    <n v="61.81"/>
    <n v="3"/>
  </r>
  <r>
    <n v="8"/>
    <x v="1"/>
    <x v="5"/>
    <s v="QnM"/>
    <x v="7"/>
    <s v="Structured feedback for design and review of syllabus ( semester wise / year wise) is obtained from 1) Students, 2) Teachers, 3) Employers, 4) Alumni _x000a_"/>
    <n v="10"/>
    <n v="20"/>
    <m/>
    <s v="B"/>
    <n v="3"/>
  </r>
  <r>
    <n v="9"/>
    <x v="1"/>
    <x v="5"/>
    <s v="QnM"/>
    <x v="8"/>
    <s v="The feedback system of the Institution comprises of the following : _x000a_A. Feedback collected, analysed and action taken and report made available on website _x000a_B. Feedback collected, analysed and action taken _x000a_C. Feedback collected and analysed _x000a_D. Feedback collected _x000a_E. Feedback not obtained _x000a__x000a_"/>
    <n v="10"/>
    <m/>
    <m/>
    <s v="C"/>
    <n v="2"/>
  </r>
  <r>
    <n v="10"/>
    <x v="1"/>
    <x v="6"/>
    <s v="QnM"/>
    <x v="9"/>
    <s v="Average Enrolment percentage (Average of last five years) _x000a__x000a_2.1.1.1: Number of students admitted year wise during last five years _x000a_2.1.1.2: Number of sanctioned seats year wise during last five years "/>
    <n v="10"/>
    <n v="20"/>
    <n v="200"/>
    <n v="85.42"/>
    <n v="4"/>
  </r>
  <r>
    <n v="11"/>
    <x v="1"/>
    <x v="7"/>
    <s v="QnM"/>
    <x v="10"/>
    <s v="Average percentage of seats filled against reserved categories (SC, ST, OBC, Divyangjan, etc. as per applicable reservation policy ) during the last five years  ( exclusive of supernumerary seats) _x000a__x000a_2.1.2.1: Number of actual students admitted from the reserved categories year wise during last five years"/>
    <n v="10"/>
    <m/>
    <m/>
    <n v="97.91"/>
    <n v="4"/>
  </r>
  <r>
    <n v="12"/>
    <x v="2"/>
    <x v="8"/>
    <s v="QnM"/>
    <x v="11"/>
    <s v="Student - Full time teacher ratio (Data for the latest completed academic year) "/>
    <n v="15"/>
    <n v="15"/>
    <m/>
    <n v="16.13"/>
    <n v="0"/>
  </r>
  <r>
    <n v="13"/>
    <x v="2"/>
    <x v="9"/>
    <s v="QnM"/>
    <x v="12"/>
    <s v="Ratio of students to mentor for academic and other related issues (Data for the latest completed academic year ) _x000a__x000a_2.3.3.1: Number of mentors _x000a_             Number of students assigned to each Mentor"/>
    <n v="10"/>
    <n v="10"/>
    <m/>
    <n v="0.79236111111111107"/>
    <n v="0"/>
  </r>
  <r>
    <n v="14"/>
    <x v="2"/>
    <x v="10"/>
    <s v="QnM"/>
    <x v="13"/>
    <s v="Average percentage of full time teachers against sanctioned posts during the last five years _x000a_"/>
    <n v="15"/>
    <n v="50"/>
    <m/>
    <n v="99.34"/>
    <n v="4"/>
  </r>
  <r>
    <n v="15"/>
    <x v="2"/>
    <x v="10"/>
    <s v="QnM"/>
    <x v="14"/>
    <s v="Average percentage of full time teachers with Ph.D. / D.M. / M.Ch. / D.N.B Super speciality / D.Sc. / D.Litt. during the last five years _x000a_2.4.2.1: Number of full time teachers with Ph.D./ D.M. / M.Ch. / D.N.B Super speciality / D.Sc. / D.Litt. year wise during last five years _x000a_"/>
    <n v="20"/>
    <m/>
    <m/>
    <n v="11.09"/>
    <n v="0"/>
  </r>
  <r>
    <n v="16"/>
    <x v="2"/>
    <x v="11"/>
    <s v="QnM"/>
    <x v="15"/>
    <s v="Average teaching experience of full time teachers in the same institution (Data for the latest completed academic year in number of  years_x000a__x000a_2.4.3.1: Total experience of full-time teachers "/>
    <n v="15"/>
    <m/>
    <m/>
    <n v="5.69"/>
    <n v="0"/>
  </r>
  <r>
    <n v="17"/>
    <x v="2"/>
    <x v="12"/>
    <s v="QnM"/>
    <x v="16"/>
    <s v="Average number of days from the date of last semester-end/ year- end examination till the declaration of results during the last five years _x000a__x000a_2.5.1.1: Number of days from the date of last semester-end/ year- end examination till the declaration of results year wise during the last five years_x000a_"/>
    <n v="20"/>
    <n v="35"/>
    <m/>
    <n v="21"/>
    <n v="1"/>
  </r>
  <r>
    <n v="18"/>
    <x v="3"/>
    <x v="13"/>
    <s v="QnM"/>
    <x v="17"/>
    <s v="Average percentage of student complaints/grievances about evaluation against total number appeared in the examinations during the last five years _x000a_2.5.2.1: Number of complaints/grievances about evaluation year wise during last five years "/>
    <n v="15"/>
    <m/>
    <m/>
    <n v="12.61"/>
    <n v="0"/>
  </r>
  <r>
    <n v="19"/>
    <x v="3"/>
    <x v="14"/>
    <s v="QnM"/>
    <x v="18"/>
    <s v="Pass percentage of students (Data for the latest completed academic year) _x000a__x000a_2.6.3.1: Total number of final year students who passed the examination conducted by Institution. _x000a_2.6.3.2: Total number of final year students who appeared for the examination"/>
    <n v="20"/>
    <n v="20"/>
    <m/>
    <n v="90.9"/>
    <n v="4"/>
  </r>
  <r>
    <n v="20"/>
    <x v="3"/>
    <x v="15"/>
    <s v="QnM"/>
    <x v="19"/>
    <s v="Online student satisfaction survey regarding to teaching learning process. (Online survey to be conducted) "/>
    <n v="50"/>
    <n v="50"/>
    <m/>
    <n v="3.48"/>
    <n v="0"/>
  </r>
  <r>
    <n v="21"/>
    <x v="4"/>
    <x v="16"/>
    <s v="QnM"/>
    <x v="20"/>
    <s v="The institution provides seed money to its teachers for research _x000a_(Average per year) _x000a_3.1.2.1: The amount of seed money provided by institution to its teachers for research year wise during last five years (INR in lakhs) _x000a_"/>
    <n v="8"/>
    <n v="14"/>
    <n v="129"/>
    <n v="0"/>
    <n v="0"/>
  </r>
  <r>
    <n v="22"/>
    <x v="4"/>
    <x v="16"/>
    <s v="QnM"/>
    <x v="21"/>
    <s v="Percentage of teachers awarded national / international fellowship for advanced studies/research during the last five years _x000a_3.1.3.1: The number of teachers awarded national / international fellowship for advanced studies / research year wise during last five years"/>
    <n v="6"/>
    <m/>
    <m/>
    <n v="0.06"/>
    <n v="0"/>
  </r>
  <r>
    <n v="23"/>
    <x v="4"/>
    <x v="16"/>
    <s v="QnM"/>
    <x v="22"/>
    <s v="Grants received from Government and non-governmental agencies for research projects, endowments, Chairs in the institution during the last five years (INR in Lakhs) _x000a_3.2.1.1: Total Grants from Government and non-governmental agencies for research projects , endowments, Chairs in the institution during the last five years (INR in Lakhs)_x000a_"/>
    <n v="2"/>
    <n v="10"/>
    <m/>
    <n v="116.67"/>
    <n v="4"/>
  </r>
  <r>
    <n v="24"/>
    <x v="4"/>
    <x v="16"/>
    <s v="QnM"/>
    <x v="23"/>
    <s v="Percentage of teachers having research projects during the last five years _x000a__x000a_3.2.2.1: Number of teachers having research projects during the last five years _x000a_"/>
    <n v="2"/>
    <m/>
    <m/>
    <n v="1.02"/>
    <n v="0"/>
  </r>
  <r>
    <n v="25"/>
    <x v="4"/>
    <x v="17"/>
    <s v="QnM"/>
    <x v="24"/>
    <s v="Percentage of teachers recognised as research guides _x000a_3.2.3.1: Number of teachers recognised as research guides"/>
    <n v="3"/>
    <m/>
    <m/>
    <n v="3.03"/>
    <n v="0"/>
  </r>
  <r>
    <n v="26"/>
    <x v="4"/>
    <x v="17"/>
    <s v="QnM"/>
    <x v="25"/>
    <s v="Average percentage of departments having Research projects funded by government and non-government agencies during the last five years _x000a__x000a_3.2.4.1: Number of departments having Research projects funded by government and non-government agencies during the last five years "/>
    <n v="3"/>
    <m/>
    <m/>
    <n v="43.57"/>
    <n v="2"/>
  </r>
  <r>
    <n v="27"/>
    <x v="4"/>
    <x v="18"/>
    <s v="QnM"/>
    <x v="26"/>
    <s v="Number of workshops/seminars conducted on Research Methodology, Intellectual Property Rights (IPR), entrepreneurship and skills development during the last five years _x000a_3.3.2.1: Total number of workshops/seminars conducted on Research Methodology, Intellectual Property Rights (IPR) and entrepreneurship and skills development year wise during last five years "/>
    <n v="5"/>
    <n v="5"/>
    <m/>
    <n v="43"/>
    <n v="2"/>
  </r>
  <r>
    <n v="28"/>
    <x v="4"/>
    <x v="18"/>
    <s v="QnM"/>
    <x v="27"/>
    <s v="The Institution ensures implementation of its stated Code of Ethics for research through the following: _x000a_1. Inclusion of research ethics in the research methodology course work _x000a_2. Presence of Ethics committee _x000a_3. Plagiarism check through software _x000a_4. Research Advisory Committee"/>
    <n v="5"/>
    <n v="30"/>
    <m/>
    <s v="C"/>
    <n v="2"/>
  </r>
  <r>
    <n v="29"/>
    <x v="5"/>
    <x v="19"/>
    <s v="QnM"/>
    <x v="28"/>
    <s v="Number of Ph.D’s registered per teacher (as per the data given w.r.t recognized Ph.D guides/ supervisors provided at 3.2.3 metric) during the last five years _x000a__x000a_3.4.2.1: How many Ph.Ds are registered within last 5 years _x000a_3.4.2.2 : Number of teachers recognized as guides during the last five years "/>
    <n v="5"/>
    <m/>
    <m/>
    <n v="0"/>
    <n v="0"/>
  </r>
  <r>
    <n v="30"/>
    <x v="5"/>
    <x v="20"/>
    <s v="QnM"/>
    <x v="29"/>
    <s v="Number of research papers per teacher in the Journals notified on UGC website during the last five years _x000a__x000a_3.4.3.1: Number of research papers in the Journals notified on UGC website during the last five _x000a_"/>
    <n v="5"/>
    <m/>
    <m/>
    <n v="2.11"/>
    <n v="0"/>
  </r>
  <r>
    <n v="31"/>
    <x v="5"/>
    <x v="20"/>
    <s v="QnM"/>
    <x v="30"/>
    <s v="Number of books and chapters in edited volumes / books published per teacher during the last five years _x000a__x000a_3.4.4.1: Total number of books and chapters in edited volumes / books published, and papers in national/international conference-proceedings year wise during last five years"/>
    <n v="5"/>
    <m/>
    <m/>
    <n v="0.22"/>
    <n v="0"/>
  </r>
  <r>
    <n v="32"/>
    <x v="5"/>
    <x v="21"/>
    <s v="QnM"/>
    <x v="31"/>
    <s v="Bibliometrics of the publications during the last five years based on average Citation index in Scopus/ Web of Science/ PubMed _x000a__x000a_3.4.5.1:  Total number of Citations in Scopus in 5 years _x000a_              Total number of Citations in Web of Science in 5 years _x000a__x000a_3.4.5.2 : Total number of Publications in Scopus in 5 years _x000a_              Total number of Publications in Web of Science in 5 years  _x000a_"/>
    <n v="5"/>
    <m/>
    <m/>
    <n v="1.81"/>
    <n v="0"/>
  </r>
  <r>
    <n v="33"/>
    <x v="6"/>
    <x v="22"/>
    <s v="QnM"/>
    <x v="32"/>
    <s v="ibliometrics of the publications during the last five years based on Scopus/ Web of Science – h-index of the Institution _x000a__x000a_3.4.6.1: h-index of Scopus during the last five years _x000a__x000a_h-index of Web of Science during the last five years "/>
    <n v="5"/>
    <m/>
    <m/>
    <n v="8"/>
    <n v="0"/>
  </r>
  <r>
    <n v="34"/>
    <x v="6"/>
    <x v="22"/>
    <s v="QnM"/>
    <x v="33"/>
    <s v="Revenue generated from consultancy and corporate training during the last five years (INR in Lakhs) _x000a__x000a_3.5.1.1: Total amount generated from consultancy and corporate training year wise during last five years (INR in lakhs) "/>
    <n v="5"/>
    <n v="10"/>
    <m/>
    <n v="0"/>
    <n v="0"/>
  </r>
  <r>
    <n v="35"/>
    <x v="7"/>
    <x v="23"/>
    <s v="QnM"/>
    <x v="34"/>
    <s v="Total amount spent on developing facilities, training teachers and staff for undertaking consultancy during the last five years _x000a__x000a_3.5.2.1: Total amount spent on developing facilities, training teachers and staff for undertaking consultancy during the last five years _x000a_"/>
    <n v="5"/>
    <m/>
    <m/>
    <n v="0"/>
    <n v="0"/>
  </r>
  <r>
    <n v="36"/>
    <x v="7"/>
    <x v="23"/>
    <s v="QnM"/>
    <x v="35"/>
    <s v="Number of awards and recognition received by the Institution, its teachers and students for extension activities from Government / Government recognised bodies during last five years _x000a__x000a_3.6.2.1: Total number of awards and recognition received for extension activities from Government /recognised bodies year wise during last five years _x000a_"/>
    <n v="15"/>
    <n v="40"/>
    <m/>
    <n v="0"/>
    <n v="0"/>
  </r>
  <r>
    <n v="37"/>
    <x v="7"/>
    <x v="23"/>
    <s v="QnM"/>
    <x v="36"/>
    <s v="Number of extension and outreach programs conducted by the institution through NSS/NCC/Red cross/YRC etc., during the last five years ( including Government initiated programs such as Swachh Bharat, Aids Awareness, Gender Issue, etc. and those organised in collaboration with industry, community and NGOs) _x000a__x000a_3.6.3.1: Number of extension and outreach programs conducted in collaboration with industry, community and Non-Government Organisations through NSS/NCC/Red cross/YRC etc., year wise during last five years_x000a_"/>
    <n v="10"/>
    <m/>
    <m/>
    <n v="85"/>
    <n v="4"/>
  </r>
  <r>
    <n v="38"/>
    <x v="7"/>
    <x v="23"/>
    <s v="QnM"/>
    <x v="37"/>
    <s v="Average percentage of students participating in extension activities listed at 3.6.3 above during the last five years _x000a__x000a_3.6.4.1: Total number of students participating in extension activities with Government Organisations, Non-Government Organisations and Programmes such as Swachh Bharat, Aids Awareness, Gender Issue, etc. year wise during last five years _x000a_"/>
    <n v="15"/>
    <m/>
    <m/>
    <n v="83.05"/>
    <n v="4"/>
  </r>
  <r>
    <n v="39"/>
    <x v="7"/>
    <x v="23"/>
    <s v="QnM"/>
    <x v="38"/>
    <s v="Number of Collaborative activities per year for research/ faculty exchange/ student exchange/ internship/ on –the-job training/ project work _x000a__x000a_3.7.1.1: Total number of Collaborative activities per year for research/ faculty exchange/ student exchange/ internship/ on –the-job training/ project work  _x000a__x000a_"/>
    <n v="10"/>
    <n v="20"/>
    <m/>
    <n v="0"/>
    <n v="0"/>
  </r>
  <r>
    <n v="40"/>
    <x v="7"/>
    <x v="23"/>
    <s v="QnM"/>
    <x v="39"/>
    <s v="Number of functional MoUs with institutions of national, international importance, other universities, industries, corporate houses etc. during the last five years (only functional MoUs with ongoing activities to be considered) _x000a__x000a_3.7.2.1: Number of functional MoUs with institutions of national, international importance, other Institutions, industries, corporate houses etc. year wise during last five years  _x000a_Data Template_x000a_"/>
    <n v="10"/>
    <m/>
    <m/>
    <n v="55"/>
    <n v="2"/>
  </r>
  <r>
    <n v="41"/>
    <x v="7"/>
    <x v="23"/>
    <s v="QnM"/>
    <x v="40"/>
    <s v="Percentage of classrooms and seminar halls with ICT – enabled facilities such as smart class, LMS, etc. (Data for the latest completed academic year) _x000a__x000a_4.1.3.1: Number of classrooms and seminar halls with ICT facilities _x000a_"/>
    <n v="10"/>
    <n v="20"/>
    <n v="67"/>
    <n v="47.62"/>
    <n v="2"/>
  </r>
  <r>
    <n v="42"/>
    <x v="7"/>
    <x v="23"/>
    <s v="QnM"/>
    <x v="41"/>
    <s v="Average percentage of expenditure for infrastructure augmentation excluding salary during the last five years (INR in Lakhs) _x000a__x000a_4.1.4.1: Expenditure for infrastructure augmentation, excluding salary year wise during last five years (INR in lakhs) _x000a_"/>
    <n v="10"/>
    <m/>
    <m/>
    <n v="11.5"/>
    <n v="0"/>
  </r>
  <r>
    <n v="43"/>
    <x v="7"/>
    <x v="23"/>
    <s v="QnM"/>
    <x v="42"/>
    <s v="Institution has access to the following: _x000a_1. e-journals _x000a_2. e-ShodhSindhu _x000a_3. Shodhganga Membership _x000a_4. e-books _x000a_5. Databases _x000a_6. Remote access to e-resources_x000a_"/>
    <n v="5"/>
    <n v="15"/>
    <m/>
    <s v="A"/>
    <n v="4"/>
  </r>
  <r>
    <n v="44"/>
    <x v="7"/>
    <x v="23"/>
    <s v="QnM"/>
    <x v="43"/>
    <s v="Average annual expenditure for purchase of books/ e-books and subscription to journals/e-journals during the last five years (INR in Lakhs) _x000a__x000a_4.2.3.1: Annual expenditure for purchase of books / e-books and subscription to journals/e-journals year wise during last five years (INR in lakhs)  _x000a_"/>
    <n v="5"/>
    <m/>
    <m/>
    <n v="11.52"/>
    <n v="0"/>
  </r>
  <r>
    <n v="45"/>
    <x v="7"/>
    <x v="23"/>
    <s v="QnM"/>
    <x v="44"/>
    <s v="Percentage per day usage of library by teachers and students ( foot falls and login data for online access) _x000a__x000a_4.2.6.1: Number of teachers and students using library per day over last one year _x000a_"/>
    <n v="5"/>
    <m/>
    <m/>
    <n v="12.21"/>
    <n v="0"/>
  </r>
  <r>
    <n v="46"/>
    <x v="7"/>
    <x v="23"/>
    <s v="QnM"/>
    <x v="45"/>
    <s v="Student - Computer ratio(Data for the latest completed academic year) _x000a_"/>
    <n v="8"/>
    <n v="22"/>
    <m/>
    <n v="0.1673611111111111"/>
    <n v="0"/>
  </r>
  <r>
    <n v="47"/>
    <x v="7"/>
    <x v="23"/>
    <s v="QnM"/>
    <x v="46"/>
    <s v="Bandwidth of internet connection in the Institution _x000a_Options: _x000a_A. ≥50 MBPS _x000a_B. 35 MBPS - 50 MBPS _x000a_C. 20 MBPS - 35 MBPS Opt One _x000a_D. 5 MBPS - 20 MBPS _x000a_E. &lt;5 MBPS _x000a_"/>
    <n v="10"/>
    <m/>
    <m/>
    <n v="50"/>
    <n v="2"/>
  </r>
  <r>
    <n v="48"/>
    <x v="7"/>
    <x v="23"/>
    <s v="QnM"/>
    <x v="47"/>
    <s v="Institution has Facilities for e-content development _x000a_Facilities available for e-content development : _x000a_1. Media centre _x000a_2. Audio visual centre, _x000a_3. Lecture Capturing System(LCS) _x000a_4. Mixing equipment's and software's for editing  _x000a__x000a_"/>
    <n v="4"/>
    <m/>
    <m/>
    <s v="D"/>
    <n v="1"/>
  </r>
  <r>
    <n v="49"/>
    <x v="7"/>
    <x v="23"/>
    <s v="QnM"/>
    <x v="48"/>
    <s v="Average percentage expenditure incurred on maintenance of physical facilities and academic support facilities excluding salary component, during the last five years _x000a_4.4.1.1: Expenditure incurred on maintenance of physical facilities and academic support facilities excluding salary component year wise during last five years (INR in lakhs) "/>
    <n v="10"/>
    <n v="10"/>
    <m/>
    <n v="9.51"/>
    <n v="0"/>
  </r>
  <r>
    <n v="50"/>
    <x v="7"/>
    <x v="23"/>
    <s v="QnM"/>
    <x v="49"/>
    <s v="Average percentage of students benefited by scholarships and _x000a_freeships provided by the Government during the last five years _x000a__x000a_5.1.1.1: Number of students benefited by scholarships and freeships provided by the Government year wise during last five years _x000a_"/>
    <n v="6"/>
    <n v="30"/>
    <n v="85"/>
    <n v="48"/>
    <n v="2"/>
  </r>
  <r>
    <n v="51"/>
    <x v="7"/>
    <x v="23"/>
    <s v="QnM"/>
    <x v="50"/>
    <s v="Average percentage of students benefited by scholarships, freeships, etc. provided by the institution and non-government agencies during the last five years _x000a__x000a_5.1.2.1: Total number of students benefited by scholarships, freeships, etc provided by the institution and non-government agencies year wise during last five years "/>
    <n v="5"/>
    <m/>
    <m/>
    <n v="0"/>
    <n v="0"/>
  </r>
  <r>
    <n v="52"/>
    <x v="7"/>
    <x v="23"/>
    <s v="QnM"/>
    <x v="51"/>
    <s v="Following Capacity development and skills enhancement activities are organised for improving students capability _x000a_1. Soft skills _x000a_2. Language and communication skills _x000a_3. Life skills (Yoga, physical fitness, health and hygiene) _x000a_4. Awareness of trends in technology"/>
    <n v="8"/>
    <m/>
    <m/>
    <s v="B"/>
    <n v="3"/>
  </r>
  <r>
    <n v="53"/>
    <x v="7"/>
    <x v="23"/>
    <s v="QnM"/>
    <x v="52"/>
    <s v="Average percentage of students benefited by guidance for competitive examinations and career counselling offered by the institution during the last five years _x000a__x000a_5.1.4.1: Number of students benefited by guidance for competitive examinations and career counselling offered by the institution year wise during last five years "/>
    <n v="6"/>
    <m/>
    <m/>
    <n v="3.49"/>
    <n v="0"/>
  </r>
  <r>
    <n v="54"/>
    <x v="7"/>
    <x v="23"/>
    <s v="QnM"/>
    <x v="53"/>
    <s v="The institution adopts the following for redressal of student grievances including sexual harassment and ragging cases _x000a__x000a_1. Implementation of guidelines of statutory/regulatory bodies _x000a_2. Organisation wide awareness and undertakings on policies with zero tolerance _x000a_3. Mechanisms for submission of online/offline students’ grievances _x000a_4. Timely redressal of the grievances through appropriate committees _x000a_"/>
    <n v="5"/>
    <m/>
    <m/>
    <s v="B"/>
    <n v="3"/>
  </r>
  <r>
    <n v="55"/>
    <x v="7"/>
    <x v="23"/>
    <s v="QnM"/>
    <x v="54"/>
    <s v="Average percentage of placement of outgoing students during the last five years _x000a__x000a_5.2.1.1: Number of outgoing students placed year wise during last five years"/>
    <n v="10"/>
    <n v="30"/>
    <m/>
    <n v="44.94"/>
    <n v="2"/>
  </r>
  <r>
    <n v="56"/>
    <x v="7"/>
    <x v="23"/>
    <s v="QnM"/>
    <x v="55"/>
    <s v="Percentage of student progression to higher education (previous graduating batch) _x000a__x000a_5.2.2.1: Number of outgoing students progressing to higher education _x000a_Data Requirements: (As per Data Template) _x000a_Number of students proceeding from _x000a_UG to PG:. _x000a_PG to MPhil: _x000a_PG to PhD: _x000a_MPhil to PhD: _x000a_PhD to Post doctoral: "/>
    <n v="10"/>
    <m/>
    <m/>
    <n v="7.46"/>
    <n v="0"/>
  </r>
  <r>
    <n v="57"/>
    <x v="7"/>
    <x v="23"/>
    <s v="QnM"/>
    <x v="56"/>
    <s v="Average percentage of students qualifying in state/ national/ international level examinations during the last five years _x000a_(eg: IIT/JAM/NET/SLET/GATE/GMAT/CAT/ GRE/TOEFL/Civil Services/State government examinations etc.) _x000a__x000a_5.2.3.1: Number of students qualifying in state/ national/ international level examinations (eg: IIT/JAM/NET/SLET/GATE/GMAT/CAT/ GRE/TOEFL/Civil Services/State government examinations) year wise during last five years  _x000a__x000a_5.2.3.2: Number of students appearing in state/ national/ international level examinations (eg: IIT/JAM/ NET/SLET/GATE/GMAT/CAT, GRE/TOEFL/Civil Services/State government examinations) year wise during last five years  _x000a_"/>
    <n v="10"/>
    <m/>
    <m/>
    <n v="100"/>
    <n v="4"/>
  </r>
  <r>
    <n v="58"/>
    <x v="7"/>
    <x v="23"/>
    <s v="QnM"/>
    <x v="57"/>
    <s v="Number of awards/medals for outstanding performance in sports/cultural activities at inter-university / state /national / international events (award for a team event should be counted as one) during the last five years _x000a__x000a_5.3.1.1: Number of awards/medals for outstanding performance in sports/cultural activities at inter-university / state / national / international level (award for a team event should be counted as one) year wise during last five years "/>
    <n v="10"/>
    <n v="20"/>
    <m/>
    <n v="27"/>
    <n v="1"/>
  </r>
  <r>
    <n v="59"/>
    <x v="7"/>
    <x v="23"/>
    <s v="QnM"/>
    <x v="58"/>
    <s v="Average number of sports and cultural events / competitions organised by the institution per year _x000a__x000a_5.3.3.1: Number of sports and cultural events / competitions organised by the institution year wise during last five years  _x000a_"/>
    <n v="10"/>
    <m/>
    <m/>
    <n v="22.8"/>
    <n v="1"/>
  </r>
  <r>
    <n v="60"/>
    <x v="7"/>
    <x v="23"/>
    <s v="QnM"/>
    <x v="59"/>
    <s v="Alumni financial contribution during the last five years (in INR) _x000a_Options: _x000a_A. ≥ 15 Lakhs _x000a_B. 10Lakhs - 15 Lakhs _x000a_C. 5 Lakhs - 10 Lakhs _x000a_D. 2 Lakhs - 5 "/>
    <n v="5"/>
    <n v="5"/>
    <m/>
    <s v="D"/>
    <n v="1"/>
  </r>
  <r>
    <n v="61"/>
    <x v="7"/>
    <x v="23"/>
    <s v="QnM"/>
    <x v="60"/>
    <s v="Implementation of e-governance in areas of operation: _x000a_1. Administration _x000a_2. Finance and Accounts _x000a_3. Student Admission and Support _x000a_4. Examination "/>
    <n v="4"/>
    <n v="4"/>
    <n v="50"/>
    <s v="B"/>
    <n v="3"/>
  </r>
  <r>
    <n v="62"/>
    <x v="7"/>
    <x v="23"/>
    <s v="QnM"/>
    <x v="61"/>
    <s v="Average percentage of teachers provided with financial support to attend conferences / workshops and towards membership fee of professional bodies during the last five years _x000a_6.3.2.1: Number of teachers provided with financial support to attend conferences / workshops and towards membership fee of professional bodies year wise during last five years "/>
    <n v="8"/>
    <n v="26"/>
    <m/>
    <n v="42.41"/>
    <n v="2"/>
  </r>
  <r>
    <n v="63"/>
    <x v="7"/>
    <x v="23"/>
    <s v="QnM"/>
    <x v="62"/>
    <s v="Average number of professional development / administrative training programs organized by the Institution for teaching and non teaching staff during the last five years _x000a_6.3.3.1: Total number of professional development / administrative training Programmes organized by the Institution for teaching and non teaching staff year wise during last five  years"/>
    <n v="8"/>
    <m/>
    <m/>
    <n v="51.2"/>
    <n v="2"/>
  </r>
  <r>
    <n v="64"/>
    <x v="7"/>
    <x v="23"/>
    <s v="QnM"/>
    <x v="63"/>
    <s v="Average percentage of teachers undergoing online/ face-to-face Faculty Development Programmes during the last five years _x000a_(Professional Development Programmes, Orientation / Induction Programmes, Refresher Course, Short Term Course etc.,) _x000a__x000a_6.3.4.1: Total number of teachers attending professional development Programmes, viz., Orientation Programme, Refresher Course, Short Term Course, Faculty Development Programmes year wise during last five years. _x000a_"/>
    <n v="10"/>
    <m/>
    <m/>
    <n v="21.4"/>
    <n v="1"/>
  </r>
  <r>
    <n v="65"/>
    <x v="7"/>
    <x v="23"/>
    <s v="QnM"/>
    <x v="64"/>
    <s v="Funds / Grants received from non-government bodies, individuals, philanthropists during the last five years (not covered in Criterion III and V) (INR in Lakhs) _x000a_6.4.2.1: Total Grants received from non-government bodies, individuals, philanthropists year wise during last five years (INR in Lakhs)_x000a_"/>
    <n v="10"/>
    <n v="10"/>
    <m/>
    <n v="5.99"/>
    <n v="0"/>
  </r>
  <r>
    <n v="66"/>
    <x v="7"/>
    <x v="23"/>
    <s v="QnM"/>
    <x v="65"/>
    <s v="Quality assurance initiatives of the institution include: _x000a_1. Regular meeting of Internal Quality Assurance Cell (IQAC); Feedback collected, analysed and used for improvements _x000a_2. Collaborative quality initiatives with other institution(s) _x000a_3. Participation in NIRF _x000a_4. Any other quality audit recognized by state, national or international agencies (ISO Certification) _x000a_"/>
    <n v="10"/>
    <n v="10"/>
    <m/>
    <s v="A"/>
    <n v="4"/>
  </r>
  <r>
    <n v="67"/>
    <x v="7"/>
    <x v="23"/>
    <s v="QnM"/>
    <x v="66"/>
    <s v="The Institution has facilities for alternate sources of energy and energy conservation measures _x000a_1. Solar energy _x000a_2. Biogas plant _x000a_3. Wheeling to the Grid _x000a_4. Sensor-based energy conservation _x000a_5. Use of LED bulbs/ power efficient equipment _x000a_  _x000a_"/>
    <n v="5"/>
    <n v="27"/>
    <n v="27"/>
    <s v="A"/>
    <n v="4"/>
  </r>
  <r>
    <n v="68"/>
    <x v="7"/>
    <x v="23"/>
    <s v="QnM"/>
    <x v="67"/>
    <s v="Water conservation facilities available in the Institution: _x000a_1. Rain water harvesting _x000a_2. Borewell /Open well recharge _x000a_3. Construction of tanks and bunds _x000a_4. Waste water recycling _x000a_5. Maintenance of water bodies and distribution system in the campus  _x000a_"/>
    <n v="4"/>
    <m/>
    <m/>
    <s v="C"/>
    <n v="2"/>
  </r>
  <r>
    <n v="69"/>
    <x v="7"/>
    <x v="23"/>
    <s v="QnM"/>
    <x v="68"/>
    <s v="Green campus initiatives include (4) _x000a_7.1.5.1. The institutional initiatives for greening the campus are as follows: _x000a_1. Restricted entry of automobiles _x000a_2. Use of Bicycles/ Battery powered vehicles _x000a_3. Pedestrian Friendly pathways _x000a_4. Ban on use of Plastic _x000a_5. landscaping with trees and plants _x000a_"/>
    <n v="4"/>
    <m/>
    <m/>
    <s v="B"/>
    <n v="3"/>
  </r>
  <r>
    <n v="70"/>
    <x v="7"/>
    <x v="23"/>
    <s v="QnM"/>
    <x v="69"/>
    <s v="Quality audits on environment and energy are regularly undertaken by the institution (5) _x000a_7.1.7.1. The institutional environment and energy initiatives are confirmed through the following _x000a_1.Green audit _x000a_2. Energy audit _x000a_3.Environment audit _x000a_4.Clean and green campus recognitions/awards _x000a_5. Beyond the campus environmental promotional activities  _x000a__x000a_"/>
    <n v="5"/>
    <m/>
    <m/>
    <s v="D"/>
    <n v="4"/>
  </r>
  <r>
    <n v="71"/>
    <x v="7"/>
    <x v="23"/>
    <s v="QnM"/>
    <x v="70"/>
    <s v="The Institution has disabled-friendly, barrier free environment _x000a_1. Built environment with ramps/lifts for easy access to classrooms. _x000a_2. Disabled-friendly washrooms _x000a_3. Signage including tactile path, lights, display boards and signposts _x000a_4. Assistive technology and facilities for persons with disabilities ( Divyangjan) accessible website, screen-reading software, mechanized equipment _x000a_5. Provision for enquiry and information : Human assistance, reader, scribe, soft      copies of reading material, screen reading _x000a_"/>
    <n v="4"/>
    <m/>
    <m/>
    <s v="D"/>
    <n v="1"/>
  </r>
  <r>
    <n v="72"/>
    <x v="7"/>
    <x v="23"/>
    <s v="QnM"/>
    <x v="71"/>
    <s v="The Institution has a prescribed code of conduct for students, teachers, administrators and other staff and conducts periodic programmes in this regard. _x000a_1. The Code of Conduct is displayed on the website _x000a_2. There is a committee to monitor adherence to the Code of Conduct _x000a_3. Institution organizes professional ethics programmes for students, teachers,  administrators and other staff _x000a_4. Annual awareness programmes on Code of Conduct are organized _x000a_"/>
    <n v="5"/>
    <m/>
    <m/>
    <s v="C"/>
    <n v="4"/>
  </r>
</pivotCacheRecords>
</file>

<file path=xl/pivotCache/pivotCacheRecords5.xml><?xml version="1.0" encoding="utf-8"?>
<pivotCacheRecords xmlns="http://schemas.openxmlformats.org/spreadsheetml/2006/main" xmlns:r="http://schemas.openxmlformats.org/officeDocument/2006/relationships" count="72">
  <r>
    <n v="1"/>
    <s v="1. Curricular Aspects"/>
    <s v="1.2 Academic Flexibility"/>
    <s v="QnM"/>
    <x v="0"/>
    <s v="Percentage of Programmes where syllabus revision was carried out during the last five years _x000a__x000a_1.1.2.1: How many Programmes were revised out of total number of Programmes offered during the same period within last five years? _x000a_1.1.2.2 : Number of all Programmes offered by the institution during the last five years_x000a_"/>
    <n v="20"/>
    <n v="30"/>
    <n v="120"/>
    <n v="92.86"/>
    <n v="4"/>
  </r>
  <r>
    <n v="2"/>
    <s v="1. Curricular Aspects"/>
    <s v="1.2 Academic Flexibility"/>
    <s v="QnM"/>
    <x v="1"/>
    <s v="Average percentage of courses having focus on employability/ entrepreneurship/ skill development offered by the institution during the last five years _x000a__x000a_1.1.3.1: Number of courses having focus on employability/ entrepreneurship/ skill development year wise during last five years _x000a_"/>
    <n v="10"/>
    <m/>
    <m/>
    <n v="84.19"/>
    <n v="4"/>
  </r>
  <r>
    <n v="3"/>
    <s v="1. Curricular Aspects"/>
    <s v="1.3 Curriculum Enrichment"/>
    <s v="QnM"/>
    <x v="2"/>
    <s v="Percentage of new courses introduced of the total number of courses across all programs offered during the last five years _x000a__x000a_1.2.1.1: How many new courses are introduced within the last five years _x000a_1.2.1.2 : Number of courses offered by the institution across all Programmes during the last five years _x000a_"/>
    <n v="20"/>
    <n v="40"/>
    <m/>
    <n v="38.71"/>
    <n v="1"/>
  </r>
  <r>
    <n v="4"/>
    <s v="1. Curricular Aspects"/>
    <s v="1.4 Feedback System"/>
    <s v="QnM"/>
    <x v="3"/>
    <s v="Percentage of Programmes in which Choice Based Credit System (CBCS)/elective course system has been implemented (Data for the latest completed academic year ) _x000a__x000a_1.2.2.1: Number of Programmes in which CBCS/Elective course system implemented._x000a_"/>
    <n v="20"/>
    <m/>
    <m/>
    <n v="81.25"/>
    <n v="4"/>
  </r>
  <r>
    <n v="5"/>
    <s v="2. Teaching-Learning and Evaluation"/>
    <s v="2.1 Student Enrolment and Profile"/>
    <s v="QnM"/>
    <x v="4"/>
    <s v="Number of value-added courses for imparting transferable and life skills offered during last five years _x000a__x000a_1.3.2.1: How many new value-added courses are added within the last 5 years _x000a_"/>
    <n v="10"/>
    <n v="30"/>
    <m/>
    <n v="87"/>
    <n v="4"/>
  </r>
  <r>
    <n v="6"/>
    <s v="2. Teaching-Learning and Evaluation"/>
    <s v="2.1 Student Enrolment and Profile"/>
    <s v="QnM"/>
    <x v="5"/>
    <s v="Average Percentage of students enrolled in the courses under 1.3.2 above _x000a__x000a_1.3.3.1: Number of students enrolled in value added courses (beyond the curriculum) offered year wise during last five year_x000a_"/>
    <n v="10"/>
    <m/>
    <m/>
    <n v="32.64"/>
    <n v="1"/>
  </r>
  <r>
    <n v="7"/>
    <s v="2. Teaching-Learning and Evaluation"/>
    <s v="2.2 Student Teacher Ratio"/>
    <s v="QnM"/>
    <x v="6"/>
    <s v="Percentage of students undertaking field projects/ internships / student projects (Data for the latest completed academic year) _x000a__x000a_1.3.4.1: Number of students undertaking field projects / internships / student projects "/>
    <n v="10"/>
    <m/>
    <m/>
    <n v="61.81"/>
    <n v="3"/>
  </r>
  <r>
    <n v="8"/>
    <s v="2. Teaching-Learning and Evaluation"/>
    <s v="2.4 Teacher Profile and Quality"/>
    <s v="QnM"/>
    <x v="7"/>
    <s v="Structured feedback for design and review of syllabus ( semester wise / year wise) is obtained from 1) Students, 2) Teachers, 3) Employers, 4) Alumni _x000a_"/>
    <n v="10"/>
    <n v="20"/>
    <m/>
    <s v="B"/>
    <n v="3"/>
  </r>
  <r>
    <n v="9"/>
    <s v="2. Teaching-Learning and Evaluation"/>
    <s v="2.4 Teacher Profile and Quality"/>
    <s v="QnM"/>
    <x v="8"/>
    <s v="The feedback system of the Institution comprises of the following : _x000a_A. Feedback collected, analysed and action taken and report made available on website _x000a_B. Feedback collected, analysed and action taken _x000a_C. Feedback collected and analysed _x000a_D. Feedback collected _x000a_E. Feedback not obtained _x000a__x000a_"/>
    <n v="10"/>
    <m/>
    <m/>
    <s v="C"/>
    <n v="2"/>
  </r>
  <r>
    <n v="10"/>
    <s v="2. Teaching-Learning and Evaluation"/>
    <s v="2.6 Student Performance and Learning Outcomes"/>
    <s v="QnM"/>
    <x v="9"/>
    <s v="Average Enrolment percentage (Average of last five years) _x000a__x000a_2.1.1.1: Number of students admitted year wise during last five years _x000a_2.1.1.2: Number of sanctioned seats year wise during last five years "/>
    <n v="10"/>
    <n v="20"/>
    <n v="200"/>
    <n v="85.42"/>
    <n v="4"/>
  </r>
  <r>
    <n v="11"/>
    <s v="2. Teaching-Learning and Evaluation"/>
    <s v="2.7 Student Satisfaction Survey"/>
    <s v="QnM"/>
    <x v="10"/>
    <s v="Average percentage of seats filled against reserved categories (SC, ST, OBC, Divyangjan, etc. as per applicable reservation policy ) during the last five years  ( exclusive of supernumerary seats) _x000a__x000a_2.1.2.1: Number of actual students admitted from the reserved categories year wise during last five years"/>
    <n v="10"/>
    <m/>
    <m/>
    <n v="97.91"/>
    <n v="4"/>
  </r>
  <r>
    <n v="12"/>
    <s v="3. Research, Innovations and Extension"/>
    <s v="3.1 Resource Mobilization for Research"/>
    <s v="QnM"/>
    <x v="11"/>
    <s v="Student - Full time teacher ratio (Data for the latest completed academic year) "/>
    <n v="15"/>
    <n v="15"/>
    <m/>
    <n v="16.13"/>
    <n v="0"/>
  </r>
  <r>
    <n v="13"/>
    <s v="3. Research, Innovations and Extension"/>
    <s v="3.2 Innovation Ecosystem"/>
    <s v="QnM"/>
    <x v="12"/>
    <s v="Ratio of students to mentor for academic and other related issues (Data for the latest completed academic year ) _x000a__x000a_2.3.3.1: Number of mentors _x000a_             Number of students assigned to each Mentor"/>
    <n v="10"/>
    <n v="10"/>
    <m/>
    <n v="0.79236111111111107"/>
    <n v="0"/>
  </r>
  <r>
    <n v="14"/>
    <s v="3. Research, Innovations and Extension"/>
    <s v="3.3 Research Publications and Awards"/>
    <s v="QnM"/>
    <x v="13"/>
    <s v="Average percentage of full time teachers against sanctioned posts during the last five years _x000a_"/>
    <n v="15"/>
    <n v="50"/>
    <m/>
    <n v="99.34"/>
    <n v="4"/>
  </r>
  <r>
    <n v="15"/>
    <s v="3. Research, Innovations and Extension"/>
    <s v="3.3 Research Publications and Awards"/>
    <s v="QnM"/>
    <x v="14"/>
    <s v="Average percentage of full time teachers with Ph.D. / D.M. / M.Ch. / D.N.B Super speciality / D.Sc. / D.Litt. during the last five years _x000a_2.4.2.1: Number of full time teachers with Ph.D./ D.M. / M.Ch. / D.N.B Super speciality / D.Sc. / D.Litt. year wise during last five years _x000a_"/>
    <n v="20"/>
    <m/>
    <m/>
    <n v="11.09"/>
    <n v="0"/>
  </r>
  <r>
    <n v="16"/>
    <s v="3. Research, Innovations and Extension"/>
    <s v="3.4 Extension Activities"/>
    <s v="QnM"/>
    <x v="15"/>
    <s v="Average teaching experience of full time teachers in the same institution (Data for the latest completed academic year in number of  years_x000a__x000a_2.4.3.1: Total experience of full-time teachers "/>
    <n v="15"/>
    <m/>
    <m/>
    <n v="5.69"/>
    <n v="0"/>
  </r>
  <r>
    <n v="17"/>
    <s v="3. Research, Innovations and Extension"/>
    <s v="3.5 Collaboration"/>
    <s v="QnM"/>
    <x v="16"/>
    <s v="Average number of days from the date of last semester-end/ year- end examination till the declaration of results during the last five years _x000a__x000a_2.5.1.1: Number of days from the date of last semester-end/ year- end examination till the declaration of results year wise during the last five years_x000a_"/>
    <n v="20"/>
    <n v="35"/>
    <m/>
    <n v="21"/>
    <n v="1"/>
  </r>
  <r>
    <n v="18"/>
    <s v="4. Infrastructure and Learning Resources"/>
    <s v="4.1 Physical Facilities"/>
    <s v="QnM"/>
    <x v="17"/>
    <s v="Average percentage of student complaints/grievances about evaluation against total number appeared in the examinations during the last five years _x000a_2.5.2.1: Number of complaints/grievances about evaluation year wise during last five years "/>
    <n v="15"/>
    <m/>
    <m/>
    <n v="12.61"/>
    <n v="0"/>
  </r>
  <r>
    <n v="19"/>
    <s v="4. Infrastructure and Learning Resources"/>
    <s v="4.3 IT Infrastructure"/>
    <s v="QnM"/>
    <x v="18"/>
    <s v="Pass percentage of students (Data for the latest completed academic year) _x000a__x000a_2.6.3.1: Total number of final year students who passed the examination conducted by Institution. _x000a_2.6.3.2: Total number of final year students who appeared for the examination"/>
    <n v="20"/>
    <n v="20"/>
    <m/>
    <n v="90.9"/>
    <n v="4"/>
  </r>
  <r>
    <n v="20"/>
    <s v="4. Infrastructure and Learning Resources"/>
    <s v="4.4 Maintenance of Campus Infrastructure"/>
    <s v="QnM"/>
    <x v="19"/>
    <s v="Online student satisfaction survey regarding to teaching learning process. (Online survey to be conducted) "/>
    <n v="50"/>
    <n v="50"/>
    <m/>
    <n v="3.48"/>
    <n v="0"/>
  </r>
  <r>
    <n v="21"/>
    <s v="5. Student Support and Progression"/>
    <s v="5.1 Student Support"/>
    <s v="QnM"/>
    <x v="20"/>
    <s v="The institution provides seed money to its teachers for research _x000a_(Average per year) _x000a_3.1.2.1: The amount of seed money provided by institution to its teachers for research year wise during last five years (INR in lakhs) _x000a_"/>
    <n v="8"/>
    <n v="14"/>
    <n v="129"/>
    <n v="0"/>
    <n v="0"/>
  </r>
  <r>
    <n v="22"/>
    <s v="5. Student Support and Progression"/>
    <s v="5.1 Student Support"/>
    <s v="QnM"/>
    <x v="21"/>
    <s v="Percentage of teachers awarded national / international fellowship for advanced studies/research during the last five years _x000a_3.1.3.1: The number of teachers awarded national / international fellowship for advanced studies / research year wise during last five years"/>
    <n v="6"/>
    <m/>
    <m/>
    <n v="0.06"/>
    <n v="0"/>
  </r>
  <r>
    <n v="23"/>
    <s v="5. Student Support and Progression"/>
    <s v="5.1 Student Support"/>
    <s v="QnM"/>
    <x v="22"/>
    <s v="Grants received from Government and non-governmental agencies for research projects, endowments, Chairs in the institution during the last five years (INR in Lakhs) _x000a_3.2.1.1: Total Grants from Government and non-governmental agencies for research projects , endowments, Chairs in the institution during the last five years (INR in Lakhs)_x000a_"/>
    <n v="2"/>
    <n v="10"/>
    <m/>
    <n v="116.67"/>
    <n v="4"/>
  </r>
  <r>
    <n v="24"/>
    <s v="5. Student Support and Progression"/>
    <s v="5.1 Student Support"/>
    <s v="QnM"/>
    <x v="23"/>
    <s v="Percentage of teachers having research projects during the last five years _x000a__x000a_3.2.2.1: Number of teachers having research projects during the last five years _x000a_"/>
    <n v="2"/>
    <m/>
    <m/>
    <n v="1.02"/>
    <n v="0"/>
  </r>
  <r>
    <n v="25"/>
    <s v="5. Student Support and Progression"/>
    <s v="5.2 Student Progression"/>
    <s v="QnM"/>
    <x v="24"/>
    <s v="Percentage of teachers recognised as research guides _x000a_3.2.3.1: Number of teachers recognised as research guides"/>
    <n v="3"/>
    <m/>
    <m/>
    <n v="3.03"/>
    <n v="0"/>
  </r>
  <r>
    <n v="26"/>
    <s v="5. Student Support and Progression"/>
    <s v="5.2 Student Progression"/>
    <s v="QnM"/>
    <x v="25"/>
    <s v="Average percentage of departments having Research projects funded by government and non-government agencies during the last five years _x000a__x000a_3.2.4.1: Number of departments having Research projects funded by government and non-government agencies during the last five years "/>
    <n v="3"/>
    <m/>
    <m/>
    <n v="43.57"/>
    <n v="2"/>
  </r>
  <r>
    <n v="27"/>
    <s v="5. Student Support and Progression"/>
    <s v="5.3 Student Participation and Activities"/>
    <s v="QnM"/>
    <x v="26"/>
    <s v="Number of workshops/seminars conducted on Research Methodology, Intellectual Property Rights (IPR), entrepreneurship and skills development during the last five years _x000a_3.3.2.1: Total number of workshops/seminars conducted on Research Methodology, Intellectual Property Rights (IPR) and entrepreneurship and skills development year wise during last five years "/>
    <n v="5"/>
    <n v="5"/>
    <m/>
    <n v="43"/>
    <n v="2"/>
  </r>
  <r>
    <n v="28"/>
    <s v="5. Student Support and Progression"/>
    <s v="5.3 Student Participation and Activities"/>
    <s v="QnM"/>
    <x v="27"/>
    <s v="The Institution ensures implementation of its stated Code of Ethics for research through the following: _x000a_1. Inclusion of research ethics in the research methodology course work _x000a_2. Presence of Ethics committee _x000a_3. Plagiarism check through software _x000a_4. Research Advisory Committee"/>
    <n v="5"/>
    <n v="30"/>
    <m/>
    <s v="C"/>
    <n v="2"/>
  </r>
  <r>
    <n v="29"/>
    <s v="6. Governance, Leadership and Management"/>
    <s v="6.2 Strategy Development and Deployment"/>
    <s v="QnM"/>
    <x v="28"/>
    <s v="Number of Ph.D’s registered per teacher (as per the data given w.r.t recognized Ph.D guides/ supervisors provided at 3.2.3 metric) during the last five years _x000a__x000a_3.4.2.1: How many Ph.Ds are registered within last 5 years _x000a_3.4.2.2 : Number of teachers recognized as guides during the last five years "/>
    <n v="5"/>
    <m/>
    <m/>
    <n v="0"/>
    <n v="0"/>
  </r>
  <r>
    <n v="30"/>
    <s v="6. Governance, Leadership and Management"/>
    <s v="6.3 Faculty Empowerment Strategies"/>
    <s v="QnM"/>
    <x v="29"/>
    <s v="Number of research papers per teacher in the Journals notified on UGC website during the last five years _x000a__x000a_3.4.3.1: Number of research papers in the Journals notified on UGC website during the last five _x000a_"/>
    <n v="5"/>
    <m/>
    <m/>
    <n v="2.11"/>
    <n v="0"/>
  </r>
  <r>
    <n v="31"/>
    <s v="6. Governance, Leadership and Management"/>
    <s v="6.3 Faculty Empowerment Strategies"/>
    <s v="QnM"/>
    <x v="30"/>
    <s v="Number of books and chapters in edited volumes / books published per teacher during the last five years _x000a__x000a_3.4.4.1: Total number of books and chapters in edited volumes / books published, and papers in national/international conference-proceedings year wise during last five years"/>
    <n v="5"/>
    <m/>
    <m/>
    <n v="0.22"/>
    <n v="0"/>
  </r>
  <r>
    <n v="32"/>
    <s v="6. Governance, Leadership and Management"/>
    <s v="6.5 Internal Quality Assurance System (IQAS)"/>
    <s v="QnM"/>
    <x v="31"/>
    <s v="Bibliometrics of the publications during the last five years based on average Citation index in Scopus/ Web of Science/ PubMed _x000a__x000a_3.4.5.1:  Total number of Citations in Scopus in 5 years _x000a_              Total number of Citations in Web of Science in 5 years _x000a__x000a_3.4.5.2 : Total number of Publications in Scopus in 5 years _x000a_              Total number of Publications in Web of Science in 5 years  _x000a_"/>
    <n v="5"/>
    <m/>
    <m/>
    <n v="1.81"/>
    <n v="0"/>
  </r>
  <r>
    <n v="33"/>
    <s v="7. Institutional Values and Best Practices"/>
    <s v="7.1 Institutional Values and Social Responsibilities"/>
    <s v="QnM"/>
    <x v="32"/>
    <s v="ibliometrics of the publications during the last five years based on Scopus/ Web of Science – h-index of the Institution _x000a__x000a_3.4.6.1: h-index of Scopus during the last five years _x000a__x000a_h-index of Web of Science during the last five years "/>
    <n v="5"/>
    <m/>
    <m/>
    <n v="8"/>
    <n v="0"/>
  </r>
  <r>
    <n v="34"/>
    <s v="7. Institutional Values and Best Practices"/>
    <s v="7.1 Institutional Values and Social Responsibilities"/>
    <s v="QnM"/>
    <x v="33"/>
    <s v="Revenue generated from consultancy and corporate training during the last five years (INR in Lakhs) _x000a__x000a_3.5.1.1: Total amount generated from consultancy and corporate training year wise during last five years (INR in lakhs) "/>
    <n v="5"/>
    <n v="10"/>
    <m/>
    <n v="0"/>
    <n v="0"/>
  </r>
  <r>
    <n v="35"/>
    <m/>
    <m/>
    <s v="QnM"/>
    <x v="34"/>
    <s v="Total amount spent on developing facilities, training teachers and staff for undertaking consultancy during the last five years _x000a__x000a_3.5.2.1: Total amount spent on developing facilities, training teachers and staff for undertaking consultancy during the last five years _x000a_"/>
    <n v="5"/>
    <m/>
    <m/>
    <n v="0"/>
    <n v="0"/>
  </r>
  <r>
    <n v="36"/>
    <m/>
    <m/>
    <s v="QnM"/>
    <x v="35"/>
    <s v="Number of awards and recognition received by the Institution, its teachers and students for extension activities from Government / Government recognised bodies during last five years _x000a__x000a_3.6.2.1: Total number of awards and recognition received for extension activities from Government /recognised bodies year wise during last five years _x000a_"/>
    <n v="15"/>
    <n v="40"/>
    <m/>
    <n v="0"/>
    <n v="0"/>
  </r>
  <r>
    <n v="37"/>
    <m/>
    <m/>
    <s v="QnM"/>
    <x v="36"/>
    <s v="Number of extension and outreach programs conducted by the institution through NSS/NCC/Red cross/YRC etc., during the last five years ( including Government initiated programs such as Swachh Bharat, Aids Awareness, Gender Issue, etc. and those organised in collaboration with industry, community and NGOs) _x000a__x000a_3.6.3.1: Number of extension and outreach programs conducted in collaboration with industry, community and Non-Government Organisations through NSS/NCC/Red cross/YRC etc., year wise during last five years_x000a_"/>
    <n v="10"/>
    <m/>
    <m/>
    <n v="85"/>
    <n v="4"/>
  </r>
  <r>
    <n v="38"/>
    <m/>
    <m/>
    <s v="QnM"/>
    <x v="37"/>
    <s v="Average percentage of students participating in extension activities listed at 3.6.3 above during the last five years _x000a__x000a_3.6.4.1: Total number of students participating in extension activities with Government Organisations, Non-Government Organisations and Programmes such as Swachh Bharat, Aids Awareness, Gender Issue, etc. year wise during last five years _x000a_"/>
    <n v="15"/>
    <m/>
    <m/>
    <n v="83.05"/>
    <n v="4"/>
  </r>
  <r>
    <n v="39"/>
    <m/>
    <m/>
    <s v="QnM"/>
    <x v="38"/>
    <s v="Number of Collaborative activities per year for research/ faculty exchange/ student exchange/ internship/ on –the-job training/ project work _x000a__x000a_3.7.1.1: Total number of Collaborative activities per year for research/ faculty exchange/ student exchange/ internship/ on –the-job training/ project work  _x000a__x000a_"/>
    <n v="10"/>
    <n v="20"/>
    <m/>
    <n v="0"/>
    <n v="0"/>
  </r>
  <r>
    <n v="40"/>
    <m/>
    <m/>
    <s v="QnM"/>
    <x v="39"/>
    <s v="Number of functional MoUs with institutions of national, international importance, other universities, industries, corporate houses etc. during the last five years (only functional MoUs with ongoing activities to be considered) _x000a__x000a_3.7.2.1: Number of functional MoUs with institutions of national, international importance, other Institutions, industries, corporate houses etc. year wise during last five years  _x000a_Data Template_x000a_"/>
    <n v="10"/>
    <m/>
    <m/>
    <n v="55"/>
    <n v="2"/>
  </r>
  <r>
    <n v="41"/>
    <m/>
    <m/>
    <s v="QnM"/>
    <x v="40"/>
    <s v="Percentage of classrooms and seminar halls with ICT – enabled facilities such as smart class, LMS, etc. (Data for the latest completed academic year) _x000a__x000a_4.1.3.1: Number of classrooms and seminar halls with ICT facilities _x000a_"/>
    <n v="10"/>
    <n v="20"/>
    <n v="67"/>
    <n v="47.62"/>
    <n v="2"/>
  </r>
  <r>
    <n v="42"/>
    <m/>
    <m/>
    <s v="QnM"/>
    <x v="41"/>
    <s v="Average percentage of expenditure for infrastructure augmentation excluding salary during the last five years (INR in Lakhs) _x000a__x000a_4.1.4.1: Expenditure for infrastructure augmentation, excluding salary year wise during last five years (INR in lakhs) _x000a_"/>
    <n v="10"/>
    <m/>
    <m/>
    <n v="11.5"/>
    <n v="0"/>
  </r>
  <r>
    <n v="43"/>
    <m/>
    <m/>
    <s v="QnM"/>
    <x v="42"/>
    <s v="Institution has access to the following: _x000a_1. e-journals _x000a_2. e-ShodhSindhu _x000a_3. Shodhganga Membership _x000a_4. e-books _x000a_5. Databases _x000a_6. Remote access to e-resources_x000a_"/>
    <n v="5"/>
    <n v="15"/>
    <m/>
    <s v="A"/>
    <n v="4"/>
  </r>
  <r>
    <n v="44"/>
    <m/>
    <m/>
    <s v="QnM"/>
    <x v="43"/>
    <s v="Average annual expenditure for purchase of books/ e-books and subscription to journals/e-journals during the last five years (INR in Lakhs) _x000a__x000a_4.2.3.1: Annual expenditure for purchase of books / e-books and subscription to journals/e-journals year wise during last five years (INR in lakhs)  _x000a_"/>
    <n v="5"/>
    <m/>
    <m/>
    <n v="11.52"/>
    <n v="0"/>
  </r>
  <r>
    <n v="45"/>
    <m/>
    <m/>
    <s v="QnM"/>
    <x v="44"/>
    <s v="Percentage per day usage of library by teachers and students ( foot falls and login data for online access) _x000a__x000a_4.2.6.1: Number of teachers and students using library per day over last one year _x000a_"/>
    <n v="5"/>
    <m/>
    <m/>
    <n v="12.21"/>
    <n v="0"/>
  </r>
  <r>
    <n v="46"/>
    <m/>
    <m/>
    <s v="QnM"/>
    <x v="45"/>
    <s v="Student - Computer ratio(Data for the latest completed academic year) _x000a_"/>
    <n v="8"/>
    <n v="22"/>
    <m/>
    <n v="0.1673611111111111"/>
    <n v="0"/>
  </r>
  <r>
    <n v="47"/>
    <m/>
    <m/>
    <s v="QnM"/>
    <x v="46"/>
    <s v="Bandwidth of internet connection in the Institution _x000a_Options: _x000a_A. ≥50 MBPS _x000a_B. 35 MBPS - 50 MBPS _x000a_C. 20 MBPS - 35 MBPS Opt One _x000a_D. 5 MBPS - 20 MBPS _x000a_E. &lt;5 MBPS _x000a_"/>
    <n v="10"/>
    <m/>
    <m/>
    <n v="50"/>
    <n v="2"/>
  </r>
  <r>
    <n v="48"/>
    <m/>
    <m/>
    <s v="QnM"/>
    <x v="47"/>
    <s v="Institution has Facilities for e-content development _x000a_Facilities available for e-content development : _x000a_1. Media centre _x000a_2. Audio visual centre, _x000a_3. Lecture Capturing System(LCS) _x000a_4. Mixing equipment's and software's for editing  _x000a__x000a_"/>
    <n v="4"/>
    <m/>
    <m/>
    <s v="D"/>
    <n v="1"/>
  </r>
  <r>
    <n v="49"/>
    <m/>
    <m/>
    <s v="QnM"/>
    <x v="48"/>
    <s v="Average percentage expenditure incurred on maintenance of physical facilities and academic support facilities excluding salary component, during the last five years _x000a_4.4.1.1: Expenditure incurred on maintenance of physical facilities and academic support facilities excluding salary component year wise during last five years (INR in lakhs) "/>
    <n v="10"/>
    <n v="10"/>
    <m/>
    <n v="9.51"/>
    <n v="0"/>
  </r>
  <r>
    <n v="50"/>
    <m/>
    <m/>
    <s v="QnM"/>
    <x v="49"/>
    <s v="Average percentage of students benefited by scholarships and _x000a_freeships provided by the Government during the last five years _x000a__x000a_5.1.1.1: Number of students benefited by scholarships and freeships provided by the Government year wise during last five years _x000a_"/>
    <n v="6"/>
    <n v="30"/>
    <n v="85"/>
    <n v="48"/>
    <n v="2"/>
  </r>
  <r>
    <n v="51"/>
    <m/>
    <m/>
    <s v="QnM"/>
    <x v="50"/>
    <s v="Average percentage of students benefited by scholarships, freeships, etc. provided by the institution and non-government agencies during the last five years _x000a__x000a_5.1.2.1: Total number of students benefited by scholarships, freeships, etc provided by the institution and non-government agencies year wise during last five years "/>
    <n v="5"/>
    <m/>
    <m/>
    <n v="0"/>
    <n v="0"/>
  </r>
  <r>
    <n v="52"/>
    <m/>
    <m/>
    <s v="QnM"/>
    <x v="51"/>
    <s v="Following Capacity development and skills enhancement activities are organised for improving students capability _x000a_1. Soft skills _x000a_2. Language and communication skills _x000a_3. Life skills (Yoga, physical fitness, health and hygiene) _x000a_4. Awareness of trends in technology"/>
    <n v="8"/>
    <m/>
    <m/>
    <s v="B"/>
    <n v="3"/>
  </r>
  <r>
    <n v="53"/>
    <m/>
    <m/>
    <s v="QnM"/>
    <x v="52"/>
    <s v="Average percentage of students benefited by guidance for competitive examinations and career counselling offered by the institution during the last five years _x000a__x000a_5.1.4.1: Number of students benefited by guidance for competitive examinations and career counselling offered by the institution year wise during last five years "/>
    <n v="6"/>
    <m/>
    <m/>
    <n v="3.49"/>
    <n v="0"/>
  </r>
  <r>
    <n v="54"/>
    <m/>
    <m/>
    <s v="QnM"/>
    <x v="53"/>
    <s v="The institution adopts the following for redressal of student grievances including sexual harassment and ragging cases _x000a__x000a_1. Implementation of guidelines of statutory/regulatory bodies _x000a_2. Organisation wide awareness and undertakings on policies with zero tolerance _x000a_3. Mechanisms for submission of online/offline students’ grievances _x000a_4. Timely redressal of the grievances through appropriate committees _x000a_"/>
    <n v="5"/>
    <m/>
    <m/>
    <s v="B"/>
    <n v="3"/>
  </r>
  <r>
    <n v="55"/>
    <m/>
    <m/>
    <s v="QnM"/>
    <x v="54"/>
    <s v="Average percentage of placement of outgoing students during the last five years _x000a__x000a_5.2.1.1: Number of outgoing students placed year wise during last five years"/>
    <n v="10"/>
    <n v="30"/>
    <m/>
    <n v="44.94"/>
    <n v="2"/>
  </r>
  <r>
    <n v="56"/>
    <m/>
    <m/>
    <s v="QnM"/>
    <x v="55"/>
    <s v="Percentage of student progression to higher education (previous graduating batch) _x000a__x000a_5.2.2.1: Number of outgoing students progressing to higher education _x000a_Data Requirements: (As per Data Template) _x000a_Number of students proceeding from _x000a_UG to PG:. _x000a_PG to MPhil: _x000a_PG to PhD: _x000a_MPhil to PhD: _x000a_PhD to Post doctoral: "/>
    <n v="10"/>
    <m/>
    <m/>
    <n v="7.46"/>
    <n v="0"/>
  </r>
  <r>
    <n v="57"/>
    <m/>
    <m/>
    <s v="QnM"/>
    <x v="56"/>
    <s v="Average percentage of students qualifying in state/ national/ international level examinations during the last five years _x000a_(eg: IIT/JAM/NET/SLET/GATE/GMAT/CAT/ GRE/TOEFL/Civil Services/State government examinations etc.) _x000a__x000a_5.2.3.1: Number of students qualifying in state/ national/ international level examinations (eg: IIT/JAM/NET/SLET/GATE/GMAT/CAT/ GRE/TOEFL/Civil Services/State government examinations) year wise during last five years  _x000a__x000a_5.2.3.2: Number of students appearing in state/ national/ international level examinations (eg: IIT/JAM/ NET/SLET/GATE/GMAT/CAT, GRE/TOEFL/Civil Services/State government examinations) year wise during last five years  _x000a_"/>
    <n v="10"/>
    <m/>
    <m/>
    <n v="100"/>
    <n v="4"/>
  </r>
  <r>
    <n v="58"/>
    <m/>
    <m/>
    <s v="QnM"/>
    <x v="57"/>
    <s v="Number of awards/medals for outstanding performance in sports/cultural activities at inter-university / state /national / international events (award for a team event should be counted as one) during the last five years _x000a__x000a_5.3.1.1: Number of awards/medals for outstanding performance in sports/cultural activities at inter-university / state / national / international level (award for a team event should be counted as one) year wise during last five years "/>
    <n v="10"/>
    <n v="20"/>
    <m/>
    <n v="27"/>
    <n v="1"/>
  </r>
  <r>
    <n v="59"/>
    <m/>
    <m/>
    <s v="QnM"/>
    <x v="58"/>
    <s v="Average number of sports and cultural events / competitions organised by the institution per year _x000a__x000a_5.3.3.1: Number of sports and cultural events / competitions organised by the institution year wise during last five years  _x000a_"/>
    <n v="10"/>
    <m/>
    <m/>
    <n v="22.8"/>
    <n v="1"/>
  </r>
  <r>
    <n v="60"/>
    <m/>
    <m/>
    <s v="QnM"/>
    <x v="59"/>
    <s v="Alumni financial contribution during the last five years (in INR) _x000a_Options: _x000a_A. ≥ 15 Lakhs _x000a_B. 10Lakhs - 15 Lakhs _x000a_C. 5 Lakhs - 10 Lakhs _x000a_D. 2 Lakhs - 5 "/>
    <n v="5"/>
    <n v="5"/>
    <m/>
    <s v="D"/>
    <n v="1"/>
  </r>
  <r>
    <n v="61"/>
    <m/>
    <m/>
    <s v="QnM"/>
    <x v="60"/>
    <s v="Implementation of e-governance in areas of operation: _x000a_1. Administration _x000a_2. Finance and Accounts _x000a_3. Student Admission and Support _x000a_4. Examination "/>
    <n v="4"/>
    <n v="4"/>
    <n v="50"/>
    <s v="B"/>
    <n v="3"/>
  </r>
  <r>
    <n v="62"/>
    <m/>
    <m/>
    <s v="QnM"/>
    <x v="61"/>
    <s v="Average percentage of teachers provided with financial support to attend conferences / workshops and towards membership fee of professional bodies during the last five years _x000a_6.3.2.1: Number of teachers provided with financial support to attend conferences / workshops and towards membership fee of professional bodies year wise during last five years "/>
    <n v="8"/>
    <n v="26"/>
    <m/>
    <n v="42.41"/>
    <n v="2"/>
  </r>
  <r>
    <n v="63"/>
    <m/>
    <m/>
    <s v="QnM"/>
    <x v="62"/>
    <s v="Average number of professional development / administrative training programs organized by the Institution for teaching and non teaching staff during the last five years _x000a_6.3.3.1: Total number of professional development / administrative training Programmes organized by the Institution for teaching and non teaching staff year wise during last five  years"/>
    <n v="8"/>
    <m/>
    <m/>
    <n v="51.2"/>
    <n v="2"/>
  </r>
  <r>
    <n v="64"/>
    <m/>
    <m/>
    <s v="QnM"/>
    <x v="63"/>
    <s v="Average percentage of teachers undergoing online/ face-to-face Faculty Development Programmes during the last five years _x000a_(Professional Development Programmes, Orientation / Induction Programmes, Refresher Course, Short Term Course etc.,) _x000a__x000a_6.3.4.1: Total number of teachers attending professional development Programmes, viz., Orientation Programme, Refresher Course, Short Term Course, Faculty Development Programmes year wise during last five years. _x000a_"/>
    <n v="10"/>
    <m/>
    <m/>
    <n v="21.4"/>
    <n v="1"/>
  </r>
  <r>
    <n v="65"/>
    <m/>
    <m/>
    <s v="QnM"/>
    <x v="64"/>
    <s v="Funds / Grants received from non-government bodies, individuals, philanthropists during the last five years (not covered in Criterion III and V) (INR in Lakhs) _x000a_6.4.2.1: Total Grants received from non-government bodies, individuals, philanthropists year wise during last five years (INR in Lakhs)_x000a_"/>
    <n v="10"/>
    <n v="10"/>
    <m/>
    <n v="5.99"/>
    <n v="0"/>
  </r>
  <r>
    <n v="66"/>
    <m/>
    <m/>
    <s v="QnM"/>
    <x v="65"/>
    <s v="Quality assurance initiatives of the institution include: _x000a_1. Regular meeting of Internal Quality Assurance Cell (IQAC); Feedback collected, analysed and used for improvements _x000a_2. Collaborative quality initiatives with other institution(s) _x000a_3. Participation in NIRF _x000a_4. Any other quality audit recognized by state, national or international agencies (ISO Certification) _x000a_"/>
    <n v="10"/>
    <n v="10"/>
    <m/>
    <s v="A"/>
    <n v="4"/>
  </r>
  <r>
    <n v="67"/>
    <m/>
    <m/>
    <s v="QnM"/>
    <x v="66"/>
    <s v="The Institution has facilities for alternate sources of energy and energy conservation measures _x000a_1. Solar energy _x000a_2. Biogas plant _x000a_3. Wheeling to the Grid _x000a_4. Sensor-based energy conservation _x000a_5. Use of LED bulbs/ power efficient equipment _x000a_  _x000a_"/>
    <n v="5"/>
    <n v="27"/>
    <n v="27"/>
    <s v="A"/>
    <n v="4"/>
  </r>
  <r>
    <n v="68"/>
    <m/>
    <m/>
    <s v="QnM"/>
    <x v="67"/>
    <s v="Water conservation facilities available in the Institution: _x000a_1. Rain water harvesting _x000a_2. Borewell /Open well recharge _x000a_3. Construction of tanks and bunds _x000a_4. Waste water recycling _x000a_5. Maintenance of water bodies and distribution system in the campus  _x000a_"/>
    <n v="4"/>
    <m/>
    <m/>
    <s v="C"/>
    <n v="2"/>
  </r>
  <r>
    <n v="69"/>
    <m/>
    <m/>
    <s v="QnM"/>
    <x v="68"/>
    <s v="Green campus initiatives include (4) _x000a_7.1.5.1. The institutional initiatives for greening the campus are as follows: _x000a_1. Restricted entry of automobiles _x000a_2. Use of Bicycles/ Battery powered vehicles _x000a_3. Pedestrian Friendly pathways _x000a_4. Ban on use of Plastic _x000a_5. landscaping with trees and plants _x000a_"/>
    <n v="4"/>
    <m/>
    <m/>
    <s v="B"/>
    <n v="3"/>
  </r>
  <r>
    <n v="70"/>
    <m/>
    <m/>
    <s v="QnM"/>
    <x v="69"/>
    <s v="Quality audits on environment and energy are regularly undertaken by the institution (5) _x000a_7.1.7.1. The institutional environment and energy initiatives are confirmed through the following _x000a_1.Green audit _x000a_2. Energy audit _x000a_3.Environment audit _x000a_4.Clean and green campus recognitions/awards _x000a_5. Beyond the campus environmental promotional activities  _x000a__x000a_"/>
    <n v="5"/>
    <m/>
    <m/>
    <s v="D"/>
    <n v="4"/>
  </r>
  <r>
    <n v="71"/>
    <m/>
    <m/>
    <s v="QnM"/>
    <x v="70"/>
    <s v="The Institution has disabled-friendly, barrier free environment _x000a_1. Built environment with ramps/lifts for easy access to classrooms. _x000a_2. Disabled-friendly washrooms _x000a_3. Signage including tactile path, lights, display boards and signposts _x000a_4. Assistive technology and facilities for persons with disabilities ( Divyangjan) accessible website, screen-reading software, mechanized equipment _x000a_5. Provision for enquiry and information : Human assistance, reader, scribe, soft      copies of reading material, screen reading _x000a_"/>
    <n v="4"/>
    <m/>
    <m/>
    <s v="D"/>
    <n v="1"/>
  </r>
  <r>
    <n v="72"/>
    <m/>
    <m/>
    <s v="QnM"/>
    <x v="71"/>
    <s v="The Institution has a prescribed code of conduct for students, teachers, administrators and other staff and conducts periodic programmes in this regard. _x000a_1. The Code of Conduct is displayed on the website _x000a_2. There is a committee to monitor adherence to the Code of Conduct _x000a_3. Institution organizes professional ethics programmes for students, teachers,  administrators and other staff _x000a_4. Annual awareness programmes on Code of Conduct are organized _x000a_"/>
    <n v="5"/>
    <m/>
    <m/>
    <s v="C"/>
    <n v="4"/>
  </r>
</pivotCacheRecords>
</file>

<file path=xl/pivotCache/pivotCacheRecords6.xml><?xml version="1.0" encoding="utf-8"?>
<pivotCacheRecords xmlns="http://schemas.openxmlformats.org/spreadsheetml/2006/main" xmlns:r="http://schemas.openxmlformats.org/officeDocument/2006/relationships" count="35">
  <r>
    <n v="1"/>
    <s v="1. Curricular Aspects"/>
    <x v="0"/>
    <s v="QlM"/>
    <x v="0"/>
    <s v="Curricula developed and implemented have relevance to the local, national, regional and global developmental needs which is reflected in Programme outcomes (POs), Programme Specific outcomes (PSOs) and Course Outcomes (COs) of the Programmes offered by the Institution _x000a__x000a_Write description in maximum of 500 words _x000a_"/>
    <n v="20"/>
    <n v="30"/>
    <n v="30"/>
    <m/>
    <n v="0"/>
  </r>
  <r>
    <n v="2"/>
    <s v="1. Curricular Aspects"/>
    <x v="1"/>
    <s v="QlM"/>
    <x v="1"/>
    <s v="Institution integrates crosscutting issues relevant to Professional Ethics, Gender, Human Values, Environment and Sustainability, Human Values into the Curriculum _x000a_Write description in maximum of 500 words_x000a_ "/>
    <n v="10"/>
    <m/>
    <m/>
    <m/>
    <n v="0"/>
  </r>
  <r>
    <n v="3"/>
    <s v="2. Teaching-Learning and Evaluation"/>
    <x v="2"/>
    <s v="QlM"/>
    <x v="2"/>
    <s v="The institution assesses the learning levels of the students and organises special Programmes for advanced learners and slow learners._x000a_Write description in of 500 words _x000a_"/>
    <n v="15"/>
    <n v="15"/>
    <n v="100"/>
    <m/>
    <n v="0"/>
  </r>
  <r>
    <n v="4"/>
    <s v="2. Teaching-Learning and Evaluation"/>
    <x v="3"/>
    <s v="QlM"/>
    <x v="3"/>
    <s v="Student centric methods, such as experiential learning, participative learning and problem solving methodologies are used for enhancing learning experiences _x000a_Write description in maximum of 500 words "/>
    <n v="15"/>
    <n v="40"/>
    <m/>
    <m/>
    <n v="0"/>
  </r>
  <r>
    <n v="5"/>
    <s v="2. Teaching-Learning and Evaluation"/>
    <x v="3"/>
    <s v="QlM"/>
    <x v="4"/>
    <s v="Teachers use ICT enabled tools including online resources for effective teaching and learning process _x000a_Write description in maximum of 500 words "/>
    <n v="15"/>
    <m/>
    <m/>
    <m/>
    <n v="0"/>
  </r>
  <r>
    <n v="6"/>
    <s v="2. Teaching-Learning and Evaluation"/>
    <x v="3"/>
    <s v="QlM"/>
    <x v="5"/>
    <s v="Preparation and adherence of Academic Calendar and Teaching plans by the institution _x000a_Describe the Preparation and adherence to Academic Calendar and Teaching plans by the institution within the minimum of 500 Characters and maximum of 500 words."/>
    <n v="10"/>
    <m/>
    <m/>
    <m/>
    <n v="0"/>
  </r>
  <r>
    <n v="7"/>
    <s v="2. Teaching-Learning and Evaluation"/>
    <x v="4"/>
    <s v="QlM"/>
    <x v="6"/>
    <s v="IT integration and reforms in the examination procedures and processes including Continuous Internal Assessment (CIA) have brought in considerable improvement in Examination Management System (EMS) of the Institution _x000a__x000a_Describe the examination reforms with reference to the following within a minimum of 500 words and maximum 1000 words:  _x000a_"/>
    <n v="15"/>
    <n v="15"/>
    <m/>
    <m/>
    <n v="0"/>
  </r>
  <r>
    <n v="8"/>
    <s v="2. Teaching-Learning and Evaluation"/>
    <x v="5"/>
    <s v="QlM"/>
    <x v="7"/>
    <s v="Programme outcomes and course outcomes for all Programmes offered by the institution are stated and displayed on website and communicated to teachers and students _x000a_Describe Course Outcomes (COs) for all courses and mechanism of communication within a maximum of 500 words _x000a_"/>
    <n v="20"/>
    <n v="30"/>
    <m/>
    <m/>
    <n v="0"/>
  </r>
  <r>
    <n v="9"/>
    <s v="2. Teaching-Learning and Evaluation"/>
    <x v="5"/>
    <s v="QlM"/>
    <x v="8"/>
    <s v="Attainment of program outcomes and course outcomes are evaluated by the institution _x000a_Describe the method of measuring attainment of POs , PSOs and COs in not more than 500 words and the level of attainment of POs , PSOs and COs. "/>
    <n v="10"/>
    <m/>
    <m/>
    <m/>
    <n v="0"/>
  </r>
  <r>
    <n v="10"/>
    <s v="3. Research, Innovations and Extension"/>
    <x v="6"/>
    <s v="QlM"/>
    <x v="9"/>
    <s v="The institution Research facilities are frequently updated and there is well defined policy for promotion of research which is uploaded on the institutional website and implemented _x000a_Write description in maximum of 500 words "/>
    <n v="6"/>
    <n v="6"/>
    <n v="21"/>
    <m/>
    <n v="0"/>
  </r>
  <r>
    <n v="11"/>
    <s v="3. Research, Innovations and Extension"/>
    <x v="7"/>
    <s v="QlM"/>
    <x v="10"/>
    <s v="Institution has created an eco system for innovations, creation and transfer of knowledge supported by dedicated centers for research, entrepreneurship, community orientation, Incubation etc. _x000a__x000a_Write description in maximum of 500 words"/>
    <n v="5"/>
    <n v="5"/>
    <m/>
    <m/>
    <n v="0"/>
  </r>
  <r>
    <n v="12"/>
    <s v="3. Research, Innovations and Extension"/>
    <x v="8"/>
    <s v="QlM"/>
    <x v="11"/>
    <s v="Extension activities are carried out in the neighbourhood community, sensitising students to social issues, for their holistic development, and impact thereof during the last five years _x000a__x000a_Describe the impact of extension activities in sensitising students to social issues and holistic development within a maximum of 500 words _x000a_"/>
    <n v="10"/>
    <n v="10"/>
    <m/>
    <m/>
    <n v="0"/>
  </r>
  <r>
    <n v="13"/>
    <s v="4. Infrastructure and Learning Resources"/>
    <x v="9"/>
    <s v="QlM"/>
    <x v="12"/>
    <s v="The Institution has adequate infrastructure and physical facilities for teaching – learning, viz., classrooms, laboratories, computing equipment, etc. _x000a__x000a_Describe the adequacy of facilities for teaching –learning as per the minimum specified requirement by statutory bodies within a maximum of 500 words _x000a__x000a_"/>
    <n v="6"/>
    <n v="10"/>
    <n v="33"/>
    <m/>
    <n v="0"/>
  </r>
  <r>
    <n v="14"/>
    <s v="4. Infrastructure and Learning Resources"/>
    <x v="9"/>
    <s v="QlM"/>
    <x v="13"/>
    <s v="The institution has adequate facilities for cultural activities, yoga, games (indoor, outdoor) and sports. (gymnasium, yoga centre, auditorium, etc.) _x000a__x000a_Describe the adequacy facilities for cultural activities, yoga, games (indoor, outdoor) and sports which include specification about area/size, year of establishment and user rate within minimum of 500 characters and maximum of 500 words_x000a_"/>
    <n v="4"/>
    <m/>
    <m/>
    <m/>
    <n v="0"/>
  </r>
  <r>
    <n v="15"/>
    <s v="4. Infrastructure and Learning Resources"/>
    <x v="10"/>
    <s v="QlM"/>
    <x v="14"/>
    <s v="Library is automated using Integrated Library Management System (ILMS) _x000a_"/>
    <n v="5"/>
    <n v="5"/>
    <m/>
    <m/>
    <n v="0"/>
  </r>
  <r>
    <n v="16"/>
    <s v="4. Infrastructure and Learning Resources"/>
    <x v="11"/>
    <s v="QlM"/>
    <x v="15"/>
    <s v="Institution has an IT policy covering wi-fi, cyber security, etc., and allocated budget for updating its IT facilities _x000a_Describe IT facilities including Wi-Fi with date and nature of updation within a maximum of 500 words "/>
    <n v="8"/>
    <n v="8"/>
    <m/>
    <m/>
    <n v="0"/>
  </r>
  <r>
    <n v="17"/>
    <s v="4. Infrastructure and Learning Resources"/>
    <x v="12"/>
    <s v="QlM"/>
    <x v="16"/>
    <s v="There are established systems and procedures for maintaining and utilizing physical, academic and support facilities – laboratory, library, sports complex, computers, classrooms etc. _x000a__x000a_Describe policy details of systems and procedures for maintaining and utilizing physical, academic and support facilities on the website within a minimum of 500 word and maximum of 1000 words  _x000a_"/>
    <n v="10"/>
    <n v="10"/>
    <m/>
    <m/>
    <n v="0"/>
  </r>
  <r>
    <n v="18"/>
    <s v="5. Student Support and Progression"/>
    <x v="13"/>
    <s v="QlM"/>
    <x v="17"/>
    <s v="Presence of an active Student Council &amp; representation of students on academic &amp; administrative bodies/committees of the institution _x000a__x000a_Describe the Student Council activity and students role in academic &amp; administrative bodies within a minimum of 500 characters and maximum of 500 words  _x000a_"/>
    <n v="10"/>
    <n v="10"/>
    <n v="15"/>
    <m/>
    <n v="0"/>
  </r>
  <r>
    <n v="19"/>
    <s v="5. Student Support and Progression"/>
    <x v="14"/>
    <s v="QlM"/>
    <x v="18"/>
    <s v="The Alumni Association/Chapters (registered and functional)contributes significantly to the development of the institution through financial and other support services _x000a__x000a_Describe contribution of alumni association to the institution within a maximum of 500 words _x000a_"/>
    <n v="5"/>
    <n v="5"/>
    <m/>
    <m/>
    <n v="0"/>
  </r>
  <r>
    <n v="20"/>
    <s v="6. Governance, Leadership and Management"/>
    <x v="15"/>
    <s v="QlM"/>
    <x v="19"/>
    <s v="The governance of the institution is reflective of an effective leadership in tune with the vision and mission of the Institution _x000a__x000a_Describe the vision and mission statement of the institution on the nature of governance, perspective plans and participation of the teachers in the decision making bodies of the institution within a maximum of 500 words. "/>
    <n v="5"/>
    <n v="10"/>
    <n v="50"/>
    <m/>
    <n v="0"/>
  </r>
  <r>
    <n v="21"/>
    <s v="6. Governance, Leadership and Management"/>
    <x v="15"/>
    <s v="QlM"/>
    <x v="20"/>
    <s v="The effective leadership is reflected in various institutional practices such as decentralization and participative management _x000a__x000a_Upload a case study showing practicing decentralisation and participative management in the institution in not more than 500 words "/>
    <n v="5"/>
    <m/>
    <m/>
    <m/>
    <n v="0"/>
  </r>
  <r>
    <n v="22"/>
    <s v="6. Governance, Leadership and Management"/>
    <x v="16"/>
    <s v="QlM"/>
    <x v="21"/>
    <s v="The institutional Strategic/ Perspective plan is effectively deployed _x000a__x000a_Describe one activity successfully implemented based on the strategic plan within a maximum of 500 words  _x000a_"/>
    <n v="2"/>
    <n v="6"/>
    <m/>
    <m/>
    <n v="0"/>
  </r>
  <r>
    <n v="23"/>
    <s v="6. Governance, Leadership and Management"/>
    <x v="16"/>
    <s v="QlM"/>
    <x v="22"/>
    <s v="The functioning of the institutional bodies is effective and efficient as visible from policies, administrative setup appointment and service rules, procedures, etc. _x000a__x000a_Describe the Organogram of the Institution within a maximum of 500 words_x000a_"/>
    <n v="4"/>
    <m/>
    <m/>
    <m/>
    <n v="0"/>
  </r>
  <r>
    <n v="24"/>
    <s v="6. Governance, Leadership and Management"/>
    <x v="17"/>
    <s v="QlM"/>
    <x v="23"/>
    <s v="The institution has effective welfare measures for teaching and non-teaching staff and avenues for career development/ progression _x000a__x000a_Provide the list of existing welfare measures for teaching and non-teaching staff in maximum of 500 words "/>
    <n v="4"/>
    <n v="4"/>
    <m/>
    <m/>
    <n v="0"/>
  </r>
  <r>
    <n v="25"/>
    <s v="6. Governance, Leadership and Management"/>
    <x v="18"/>
    <s v="QlM"/>
    <x v="24"/>
    <s v="Institution conducts internal and external financial audits regularly _x000a__x000a_Enumerate the various internal and external financial audits carried out during the last five years with the mechanism for settling audit objections within a maximum of 500 words "/>
    <n v="4"/>
    <n v="10"/>
    <m/>
    <m/>
    <n v="0"/>
  </r>
  <r>
    <n v="26"/>
    <s v="6. Governance, Leadership and Management"/>
    <x v="18"/>
    <s v="QlM"/>
    <x v="25"/>
    <s v="Institutional strategies for mobilisation of funds and the optimal utilisation of resources _x000a_Describe the resource mobilisation policy and procedures of the Institution within a maximum of 500 words _x000a_"/>
    <n v="6"/>
    <m/>
    <m/>
    <m/>
    <n v="0"/>
  </r>
  <r>
    <n v="27"/>
    <s v="6. Governance, Leadership and Management"/>
    <x v="19"/>
    <s v="QlM"/>
    <x v="26"/>
    <s v="Internal Quality Assurance Cell (IQAC) has contributed significantly for institutionalizing the quality assurance strategies and processes visible in terms of – _x000a__x000a_Incremental improvements made for the preceding five years with regard to quality (in case of first cycle) _x000a__x000a_Incremental improvements made for the preceding five years with regard to quality and post accreditation quality initiatives (second and subsequent cycles) _x000a__x000a_Describe two practices institutionalized as a result of IQAC initiatives within a maximum of 500 words "/>
    <n v="10"/>
    <n v="20"/>
    <m/>
    <m/>
    <n v="0"/>
  </r>
  <r>
    <n v="28"/>
    <s v="6. Governance, Leadership and Management"/>
    <x v="19"/>
    <s v="QlM"/>
    <x v="27"/>
    <s v="The institution reviews its teaching learning process, structures &amp; methodologies of operations and learning outcomes at periodic intervals through IQAC set up as per norms _x000a_Describe any two examples of institutional reviews and implementation of teaching learning reforms facilitated by the IQAC within a maximum of 500 words each "/>
    <n v="10"/>
    <m/>
    <m/>
    <m/>
    <n v="0"/>
  </r>
  <r>
    <n v="29"/>
    <s v="7. Institutional Values and Best Practices"/>
    <x v="20"/>
    <s v="QlM"/>
    <x v="28"/>
    <s v="Measures initiated by the Institution for the promotion of gender equity during the last five years. _x000a_Describe gender equity &amp; sensitization in curricular and co-curricular activities, facilities for women on campus etc., within 500 words _x000a__x000a_"/>
    <n v="5"/>
    <n v="23"/>
    <n v="73"/>
    <m/>
    <n v="0"/>
  </r>
  <r>
    <n v="30"/>
    <s v="7. Institutional Values and Best Practices"/>
    <x v="20"/>
    <s v="QlM"/>
    <x v="29"/>
    <s v="Describe the facilities in the Institution for the management of the following types of degradable and non-degradable waste (within 500 words) _x000a_1. Solid waste management _x000a_2. Liquid waste management _x000a_3. Biomedical waste management _x000a_4. E-waste management _x000a_5. Waste recycling system _x000a_6. Hazardous chemicals and radioactive waste management _x000a_"/>
    <n v="4"/>
    <m/>
    <m/>
    <m/>
    <n v="0"/>
  </r>
  <r>
    <n v="31"/>
    <s v="7. Institutional Values and Best Practices"/>
    <x v="20"/>
    <s v="QlM"/>
    <x v="30"/>
    <s v="Describe the Institutional efforts/initiatives in providing an inclusive environment i.e., tolerance and harmony towards cultural, regional, linguistic, communal socioeconomic and other diversities (within 500 words). "/>
    <n v="5"/>
    <m/>
    <m/>
    <m/>
    <n v="0"/>
  </r>
  <r>
    <n v="32"/>
    <s v="7. Institutional Values and Best Practices"/>
    <x v="20"/>
    <s v="QlM"/>
    <x v="31"/>
    <s v="Sensitization of students and employees of the Institution to the constitutional obligations: values, rights, duties and responsibilities of citizens _x000a__x000a_Describe the various activities in the Institution for inculcating values for being responsible citizens as reflected in the Constitution of India within 500 words. "/>
    <n v="4"/>
    <m/>
    <m/>
    <m/>
    <n v="0"/>
  </r>
  <r>
    <n v="33"/>
    <s v="7. Institutional Values and Best Practices"/>
    <x v="20"/>
    <s v="QlM"/>
    <x v="32"/>
    <s v="Institution celebrates / organizes national and international commemorative days, events and festivals _x000a_Describe the efforts of the Institution in celebrating /organizing national and international commemorative days, events and festivals during the last five years within 500 words "/>
    <n v="5"/>
    <m/>
    <m/>
    <m/>
    <n v="0"/>
  </r>
  <r>
    <n v="34"/>
    <s v="7. Institutional Values and Best Practices"/>
    <x v="21"/>
    <s v="QlM"/>
    <x v="33"/>
    <s v="Describe two best practices successfully implemented by the Institution as per NAAC format provided in the Manual. "/>
    <n v="30"/>
    <n v="30"/>
    <m/>
    <m/>
    <n v="0"/>
  </r>
  <r>
    <n v="35"/>
    <s v="7. Institutional Values and Best Practices"/>
    <x v="22"/>
    <s v="QlM"/>
    <x v="34"/>
    <s v="Portray the performance of the Institution in one area distinctive to its priority and thrust within 1000 words  "/>
    <n v="20"/>
    <n v="20"/>
    <m/>
    <m/>
    <n v="0"/>
  </r>
</pivotCacheRecords>
</file>

<file path=xl/pivotCache/pivotCacheRecords7.xml><?xml version="1.0" encoding="utf-8"?>
<pivotCacheRecords xmlns="http://schemas.openxmlformats.org/spreadsheetml/2006/main" xmlns:r="http://schemas.openxmlformats.org/officeDocument/2006/relationships" count="35">
  <r>
    <n v="1"/>
    <x v="0"/>
    <s v="1.1 Curriculum Planning and Implementation"/>
    <s v="QlM"/>
    <s v="1.1.1"/>
    <s v="Curricula developed and implemented have relevance to the local, national, regional and global developmental needs which is reflected in Programme outcomes (POs), Programme Specific outcomes (PSOs) and Course Outcomes (COs) of the Programmes offered by the Institution _x000a__x000a_Write description in maximum of 500 words _x000a_"/>
    <n v="20"/>
    <n v="30"/>
    <n v="30"/>
    <m/>
    <n v="0"/>
  </r>
  <r>
    <n v="2"/>
    <x v="0"/>
    <s v="1.3 Curriculum Enrichment"/>
    <s v="QlM"/>
    <s v="1.3.1"/>
    <s v="Institution integrates crosscutting issues relevant to Professional Ethics, Gender, Human Values, Environment and Sustainability, Human Values into the Curriculum _x000a_Write description in maximum of 500 words_x000a_ "/>
    <n v="10"/>
    <m/>
    <m/>
    <m/>
    <n v="0"/>
  </r>
  <r>
    <n v="3"/>
    <x v="1"/>
    <s v="2.2 Catering to Student Diversity"/>
    <s v="QlM"/>
    <s v="2.2.1"/>
    <s v="The institution assesses the learning levels of the students and organises special Programmes for advanced learners and slow learners._x000a_Write description in of 500 words _x000a_"/>
    <n v="15"/>
    <n v="15"/>
    <n v="100"/>
    <m/>
    <n v="0"/>
  </r>
  <r>
    <n v="4"/>
    <x v="1"/>
    <s v="2.3 Teaching-Learning Process"/>
    <s v="QlM"/>
    <s v="2.3.1"/>
    <s v="Student centric methods, such as experiential learning, participative learning and problem solving methodologies are used for enhancing learning experiences _x000a_Write description in maximum of 500 words "/>
    <n v="15"/>
    <n v="40"/>
    <m/>
    <m/>
    <n v="0"/>
  </r>
  <r>
    <n v="5"/>
    <x v="1"/>
    <s v="2.3 Teaching-Learning Process"/>
    <s v="QlM"/>
    <s v="2.3.2"/>
    <s v="Teachers use ICT enabled tools including online resources for effective teaching and learning process _x000a_Write description in maximum of 500 words "/>
    <n v="15"/>
    <m/>
    <m/>
    <m/>
    <n v="0"/>
  </r>
  <r>
    <n v="6"/>
    <x v="1"/>
    <s v="2.3 Teaching-Learning Process"/>
    <s v="QlM"/>
    <s v="2.3.4"/>
    <s v="Preparation and adherence of Academic Calendar and Teaching plans by the institution _x000a_Describe the Preparation and adherence to Academic Calendar and Teaching plans by the institution within the minimum of 500 Characters and maximum of 500 words."/>
    <n v="10"/>
    <m/>
    <m/>
    <m/>
    <n v="0"/>
  </r>
  <r>
    <n v="7"/>
    <x v="1"/>
    <s v="2.5 Evaluation Process and Reforms"/>
    <s v="QlM"/>
    <s v="2.5.3"/>
    <s v="IT integration and reforms in the examination procedures and processes including Continuous Internal Assessment (CIA) have brought in considerable improvement in Examination Management System (EMS) of the Institution _x000a__x000a_Describe the examination reforms with reference to the following within a minimum of 500 words and maximum 1000 words:  _x000a_"/>
    <n v="15"/>
    <n v="15"/>
    <m/>
    <m/>
    <n v="0"/>
  </r>
  <r>
    <n v="8"/>
    <x v="1"/>
    <s v="2.6 Student Performance and Learning Outcomes"/>
    <s v="QlM"/>
    <s v="2.6.1"/>
    <s v="Programme outcomes and course outcomes for all Programmes offered by the institution are stated and displayed on website and communicated to teachers and students _x000a_Describe Course Outcomes (COs) for all courses and mechanism of communication within a maximum of 500 words _x000a_"/>
    <n v="20"/>
    <n v="30"/>
    <m/>
    <m/>
    <n v="0"/>
  </r>
  <r>
    <n v="9"/>
    <x v="1"/>
    <s v="2.6 Student Performance and Learning Outcomes"/>
    <s v="QlM"/>
    <s v="2.6.2"/>
    <s v="Attainment of program outcomes and course outcomes are evaluated by the institution _x000a_Describe the method of measuring attainment of POs , PSOs and COs in not more than 500 words and the level of attainment of POs , PSOs and COs. "/>
    <n v="10"/>
    <m/>
    <m/>
    <m/>
    <n v="0"/>
  </r>
  <r>
    <n v="10"/>
    <x v="2"/>
    <s v="3.1 Promotion of Research and Facilities"/>
    <s v="QlM"/>
    <s v="3.1.1"/>
    <s v="The institution Research facilities are frequently updated and there is well defined policy for promotion of research which is uploaded on the institutional website and implemented _x000a_Write description in maximum of 500 words "/>
    <n v="6"/>
    <n v="6"/>
    <n v="21"/>
    <m/>
    <n v="0"/>
  </r>
  <r>
    <n v="11"/>
    <x v="2"/>
    <s v="3.3 Innovation Ecosystem"/>
    <s v="QlM"/>
    <s v="3.3.1"/>
    <s v="Institution has created an eco system for innovations, creation and transfer of knowledge supported by dedicated centers for research, entrepreneurship, community orientation, Incubation etc. _x000a__x000a_Write description in maximum of 500 words"/>
    <n v="5"/>
    <n v="5"/>
    <m/>
    <m/>
    <n v="0"/>
  </r>
  <r>
    <n v="12"/>
    <x v="2"/>
    <s v="3.6 Extension Activities"/>
    <s v="QlM"/>
    <s v="3.6.1"/>
    <s v="Extension activities are carried out in the neighbourhood community, sensitising students to social issues, for their holistic development, and impact thereof during the last five years _x000a__x000a_Describe the impact of extension activities in sensitising students to social issues and holistic development within a maximum of 500 words _x000a_"/>
    <n v="10"/>
    <n v="10"/>
    <m/>
    <m/>
    <n v="0"/>
  </r>
  <r>
    <n v="13"/>
    <x v="3"/>
    <s v="4.1 Physical Facilities"/>
    <s v="QlM"/>
    <s v="4.1.1"/>
    <s v="The Institution has adequate infrastructure and physical facilities for teaching – learning, viz., classrooms, laboratories, computing equipment, etc. _x000a__x000a_Describe the adequacy of facilities for teaching –learning as per the minimum specified requirement by statutory bodies within a maximum of 500 words _x000a__x000a_"/>
    <n v="6"/>
    <n v="10"/>
    <n v="33"/>
    <m/>
    <n v="0"/>
  </r>
  <r>
    <n v="14"/>
    <x v="3"/>
    <s v="4.1 Physical Facilities"/>
    <s v="QlM"/>
    <s v="4.1.2"/>
    <s v="The institution has adequate facilities for cultural activities, yoga, games (indoor, outdoor) and sports. (gymnasium, yoga centre, auditorium, etc.) _x000a__x000a_Describe the adequacy facilities for cultural activities, yoga, games (indoor, outdoor) and sports which include specification about area/size, year of establishment and user rate within minimum of 500 characters and maximum of 500 words_x000a_"/>
    <n v="4"/>
    <m/>
    <m/>
    <m/>
    <n v="0"/>
  </r>
  <r>
    <n v="15"/>
    <x v="3"/>
    <s v="4.2 Library as a Learning Resource"/>
    <s v="QlM"/>
    <s v="4.2.1"/>
    <s v="Library is automated using Integrated Library Management System (ILMS) _x000a_"/>
    <n v="5"/>
    <n v="5"/>
    <m/>
    <m/>
    <n v="0"/>
  </r>
  <r>
    <n v="16"/>
    <x v="3"/>
    <s v="4.3 IT Infrastructure"/>
    <s v="QlM"/>
    <s v="4.3.1"/>
    <s v="Institution has an IT policy covering wi-fi, cyber security, etc., and allocated budget for updating its IT facilities _x000a_Describe IT facilities including Wi-Fi with date and nature of updation within a maximum of 500 words "/>
    <n v="8"/>
    <n v="8"/>
    <m/>
    <m/>
    <n v="0"/>
  </r>
  <r>
    <n v="17"/>
    <x v="3"/>
    <s v="4.4 Maintenance of Campus Infrastructure"/>
    <s v="QlM"/>
    <s v="4.4.2"/>
    <s v="There are established systems and procedures for maintaining and utilizing physical, academic and support facilities – laboratory, library, sports complex, computers, classrooms etc. _x000a__x000a_Describe policy details of systems and procedures for maintaining and utilizing physical, academic and support facilities on the website within a minimum of 500 word and maximum of 1000 words  _x000a_"/>
    <n v="10"/>
    <n v="10"/>
    <m/>
    <m/>
    <n v="0"/>
  </r>
  <r>
    <n v="18"/>
    <x v="4"/>
    <s v="5.3 Student Participation and Activities"/>
    <s v="QlM"/>
    <s v="5.3.2"/>
    <s v="Presence of an active Student Council &amp; representation of students on academic &amp; administrative bodies/committees of the institution _x000a__x000a_Describe the Student Council activity and students role in academic &amp; administrative bodies within a minimum of 500 characters and maximum of 500 words  _x000a_"/>
    <n v="10"/>
    <n v="10"/>
    <n v="15"/>
    <m/>
    <n v="0"/>
  </r>
  <r>
    <n v="19"/>
    <x v="4"/>
    <s v="5.4 Alumni Engagement"/>
    <s v="QlM"/>
    <s v="5.4.1"/>
    <s v="The Alumni Association/Chapters (registered and functional)contributes significantly to the development of the institution through financial and other support services _x000a__x000a_Describe contribution of alumni association to the institution within a maximum of 500 words _x000a_"/>
    <n v="5"/>
    <n v="5"/>
    <m/>
    <m/>
    <n v="0"/>
  </r>
  <r>
    <n v="20"/>
    <x v="5"/>
    <s v="6.1 Institutional Vision and Leadership"/>
    <s v="QlM"/>
    <s v="6.1.1"/>
    <s v="The governance of the institution is reflective of an effective leadership in tune with the vision and mission of the Institution _x000a__x000a_Describe the vision and mission statement of the institution on the nature of governance, perspective plans and participation of the teachers in the decision making bodies of the institution within a maximum of 500 words. "/>
    <n v="5"/>
    <n v="10"/>
    <n v="50"/>
    <m/>
    <n v="0"/>
  </r>
  <r>
    <n v="21"/>
    <x v="5"/>
    <s v="6.1 Institutional Vision and Leadership"/>
    <s v="QlM"/>
    <s v="6.1.2"/>
    <s v="The effective leadership is reflected in various institutional practices such as decentralization and participative management _x000a__x000a_Upload a case study showing practicing decentralisation and participative management in the institution in not more than 500 words "/>
    <n v="5"/>
    <m/>
    <m/>
    <m/>
    <n v="0"/>
  </r>
  <r>
    <n v="22"/>
    <x v="5"/>
    <s v="6.2 Strategy Development and Deployment"/>
    <s v="QlM"/>
    <s v="6.2.1"/>
    <s v="The institutional Strategic/ Perspective plan is effectively deployed _x000a__x000a_Describe one activity successfully implemented based on the strategic plan within a maximum of 500 words  _x000a_"/>
    <n v="2"/>
    <n v="6"/>
    <m/>
    <m/>
    <n v="0"/>
  </r>
  <r>
    <n v="23"/>
    <x v="5"/>
    <s v="6.2 Strategy Development and Deployment"/>
    <s v="QlM"/>
    <s v="6.2.2"/>
    <s v="The functioning of the institutional bodies is effective and efficient as visible from policies, administrative setup appointment and service rules, procedures, etc. _x000a__x000a_Describe the Organogram of the Institution within a maximum of 500 words_x000a_"/>
    <n v="4"/>
    <m/>
    <m/>
    <m/>
    <n v="0"/>
  </r>
  <r>
    <n v="24"/>
    <x v="5"/>
    <s v="6.3 Faculty Empowerment Strategies"/>
    <s v="QlM"/>
    <s v="6.3.1"/>
    <s v="The institution has effective welfare measures for teaching and non-teaching staff and avenues for career development/ progression _x000a__x000a_Provide the list of existing welfare measures for teaching and non-teaching staff in maximum of 500 words "/>
    <n v="4"/>
    <n v="4"/>
    <m/>
    <m/>
    <n v="0"/>
  </r>
  <r>
    <n v="25"/>
    <x v="5"/>
    <s v="6.4 Financial Management and Resource Mobilization"/>
    <s v="QlM"/>
    <s v="6.4.1"/>
    <s v="Institution conducts internal and external financial audits regularly _x000a__x000a_Enumerate the various internal and external financial audits carried out during the last five years with the mechanism for settling audit objections within a maximum of 500 words "/>
    <n v="4"/>
    <n v="10"/>
    <m/>
    <m/>
    <n v="0"/>
  </r>
  <r>
    <n v="26"/>
    <x v="5"/>
    <s v="6.4 Financial Management and Resource Mobilization"/>
    <s v="QlM"/>
    <s v="6.4.3"/>
    <s v="Institutional strategies for mobilisation of funds and the optimal utilisation of resources _x000a_Describe the resource mobilisation policy and procedures of the Institution within a maximum of 500 words _x000a_"/>
    <n v="6"/>
    <m/>
    <m/>
    <m/>
    <n v="0"/>
  </r>
  <r>
    <n v="27"/>
    <x v="5"/>
    <s v="6.5 Internal Quality Assurance System (IQAS)"/>
    <s v="QlM"/>
    <s v="6.5.1"/>
    <s v="Internal Quality Assurance Cell (IQAC) has contributed significantly for institutionalizing the quality assurance strategies and processes visible in terms of – _x000a__x000a_Incremental improvements made for the preceding five years with regard to quality (in case of first cycle) _x000a__x000a_Incremental improvements made for the preceding five years with regard to quality and post accreditation quality initiatives (second and subsequent cycles) _x000a__x000a_Describe two practices institutionalized as a result of IQAC initiatives within a maximum of 500 words "/>
    <n v="10"/>
    <n v="20"/>
    <m/>
    <m/>
    <n v="0"/>
  </r>
  <r>
    <n v="28"/>
    <x v="5"/>
    <s v="6.5 Internal Quality Assurance System (IQAS)"/>
    <s v="QlM"/>
    <s v="6.5.2"/>
    <s v="The institution reviews its teaching learning process, structures &amp; methodologies of operations and learning outcomes at periodic intervals through IQAC set up as per norms _x000a_Describe any two examples of institutional reviews and implementation of teaching learning reforms facilitated by the IQAC within a maximum of 500 words each "/>
    <n v="10"/>
    <m/>
    <m/>
    <m/>
    <n v="0"/>
  </r>
  <r>
    <n v="29"/>
    <x v="6"/>
    <s v="7.1 Institutional Values and Social Responsibilities"/>
    <s v="QlM"/>
    <s v="7.1.1"/>
    <s v="Measures initiated by the Institution for the promotion of gender equity during the last five years. _x000a_Describe gender equity &amp; sensitization in curricular and co-curricular activities, facilities for women on campus etc., within 500 words _x000a__x000a_"/>
    <n v="5"/>
    <n v="23"/>
    <n v="73"/>
    <m/>
    <n v="0"/>
  </r>
  <r>
    <n v="30"/>
    <x v="6"/>
    <s v="7.1 Institutional Values and Social Responsibilities"/>
    <s v="QlM"/>
    <s v="7.1.3"/>
    <s v="Describe the facilities in the Institution for the management of the following types of degradable and non-degradable waste (within 500 words) _x000a_1. Solid waste management _x000a_2. Liquid waste management _x000a_3. Biomedical waste management _x000a_4. E-waste management _x000a_5. Waste recycling system _x000a_6. Hazardous chemicals and radioactive waste management _x000a_"/>
    <n v="4"/>
    <m/>
    <m/>
    <m/>
    <n v="0"/>
  </r>
  <r>
    <n v="31"/>
    <x v="6"/>
    <s v="7.1 Institutional Values and Social Responsibilities"/>
    <s v="QlM"/>
    <s v="7.1.8"/>
    <s v="Describe the Institutional efforts/initiatives in providing an inclusive environment i.e., tolerance and harmony towards cultural, regional, linguistic, communal socioeconomic and other diversities (within 500 words). "/>
    <n v="5"/>
    <m/>
    <m/>
    <m/>
    <n v="0"/>
  </r>
  <r>
    <n v="32"/>
    <x v="6"/>
    <s v="7.1 Institutional Values and Social Responsibilities"/>
    <s v="QlM"/>
    <s v="7.1.9"/>
    <s v="Sensitization of students and employees of the Institution to the constitutional obligations: values, rights, duties and responsibilities of citizens _x000a__x000a_Describe the various activities in the Institution for inculcating values for being responsible citizens as reflected in the Constitution of India within 500 words. "/>
    <n v="4"/>
    <m/>
    <m/>
    <m/>
    <n v="0"/>
  </r>
  <r>
    <n v="33"/>
    <x v="6"/>
    <s v="7.1 Institutional Values and Social Responsibilities"/>
    <s v="QlM"/>
    <s v="7.1.11"/>
    <s v="Institution celebrates / organizes national and international commemorative days, events and festivals _x000a_Describe the efforts of the Institution in celebrating /organizing national and international commemorative days, events and festivals during the last five years within 500 words "/>
    <n v="5"/>
    <m/>
    <m/>
    <m/>
    <n v="0"/>
  </r>
  <r>
    <n v="34"/>
    <x v="6"/>
    <s v="7.2 Best Practices"/>
    <s v="QlM"/>
    <s v="7.2.1"/>
    <s v="Describe two best practices successfully implemented by the Institution as per NAAC format provided in the Manual. "/>
    <n v="30"/>
    <n v="30"/>
    <m/>
    <m/>
    <n v="0"/>
  </r>
  <r>
    <n v="35"/>
    <x v="6"/>
    <s v="7.3 Institutional Distinctiveness"/>
    <s v="QlM"/>
    <s v="7.3.1"/>
    <s v="Portray the performance of the Institution in one area distinctive to its priority and thrust within 1000 words  "/>
    <n v="20"/>
    <n v="20"/>
    <m/>
    <m/>
    <n v="0"/>
  </r>
</pivotCacheRecords>
</file>

<file path=xl/pivotCache/pivotCacheRecords8.xml><?xml version="1.0" encoding="utf-8"?>
<pivotCacheRecords xmlns="http://schemas.openxmlformats.org/spreadsheetml/2006/main" xmlns:r="http://schemas.openxmlformats.org/officeDocument/2006/relationships" count="35">
  <r>
    <x v="0"/>
    <s v="QlM"/>
    <s v="1.1.1"/>
    <s v="Curricula developed and implemented have relevance to the local, national, regional and global developmental needs which is reflected in Programme outcomes (POs), Programme Specific outcomes (PSOs) and Course Outcomes (COs) of the Programmes offered by the Institution _x000a__x000a_Write description in maximum of 500 words _x000a_"/>
    <n v="20"/>
    <n v="30"/>
    <n v="30"/>
  </r>
  <r>
    <x v="1"/>
    <s v="QlM"/>
    <s v="1.3.1"/>
    <s v="Institution integrates crosscutting issues relevant to Professional Ethics, Gender, Human Values, Environment and Sustainability, Human Values into the Curriculum _x000a_Write description in maximum of 500 words_x000a_ "/>
    <n v="10"/>
    <m/>
    <m/>
  </r>
  <r>
    <x v="2"/>
    <s v="QlM"/>
    <s v="2.2.1"/>
    <s v="The institution assesses the learning levels of the students and organises special Programmes for advanced learners and slow learners._x000a_Write description in of 500 words _x000a_"/>
    <n v="15"/>
    <n v="15"/>
    <n v="100"/>
  </r>
  <r>
    <x v="3"/>
    <s v="QlM"/>
    <s v="2.3.1"/>
    <s v="Student centric methods, such as experiential learning, participative learning and problem solving methodologies are used for enhancing learning experiences _x000a_Write description in maximum of 500 words "/>
    <n v="15"/>
    <n v="40"/>
    <m/>
  </r>
  <r>
    <x v="3"/>
    <s v="QlM"/>
    <s v="2.3.2"/>
    <s v="Teachers use ICT enabled tools including online resources for effective teaching and learning process _x000a_Write description in maximum of 500 words "/>
    <n v="15"/>
    <m/>
    <m/>
  </r>
  <r>
    <x v="3"/>
    <s v="QlM"/>
    <s v="2.3.4"/>
    <s v="Preparation and adherence of Academic Calendar and Teaching plans by the institution _x000a_Describe the Preparation and adherence to Academic Calendar and Teaching plans by the institution within the minimum of 500 Characters and maximum of 500 words."/>
    <n v="10"/>
    <m/>
    <m/>
  </r>
  <r>
    <x v="4"/>
    <s v="QlM"/>
    <s v="2.5.3"/>
    <s v="IT integration and reforms in the examination procedures and processes including Continuous Internal Assessment (CIA) have brought in considerable improvement in Examination Management System (EMS) of the Institution _x000a__x000a_Describe the examination reforms with reference to the following within a minimum of 500 words and maximum 1000 words:  _x000a_"/>
    <n v="15"/>
    <n v="15"/>
    <m/>
  </r>
  <r>
    <x v="5"/>
    <s v="QlM"/>
    <s v="2.6.1"/>
    <s v="Programme outcomes and course outcomes for all Programmes offered by the institution are stated and displayed on website and communicated to teachers and students _x000a_Describe Course Outcomes (COs) for all courses and mechanism of communication within a maximum of 500 words _x000a_"/>
    <n v="20"/>
    <n v="30"/>
    <m/>
  </r>
  <r>
    <x v="5"/>
    <s v="QlM"/>
    <s v="2.6.2"/>
    <s v="Attainment of program outcomes and course outcomes are evaluated by the institution _x000a_Describe the method of measuring attainment of POs , PSOs and COs in not more than 500 words and the level of attainment of POs , PSOs and COs. "/>
    <n v="10"/>
    <m/>
    <m/>
  </r>
  <r>
    <x v="6"/>
    <s v="QlM"/>
    <s v="3.1.1"/>
    <s v="The institution Research facilities are frequently updated and there is well defined policy for promotion of research which is uploaded on the institutional website and implemented _x000a_Write description in maximum of 500 words "/>
    <n v="6"/>
    <n v="6"/>
    <n v="21"/>
  </r>
  <r>
    <x v="7"/>
    <s v="QlM"/>
    <s v="3.3.1"/>
    <s v="Institution has created an eco system for innovations, creation and transfer of knowledge supported by dedicated centers for research, entrepreneurship, community orientation, Incubation etc. _x000a__x000a_Write description in maximum of 500 words"/>
    <n v="5"/>
    <n v="5"/>
    <m/>
  </r>
  <r>
    <x v="8"/>
    <s v="QlM"/>
    <s v="3.6.1"/>
    <s v="Extension activities are carried out in the neighbourhood community, sensitising students to social issues, for their holistic development, and impact thereof during the last five years _x000a__x000a_Describe the impact of extension activities in sensitising students to social issues and holistic development within a maximum of 500 words _x000a_"/>
    <n v="10"/>
    <n v="10"/>
    <m/>
  </r>
  <r>
    <x v="9"/>
    <s v="QlM"/>
    <s v="4.1.1"/>
    <s v="The Institution has adequate infrastructure and physical facilities for teaching – learning, viz., classrooms, laboratories, computing equipment, etc. _x000a__x000a_Describe the adequacy of facilities for teaching –learning as per the minimum specified requirement by statutory bodies within a maximum of 500 words _x000a__x000a_"/>
    <n v="6"/>
    <n v="10"/>
    <n v="33"/>
  </r>
  <r>
    <x v="9"/>
    <s v="QlM"/>
    <s v="4.1.2"/>
    <s v="The institution has adequate facilities for cultural activities, yoga, games (indoor, outdoor) and sports. (gymnasium, yoga centre, auditorium, etc.) _x000a__x000a_Describe the adequacy facilities for cultural activities, yoga, games (indoor, outdoor) and sports which include specification about area/size, year of establishment and user rate within minimum of 500 characters and maximum of 500 words_x000a_"/>
    <n v="4"/>
    <m/>
    <m/>
  </r>
  <r>
    <x v="10"/>
    <s v="QlM"/>
    <s v="4.2.1"/>
    <s v="Library is automated using Integrated Library Management System (ILMS) _x000a_"/>
    <n v="5"/>
    <n v="5"/>
    <m/>
  </r>
  <r>
    <x v="11"/>
    <s v="QlM"/>
    <s v="4.3.1"/>
    <s v="Institution has an IT policy covering wi-fi, cyber security, etc., and allocated budget for updating its IT facilities _x000a_Describe IT facilities including Wi-Fi with date and nature of updation within a maximum of 500 words "/>
    <n v="8"/>
    <n v="8"/>
    <m/>
  </r>
  <r>
    <x v="12"/>
    <s v="QlM"/>
    <s v="4.4.2"/>
    <s v="There are established systems and procedures for maintaining and utilizing physical, academic and support facilities – laboratory, library, sports complex, computers, classrooms etc. _x000a__x000a_Describe policy details of systems and procedures for maintaining and utilizing physical, academic and support facilities on the website within a minimum of 500 word and maximum of 1000 words  _x000a_"/>
    <n v="10"/>
    <n v="10"/>
    <m/>
  </r>
  <r>
    <x v="13"/>
    <s v="QlM"/>
    <s v="5.3.2"/>
    <s v="Presence of an active Student Council &amp; representation of students on academic &amp; administrative bodies/committees of the institution _x000a__x000a_Describe the Student Council activity and students role in academic &amp; administrative bodies within a minimum of 500 characters and maximum of 500 words  _x000a_"/>
    <n v="10"/>
    <n v="10"/>
    <n v="15"/>
  </r>
  <r>
    <x v="14"/>
    <s v="QlM"/>
    <s v="5.4.1"/>
    <s v="The Alumni Association/Chapters (registered and functional)contributes significantly to the development of the institution through financial and other support services _x000a__x000a_Describe contribution of alumni association to the institution within a maximum of 500 words _x000a_"/>
    <n v="5"/>
    <n v="5"/>
    <m/>
  </r>
  <r>
    <x v="15"/>
    <s v="QlM"/>
    <s v="6.1.1"/>
    <s v="The governance of the institution is reflective of an effective leadership in tune with the vision and mission of the Institution _x000a__x000a_Describe the vision and mission statement of the institution on the nature of governance, perspective plans and participation of the teachers in the decision making bodies of the institution within a maximum of 500 words. "/>
    <n v="5"/>
    <n v="10"/>
    <n v="50"/>
  </r>
  <r>
    <x v="15"/>
    <s v="QlM"/>
    <s v="6.1.2"/>
    <s v="The effective leadership is reflected in various institutional practices such as decentralization and participative management _x000a__x000a_Upload a case study showing practicing decentralisation and participative management in the institution in not more than 500 words "/>
    <n v="5"/>
    <m/>
    <m/>
  </r>
  <r>
    <x v="16"/>
    <s v="QlM"/>
    <s v="6.2.1"/>
    <s v="The institutional Strategic/ Perspective plan is effectively deployed _x000a__x000a_Describe one activity successfully implemented based on the strategic plan within a maximum of 500 words  _x000a_"/>
    <n v="2"/>
    <n v="6"/>
    <m/>
  </r>
  <r>
    <x v="16"/>
    <s v="QlM"/>
    <s v="6.2.2"/>
    <s v="The functioning of the institutional bodies is effective and efficient as visible from policies, administrative setup appointment and service rules, procedures, etc. _x000a__x000a_Describe the Organogram of the Institution within a maximum of 500 words_x000a_"/>
    <n v="4"/>
    <m/>
    <m/>
  </r>
  <r>
    <x v="17"/>
    <s v="QlM"/>
    <s v="6.3.1"/>
    <s v="The institution has effective welfare measures for teaching and non-teaching staff and avenues for career development/ progression _x000a__x000a_Provide the list of existing welfare measures for teaching and non-teaching staff in maximum of 500 words "/>
    <n v="4"/>
    <n v="4"/>
    <m/>
  </r>
  <r>
    <x v="18"/>
    <s v="QlM"/>
    <s v="6.4.1"/>
    <s v="Institution conducts internal and external financial audits regularly _x000a__x000a_Enumerate the various internal and external financial audits carried out during the last five years with the mechanism for settling audit objections within a maximum of 500 words "/>
    <n v="4"/>
    <n v="10"/>
    <m/>
  </r>
  <r>
    <x v="18"/>
    <s v="QlM"/>
    <s v="6.4.3"/>
    <s v="Institutional strategies for mobilisation of funds and the optimal utilisation of resources _x000a_Describe the resource mobilisation policy and procedures of the Institution within a maximum of 500 words _x000a_"/>
    <n v="6"/>
    <m/>
    <m/>
  </r>
  <r>
    <x v="19"/>
    <s v="QlM"/>
    <s v="6.5.1"/>
    <s v="Internal Quality Assurance Cell (IQAC) has contributed significantly for institutionalizing the quality assurance strategies and processes visible in terms of – _x000a__x000a_Incremental improvements made for the preceding five years with regard to quality (in case of first cycle) _x000a__x000a_Incremental improvements made for the preceding five years with regard to quality and post accreditation quality initiatives (second and subsequent cycles) _x000a__x000a_Describe two practices institutionalized as a result of IQAC initiatives within a maximum of 500 words "/>
    <n v="10"/>
    <n v="20"/>
    <m/>
  </r>
  <r>
    <x v="19"/>
    <s v="QlM"/>
    <s v="6.5.2"/>
    <s v="The institution reviews its teaching learning process, structures &amp; methodologies of operations and learning outcomes at periodic intervals through IQAC set up as per norms _x000a_Describe any two examples of institutional reviews and implementation of teaching learning reforms facilitated by the IQAC within a maximum of 500 words each "/>
    <n v="10"/>
    <m/>
    <m/>
  </r>
  <r>
    <x v="20"/>
    <s v="QlM"/>
    <s v="7.1.1"/>
    <s v="Measures initiated by the Institution for the promotion of gender equity during the last five years. _x000a_Describe gender equity &amp; sensitization in curricular and co-curricular activities, facilities for women on campus etc., within 500 words _x000a__x000a_"/>
    <n v="5"/>
    <n v="23"/>
    <n v="73"/>
  </r>
  <r>
    <x v="20"/>
    <s v="QlM"/>
    <s v="7.1.3"/>
    <s v="Describe the facilities in the Institution for the management of the following types of degradable and non-degradable waste (within 500 words) _x000a_1. Solid waste management _x000a_2. Liquid waste management _x000a_3. Biomedical waste management _x000a_4. E-waste management _x000a_5. Waste recycling system _x000a_6. Hazardous chemicals and radioactive waste management _x000a_"/>
    <n v="4"/>
    <m/>
    <m/>
  </r>
  <r>
    <x v="20"/>
    <s v="QlM"/>
    <s v="7.1.8"/>
    <s v="Describe the Institutional efforts/initiatives in providing an inclusive environment i.e., tolerance and harmony towards cultural, regional, linguistic, communal socioeconomic and other diversities (within 500 words). "/>
    <n v="5"/>
    <m/>
    <m/>
  </r>
  <r>
    <x v="20"/>
    <s v="QlM"/>
    <s v="7.1.9"/>
    <s v="Sensitization of students and employees of the Institution to the constitutional obligations: values, rights, duties and responsibilities of citizens _x000a__x000a_Describe the various activities in the Institution for inculcating values for being responsible citizens as reflected in the Constitution of India within 500 words. "/>
    <n v="4"/>
    <m/>
    <m/>
  </r>
  <r>
    <x v="20"/>
    <s v="QlM"/>
    <s v="7.1.11"/>
    <s v="Institution celebrates / organizes national and international commemorative days, events and festivals _x000a_Describe the efforts of the Institution in celebrating /organizing national and international commemorative days, events and festivals during the last five years within 500 words "/>
    <n v="5"/>
    <m/>
    <m/>
  </r>
  <r>
    <x v="21"/>
    <s v="QlM"/>
    <s v="7.2.1"/>
    <s v="Describe two best practices successfully implemented by the Institution as per NAAC format provided in the Manual. "/>
    <n v="30"/>
    <n v="30"/>
    <m/>
  </r>
  <r>
    <x v="22"/>
    <s v="QlM"/>
    <s v="7.3.1"/>
    <s v="Portray the performance of the Institution in one area distinctive to its priority and thrust within 1000 words  "/>
    <n v="20"/>
    <n v="2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6"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178:G181" firstHeaderRow="1" firstDataRow="1" firstDataCol="1"/>
  <pivotFields count="16">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3"/>
  </rowFields>
  <rowItems count="3">
    <i>
      <x/>
    </i>
    <i>
      <x v="1"/>
    </i>
    <i t="grand">
      <x/>
    </i>
  </rowItems>
  <colItems count="1">
    <i/>
  </colItems>
  <dataFields count="1">
    <dataField name="Average of Metric" fld="10" subtotal="average" baseField="3" baseItem="0"/>
  </dataFields>
  <formats count="8">
    <format dxfId="64">
      <pivotArea collapsedLevelsAreSubtotals="1" fieldPosition="0">
        <references count="1">
          <reference field="3" count="1">
            <x v="1"/>
          </reference>
        </references>
      </pivotArea>
    </format>
    <format dxfId="63">
      <pivotArea collapsedLevelsAreSubtotals="1" fieldPosition="0">
        <references count="1">
          <reference field="3" count="1">
            <x v="1"/>
          </reference>
        </references>
      </pivotArea>
    </format>
    <format dxfId="62">
      <pivotArea field="3" type="button" dataOnly="0" labelOnly="1" outline="0" axis="axisRow" fieldPosition="0"/>
    </format>
    <format dxfId="61">
      <pivotArea dataOnly="0" labelOnly="1" fieldPosition="0">
        <references count="1">
          <reference field="3" count="0"/>
        </references>
      </pivotArea>
    </format>
    <format dxfId="60">
      <pivotArea dataOnly="0" labelOnly="1" grandRow="1" outline="0" fieldPosition="0"/>
    </format>
    <format dxfId="59">
      <pivotArea field="3" type="button" dataOnly="0" labelOnly="1" outline="0" axis="axisRow" fieldPosition="0"/>
    </format>
    <format dxfId="58">
      <pivotArea dataOnly="0" labelOnly="1" fieldPosition="0">
        <references count="1">
          <reference field="3" count="0"/>
        </references>
      </pivotArea>
    </format>
    <format dxfId="57">
      <pivotArea dataOnly="0" labelOnly="1" grandRow="1" outline="0"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142:G177" firstHeaderRow="1" firstDataRow="1" firstDataCol="1"/>
  <pivotFields count="11">
    <pivotField showAll="0"/>
    <pivotField showAll="0"/>
    <pivotField axis="axisRow" showAll="0" sortType="ascending">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pivotField showAll="0"/>
    <pivotField showAll="0"/>
    <pivotField showAll="0"/>
    <pivotField showAll="0"/>
    <pivotField showAll="0"/>
    <pivotField showAll="0"/>
    <pivotField dataField="1" showAll="0"/>
  </pivotFields>
  <rowFields count="1">
    <field x="2"/>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Average of Metric" fld="10" subtotal="average" baseField="2" baseItem="0"/>
  </dataFields>
  <formats count="7">
    <format dxfId="71">
      <pivotArea collapsedLevelsAreSubtotals="1" fieldPosition="0">
        <references count="1">
          <reference field="2" count="0"/>
        </references>
      </pivotArea>
    </format>
    <format dxfId="70">
      <pivotArea field="2" type="button" dataOnly="0" labelOnly="1" outline="0" axis="axisRow" fieldPosition="0"/>
    </format>
    <format dxfId="69">
      <pivotArea dataOnly="0" labelOnly="1" fieldPosition="0">
        <references count="1">
          <reference field="2" count="0"/>
        </references>
      </pivotArea>
    </format>
    <format dxfId="68">
      <pivotArea dataOnly="0" labelOnly="1" grandRow="1" outline="0" fieldPosition="0"/>
    </format>
    <format dxfId="67">
      <pivotArea field="2" type="button" dataOnly="0" labelOnly="1" outline="0" axis="axisRow" fieldPosition="0"/>
    </format>
    <format dxfId="66">
      <pivotArea dataOnly="0" labelOnly="1" fieldPosition="0">
        <references count="1">
          <reference field="2" count="0"/>
        </references>
      </pivotArea>
    </format>
    <format dxfId="65">
      <pivotArea dataOnly="0" labelOnly="1" grandRow="1" outline="0"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121:G129" firstHeaderRow="1" firstDataRow="1" firstDataCol="1"/>
  <pivotFields count="11">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8">
    <i>
      <x/>
    </i>
    <i>
      <x v="1"/>
    </i>
    <i>
      <x v="2"/>
    </i>
    <i>
      <x v="3"/>
    </i>
    <i>
      <x v="4"/>
    </i>
    <i>
      <x v="5"/>
    </i>
    <i>
      <x v="6"/>
    </i>
    <i t="grand">
      <x/>
    </i>
  </rowItems>
  <colItems count="1">
    <i/>
  </colItems>
  <dataFields count="1">
    <dataField name="Average of Metric" fld="10" subtotal="average" baseField="1" baseItem="0"/>
  </dataFields>
  <formats count="11">
    <format dxfId="82">
      <pivotArea collapsedLevelsAreSubtotals="1" fieldPosition="0">
        <references count="1">
          <reference field="1" count="1">
            <x v="6"/>
          </reference>
        </references>
      </pivotArea>
    </format>
    <format dxfId="81">
      <pivotArea collapsedLevelsAreSubtotals="1" fieldPosition="0">
        <references count="1">
          <reference field="1" count="1">
            <x v="6"/>
          </reference>
        </references>
      </pivotArea>
    </format>
    <format dxfId="80">
      <pivotArea collapsedLevelsAreSubtotals="1" fieldPosition="0">
        <references count="1">
          <reference field="1" count="1">
            <x v="6"/>
          </reference>
        </references>
      </pivotArea>
    </format>
    <format dxfId="79">
      <pivotArea collapsedLevelsAreSubtotals="1" fieldPosition="0">
        <references count="1">
          <reference field="1" count="1">
            <x v="6"/>
          </reference>
        </references>
      </pivotArea>
    </format>
    <format dxfId="78">
      <pivotArea collapsedLevelsAreSubtotals="1" fieldPosition="0">
        <references count="1">
          <reference field="1" count="6">
            <x v="0"/>
            <x v="1"/>
            <x v="2"/>
            <x v="3"/>
            <x v="4"/>
            <x v="5"/>
          </reference>
        </references>
      </pivotArea>
    </format>
    <format dxfId="77">
      <pivotArea field="1" type="button" dataOnly="0" labelOnly="1" outline="0" axis="axisRow" fieldPosition="0"/>
    </format>
    <format dxfId="76">
      <pivotArea dataOnly="0" labelOnly="1" fieldPosition="0">
        <references count="1">
          <reference field="1" count="0"/>
        </references>
      </pivotArea>
    </format>
    <format dxfId="75">
      <pivotArea dataOnly="0" labelOnly="1" grandRow="1" outline="0" fieldPosition="0"/>
    </format>
    <format dxfId="74">
      <pivotArea field="1" type="button" dataOnly="0" labelOnly="1" outline="0" axis="axisRow" fieldPosition="0"/>
    </format>
    <format dxfId="73">
      <pivotArea dataOnly="0" labelOnly="1" fieldPosition="0">
        <references count="1">
          <reference field="1" count="0"/>
        </references>
      </pivotArea>
    </format>
    <format dxfId="72">
      <pivotArea dataOnly="0" labelOnly="1" grandRow="1" outline="0"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184:G292" firstHeaderRow="1" firstDataRow="1" firstDataCol="1"/>
  <pivotFields count="12">
    <pivotField showAll="0"/>
    <pivotField showAll="0"/>
    <pivotField showAll="0"/>
    <pivotField showAll="0"/>
    <pivotField axis="axisRow" showAll="0" sortType="ascending">
      <items count="1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103"/>
        <item x="104"/>
        <item x="95"/>
        <item x="96"/>
        <item x="97"/>
        <item x="98"/>
        <item x="99"/>
        <item x="100"/>
        <item x="101"/>
        <item x="102"/>
        <item x="105"/>
        <item x="106"/>
        <item t="default"/>
      </items>
    </pivotField>
    <pivotField showAll="0"/>
    <pivotField showAll="0"/>
    <pivotField showAll="0"/>
    <pivotField showAll="0"/>
    <pivotField showAll="0"/>
    <pivotField dataField="1" showAll="0"/>
    <pivotField showAll="0"/>
  </pivotFields>
  <rowFields count="1">
    <field x="4"/>
  </rowFields>
  <rowItems count="10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t="grand">
      <x/>
    </i>
  </rowItems>
  <colItems count="1">
    <i/>
  </colItems>
  <dataFields count="1">
    <dataField name="Average of Metric" fld="10" subtotal="average" baseField="4" baseItem="0"/>
  </dataFields>
  <formats count="10">
    <format dxfId="92">
      <pivotArea field="4" type="button" dataOnly="0" labelOnly="1" outline="0" axis="axisRow" fieldPosition="0"/>
    </format>
    <format dxfId="91">
      <pivotArea dataOnly="0" labelOnly="1"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0">
      <pivotArea dataOnly="0" labelOnly="1" fieldPosition="0">
        <references count="1">
          <reference field="4"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9">
      <pivotArea dataOnly="0" labelOnly="1" fieldPosition="0">
        <references count="1">
          <reference field="4" count="7">
            <x v="100"/>
            <x v="101"/>
            <x v="102"/>
            <x v="103"/>
            <x v="104"/>
            <x v="105"/>
            <x v="106"/>
          </reference>
        </references>
      </pivotArea>
    </format>
    <format dxfId="88">
      <pivotArea dataOnly="0" labelOnly="1" grandRow="1" outline="0" fieldPosition="0"/>
    </format>
    <format dxfId="87">
      <pivotArea field="4" type="button" dataOnly="0" labelOnly="1" outline="0" axis="axisRow" fieldPosition="0"/>
    </format>
    <format dxfId="86">
      <pivotArea dataOnly="0" labelOnly="1"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5">
      <pivotArea dataOnly="0" labelOnly="1" fieldPosition="0">
        <references count="1">
          <reference field="4"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4">
      <pivotArea dataOnly="0" labelOnly="1" fieldPosition="0">
        <references count="1">
          <reference field="4" count="7">
            <x v="100"/>
            <x v="101"/>
            <x v="102"/>
            <x v="103"/>
            <x v="104"/>
            <x v="105"/>
            <x v="106"/>
          </reference>
        </references>
      </pivotArea>
    </format>
    <format dxfId="83">
      <pivotArea dataOnly="0" labelOnly="1" grandRow="1"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93:G118" firstHeaderRow="1" firstDataRow="1" firstDataCol="1"/>
  <pivotFields count="11">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defaultSubtotal="0"/>
    <pivotField dataField="1"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Metric" fld="10" subtotal="average" baseField="2" baseItem="0"/>
  </dataFields>
  <formats count="11">
    <format dxfId="28">
      <pivotArea dataOnly="0" labelOnly="1" outline="0" axis="axisValues" fieldPosition="0"/>
    </format>
    <format dxfId="27">
      <pivotArea dataOnly="0" labelOnly="1" outline="0" axis="axisValues" fieldPosition="0"/>
    </format>
    <format dxfId="26">
      <pivotArea field="2" type="button" dataOnly="0" labelOnly="1" outline="0" axis="axisRow" fieldPosition="0"/>
    </format>
    <format dxfId="25">
      <pivotArea dataOnly="0" labelOnly="1" fieldPosition="0">
        <references count="1">
          <reference field="2" count="0"/>
        </references>
      </pivotArea>
    </format>
    <format dxfId="24">
      <pivotArea dataOnly="0" labelOnly="1" grandRow="1" outline="0" fieldPosition="0"/>
    </format>
    <format dxfId="23">
      <pivotArea field="2" type="button" dataOnly="0" labelOnly="1" outline="0" axis="axisRow" fieldPosition="0"/>
    </format>
    <format dxfId="22">
      <pivotArea dataOnly="0" labelOnly="1" fieldPosition="0">
        <references count="1">
          <reference field="2" count="0"/>
        </references>
      </pivotArea>
    </format>
    <format dxfId="21">
      <pivotArea dataOnly="0" labelOnly="1" grandRow="1" outline="0" fieldPosition="0"/>
    </format>
    <format dxfId="20">
      <pivotArea field="2" type="button" dataOnly="0" labelOnly="1" outline="0" axis="axisRow" fieldPosition="0"/>
    </format>
    <format dxfId="19">
      <pivotArea dataOnly="0" labelOnly="1" fieldPosition="0">
        <references count="1">
          <reference field="2" count="0"/>
        </references>
      </pivotArea>
    </format>
    <format dxfId="18">
      <pivotArea dataOnly="0" labelOnly="1" grandRow="1" outline="0" fieldPosition="0"/>
    </format>
  </format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2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78:G87" firstHeaderRow="1" firstDataRow="1" firstDataCol="1"/>
  <pivotFields count="11">
    <pivotField showAll="0"/>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showAll="0" defaultSubtotal="0"/>
    <pivotField dataField="1" showAll="0"/>
  </pivotFields>
  <rowFields count="1">
    <field x="1"/>
  </rowFields>
  <rowItems count="9">
    <i>
      <x/>
    </i>
    <i>
      <x v="1"/>
    </i>
    <i>
      <x v="2"/>
    </i>
    <i>
      <x v="3"/>
    </i>
    <i>
      <x v="4"/>
    </i>
    <i>
      <x v="5"/>
    </i>
    <i>
      <x v="6"/>
    </i>
    <i>
      <x v="7"/>
    </i>
    <i t="grand">
      <x/>
    </i>
  </rowItems>
  <colItems count="1">
    <i/>
  </colItems>
  <dataFields count="1">
    <dataField name="Average of Metric" fld="10" subtotal="average" baseField="1" baseItem="0"/>
  </dataFields>
  <formats count="16">
    <format dxfId="44">
      <pivotArea collapsedLevelsAreSubtotals="1" fieldPosition="0">
        <references count="1">
          <reference field="1" count="1">
            <x v="1"/>
          </reference>
        </references>
      </pivotArea>
    </format>
    <format dxfId="43">
      <pivotArea collapsedLevelsAreSubtotals="1" fieldPosition="0">
        <references count="1">
          <reference field="1" count="1">
            <x v="3"/>
          </reference>
        </references>
      </pivotArea>
    </format>
    <format dxfId="42">
      <pivotArea collapsedLevelsAreSubtotals="1" fieldPosition="0">
        <references count="1">
          <reference field="1" count="1">
            <x v="4"/>
          </reference>
        </references>
      </pivotArea>
    </format>
    <format dxfId="41">
      <pivotArea dataOnly="0" labelOnly="1" outline="0" axis="axisValues" fieldPosition="0"/>
    </format>
    <format dxfId="40">
      <pivotArea dataOnly="0" labelOnly="1" outline="0" axis="axisValues" fieldPosition="0"/>
    </format>
    <format dxfId="39">
      <pivotArea dataOnly="0" labelOnly="1" outline="0" axis="axisValues" fieldPosition="0"/>
    </format>
    <format dxfId="38">
      <pivotArea dataOnly="0" labelOnly="1" outline="0" axis="axisValues"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 dxfId="34">
      <pivotArea field="1" type="button" dataOnly="0" labelOnly="1" outline="0" axis="axisRow" fieldPosition="0"/>
    </format>
    <format dxfId="33">
      <pivotArea dataOnly="0" labelOnly="1" fieldPosition="0">
        <references count="1">
          <reference field="1" count="0"/>
        </references>
      </pivotArea>
    </format>
    <format dxfId="32">
      <pivotArea dataOnly="0" labelOnly="1" grandRow="1" outline="0" fieldPosition="0"/>
    </format>
    <format dxfId="31">
      <pivotArea field="1" type="button" dataOnly="0" labelOnly="1" outline="0" axis="axisRow" fieldPosition="0"/>
    </format>
    <format dxfId="30">
      <pivotArea dataOnly="0" labelOnly="1" fieldPosition="0">
        <references count="1">
          <reference field="1" count="0"/>
        </references>
      </pivotArea>
    </format>
    <format dxfId="29">
      <pivotArea dataOnly="0" labelOnly="1" grandRow="1" outline="0"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3"/>
          </reference>
        </references>
      </pivotArea>
    </chartFormat>
    <chartFormat chart="1" format="3">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120:G193" firstHeaderRow="1" firstDataRow="1" firstDataCol="1"/>
  <pivotFields count="11">
    <pivotField showAll="0"/>
    <pivotField showAll="0"/>
    <pivotField showAll="0"/>
    <pivotField showAll="0"/>
    <pivotField axis="axisRow" showAll="0" sortType="ascending">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71"/>
        <item x="66"/>
        <item x="67"/>
        <item x="68"/>
        <item x="69"/>
        <item x="70"/>
        <item t="default"/>
      </items>
    </pivotField>
    <pivotField showAll="0"/>
    <pivotField showAll="0"/>
    <pivotField showAll="0"/>
    <pivotField showAll="0"/>
    <pivotField showAll="0" defaultSubtotal="0"/>
    <pivotField dataField="1" showAll="0"/>
  </pivotFields>
  <rowFields count="1">
    <field x="4"/>
  </rowFields>
  <rowItems count="7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t="grand">
      <x/>
    </i>
  </rowItems>
  <colItems count="1">
    <i/>
  </colItems>
  <dataFields count="1">
    <dataField name="Average of Metric" fld="10" subtotal="average" baseField="4" baseItem="0"/>
  </dataFields>
  <formats count="12">
    <format dxfId="56">
      <pivotArea dataOnly="0" labelOnly="1" outline="0" axis="axisValues" fieldPosition="0"/>
    </format>
    <format dxfId="55">
      <pivotArea dataOnly="0" labelOnly="1" outline="0" axis="axisValues" fieldPosition="0"/>
    </format>
    <format dxfId="54">
      <pivotArea field="4" type="button" dataOnly="0" labelOnly="1" outline="0" axis="axisRow" fieldPosition="0"/>
    </format>
    <format dxfId="53">
      <pivotArea dataOnly="0" labelOnly="1" fieldPosition="0">
        <references count="1">
          <reference field="4" count="0"/>
        </references>
      </pivotArea>
    </format>
    <format dxfId="52">
      <pivotArea dataOnly="0" labelOnly="1" grandRow="1" outline="0" fieldPosition="0"/>
    </format>
    <format dxfId="51">
      <pivotArea field="4" type="button" dataOnly="0" labelOnly="1" outline="0" axis="axisRow" fieldPosition="0"/>
    </format>
    <format dxfId="50">
      <pivotArea dataOnly="0" labelOnly="1" fieldPosition="0">
        <references count="1">
          <reference field="4" count="0"/>
        </references>
      </pivotArea>
    </format>
    <format dxfId="49">
      <pivotArea dataOnly="0" labelOnly="1" grandRow="1" outline="0" fieldPosition="0"/>
    </format>
    <format dxfId="48">
      <pivotArea field="4" type="button" dataOnly="0" labelOnly="1" outline="0" axis="axisRow" fieldPosition="0"/>
    </format>
    <format dxfId="47">
      <pivotArea dataOnly="0" labelOnly="1" fieldPosition="0">
        <references count="1">
          <reference field="4" count="50">
            <x v="0"/>
            <x v="1"/>
            <x v="2"/>
            <x v="3"/>
            <x v="4"/>
            <x v="5"/>
            <x v="6"/>
            <x v="7"/>
            <x v="8"/>
            <x v="9"/>
            <x v="10"/>
            <x v="11"/>
            <x v="12"/>
            <x v="13"/>
            <x v="14"/>
            <x v="15"/>
            <x v="16"/>
            <x v="17"/>
            <x v="18"/>
            <x v="19"/>
            <x v="20"/>
            <x v="21"/>
            <x v="22"/>
            <x v="23"/>
            <x v="24"/>
            <x v="25"/>
            <x v="26"/>
            <x v="27"/>
            <x v="28"/>
            <x v="29"/>
            <x v="30"/>
            <x v="31"/>
            <x v="32"/>
            <x v="33"/>
            <x v="34"/>
            <x v="35"/>
            <x v="36"/>
            <x v="37"/>
            <x v="45"/>
            <x v="48"/>
            <x v="49"/>
            <x v="50"/>
            <x v="51"/>
            <x v="52"/>
            <x v="54"/>
            <x v="55"/>
            <x v="57"/>
            <x v="61"/>
            <x v="62"/>
            <x v="67"/>
          </reference>
        </references>
      </pivotArea>
    </format>
    <format dxfId="46">
      <pivotArea dataOnly="0" labelOnly="1" fieldPosition="0">
        <references count="1">
          <reference field="4" count="22">
            <x v="38"/>
            <x v="39"/>
            <x v="40"/>
            <x v="41"/>
            <x v="42"/>
            <x v="43"/>
            <x v="44"/>
            <x v="46"/>
            <x v="47"/>
            <x v="53"/>
            <x v="56"/>
            <x v="58"/>
            <x v="59"/>
            <x v="60"/>
            <x v="63"/>
            <x v="64"/>
            <x v="65"/>
            <x v="66"/>
            <x v="68"/>
            <x v="69"/>
            <x v="70"/>
            <x v="71"/>
          </reference>
        </references>
      </pivotArea>
    </format>
    <format dxfId="45">
      <pivotArea dataOnly="0" labelOnly="1" grandRow="1" outline="0"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0:C64" firstHeaderRow="1" firstDataRow="1" firstDataCol="1"/>
  <pivotFields count="7">
    <pivotField axis="axisRow" showAll="0">
      <items count="24">
        <item x="0"/>
        <item x="1"/>
        <item x="2"/>
        <item x="3"/>
        <item x="4"/>
        <item x="5"/>
        <item x="6"/>
        <item x="7"/>
        <item x="8"/>
        <item x="9"/>
        <item x="10"/>
        <item x="11"/>
        <item x="12"/>
        <item x="13"/>
        <item x="14"/>
        <item x="15"/>
        <item x="16"/>
        <item x="17"/>
        <item x="18"/>
        <item x="19"/>
        <item x="20"/>
        <item x="21"/>
        <item x="22"/>
        <item t="default"/>
      </items>
    </pivotField>
    <pivotField showAll="0"/>
    <pivotField showAll="0"/>
    <pivotField showAll="0" defaultSubtotal="0"/>
    <pivotField showAll="0" defaultSubtotal="0"/>
    <pivotField dataField="1" showAll="0" defaultSubtotal="0"/>
    <pivotField showAll="0" defaultSubtota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KI" fld="5"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45:G81" firstHeaderRow="1" firstDataRow="1" firstDataCol="1"/>
  <pivotFields count="11">
    <pivotField showAll="0"/>
    <pivotField showAll="0"/>
    <pivotField showAll="0"/>
    <pivotField showAll="0"/>
    <pivotField axis="axisRow" showAll="0" sortType="ascending">
      <items count="36">
        <item x="0"/>
        <item x="1"/>
        <item x="2"/>
        <item x="3"/>
        <item x="4"/>
        <item x="5"/>
        <item x="6"/>
        <item x="7"/>
        <item x="8"/>
        <item x="9"/>
        <item x="10"/>
        <item x="11"/>
        <item x="12"/>
        <item x="13"/>
        <item x="14"/>
        <item x="15"/>
        <item x="16"/>
        <item x="17"/>
        <item x="18"/>
        <item x="19"/>
        <item x="20"/>
        <item x="21"/>
        <item x="22"/>
        <item x="23"/>
        <item x="24"/>
        <item x="25"/>
        <item x="26"/>
        <item x="27"/>
        <item x="28"/>
        <item x="32"/>
        <item x="29"/>
        <item x="30"/>
        <item x="31"/>
        <item x="33"/>
        <item x="34"/>
        <item t="default"/>
      </items>
    </pivotField>
    <pivotField showAll="0"/>
    <pivotField showAll="0"/>
    <pivotField showAll="0"/>
    <pivotField showAll="0"/>
    <pivotField showAll="0"/>
    <pivotField dataField="1" showAll="0"/>
  </pivotFields>
  <rowFields count="1">
    <field x="4"/>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Average of Metric" fld="10" subtotal="average" baseField="4" baseItem="0"/>
  </dataFields>
  <formats count="6">
    <format dxfId="5">
      <pivotArea field="4" type="button" dataOnly="0" labelOnly="1" outline="0" axis="axisRow" fieldPosition="0"/>
    </format>
    <format dxfId="4">
      <pivotArea dataOnly="0" labelOnly="1" fieldPosition="0">
        <references count="1">
          <reference field="4" count="0"/>
        </references>
      </pivotArea>
    </format>
    <format dxfId="3">
      <pivotArea dataOnly="0" labelOnly="1" grandRow="1" outline="0" fieldPosition="0"/>
    </format>
    <format dxfId="2">
      <pivotArea field="4" type="button" dataOnly="0" labelOnly="1" outline="0" axis="axisRow" fieldPosition="0"/>
    </format>
    <format dxfId="1">
      <pivotArea dataOnly="0" labelOnly="1" fieldPosition="0">
        <references count="1">
          <reference field="4" count="0"/>
        </references>
      </pivotArea>
    </format>
    <format dxfId="0">
      <pivotArea dataOnly="0" labelOnly="1" grandRow="1"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6"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110:G118" firstHeaderRow="1" firstDataRow="1" firstDataCol="1"/>
  <pivotFields count="11">
    <pivotField showAll="0"/>
    <pivotField axis="axisRow" showAll="0">
      <items count="9">
        <item x="0"/>
        <item x="1"/>
        <item x="2"/>
        <item x="3"/>
        <item x="4"/>
        <item x="5"/>
        <item x="6"/>
        <item m="1" x="7"/>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8">
    <i>
      <x/>
    </i>
    <i>
      <x v="1"/>
    </i>
    <i>
      <x v="2"/>
    </i>
    <i>
      <x v="3"/>
    </i>
    <i>
      <x v="4"/>
    </i>
    <i>
      <x v="5"/>
    </i>
    <i>
      <x v="6"/>
    </i>
    <i t="grand">
      <x/>
    </i>
  </rowItems>
  <colItems count="1">
    <i/>
  </colItems>
  <dataFields count="1">
    <dataField name="Average of Metric" fld="10" subtotal="average" baseField="1" baseItem="0"/>
  </dataFields>
  <formats count="6">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grandRow="1" outline="0" fieldPosition="0"/>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grandRow="1"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5"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84:G108" firstHeaderRow="1" firstDataRow="1" firstDataCol="1"/>
  <pivotFields count="11">
    <pivotField showAll="0"/>
    <pivotField showAll="0"/>
    <pivotField axis="axisRow" showAll="0" sortType="ascending">
      <items count="24">
        <item x="0"/>
        <item x="1"/>
        <item x="2"/>
        <item x="3"/>
        <item x="4"/>
        <item x="5"/>
        <item x="6"/>
        <item x="7"/>
        <item x="8"/>
        <item x="9"/>
        <item x="10"/>
        <item x="11"/>
        <item x="12"/>
        <item x="13"/>
        <item x="14"/>
        <item x="15"/>
        <item x="16"/>
        <item x="17"/>
        <item x="18"/>
        <item x="19"/>
        <item x="20"/>
        <item x="21"/>
        <item x="22"/>
        <item t="default"/>
      </items>
    </pivotField>
    <pivotField showAll="0"/>
    <pivotField showAll="0"/>
    <pivotField showAll="0"/>
    <pivotField showAll="0"/>
    <pivotField showAll="0"/>
    <pivotField showAll="0"/>
    <pivotField showAll="0"/>
    <pivotField dataField="1" showAll="0"/>
  </pivotFields>
  <rowFields count="1">
    <field x="2"/>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Average of Metric" fld="10" subtotal="average" baseField="2" baseItem="0"/>
  </dataFields>
  <formats count="6">
    <format dxfId="17">
      <pivotArea field="2" type="button" dataOnly="0" labelOnly="1" outline="0" axis="axisRow" fieldPosition="0"/>
    </format>
    <format dxfId="16">
      <pivotArea dataOnly="0" labelOnly="1" fieldPosition="0">
        <references count="1">
          <reference field="2" count="0"/>
        </references>
      </pivotArea>
    </format>
    <format dxfId="15">
      <pivotArea dataOnly="0" labelOnly="1" grandRow="1" outline="0" fieldPosition="0"/>
    </format>
    <format dxfId="14">
      <pivotArea field="2" type="button" dataOnly="0" labelOnly="1" outline="0" axis="axisRow" fieldPosition="0"/>
    </format>
    <format dxfId="13">
      <pivotArea dataOnly="0" labelOnly="1" fieldPosition="0">
        <references count="1">
          <reference field="2" count="0"/>
        </references>
      </pivotArea>
    </format>
    <format dxfId="12">
      <pivotArea dataOnly="0" labelOnly="1" grandRow="1" outline="0"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3.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5.xml"/><Relationship Id="rId5" Type="http://schemas.openxmlformats.org/officeDocument/2006/relationships/printerSettings" Target="../printerSettings/printerSettings8.bin"/><Relationship Id="rId4"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I10" sqref="I9:I10"/>
    </sheetView>
  </sheetViews>
  <sheetFormatPr defaultRowHeight="15" x14ac:dyDescent="0.25"/>
  <cols>
    <col min="1" max="1" width="14.5703125" bestFit="1" customWidth="1"/>
    <col min="3" max="3" width="10.42578125" customWidth="1"/>
  </cols>
  <sheetData>
    <row r="1" spans="1:7" s="14" customFormat="1" ht="30" x14ac:dyDescent="0.25">
      <c r="A1" s="13" t="s">
        <v>108</v>
      </c>
      <c r="B1" s="10" t="s">
        <v>0</v>
      </c>
      <c r="C1" s="141" t="s">
        <v>2</v>
      </c>
      <c r="D1" s="141"/>
      <c r="E1" s="141"/>
      <c r="F1" s="141"/>
      <c r="G1" s="141"/>
    </row>
    <row r="2" spans="1:7" ht="25.5" customHeight="1" x14ac:dyDescent="0.25">
      <c r="A2" s="140" t="s">
        <v>105</v>
      </c>
      <c r="B2" s="3">
        <v>1.1000000000000001</v>
      </c>
      <c r="C2" s="142" t="s">
        <v>98</v>
      </c>
      <c r="D2" s="142"/>
      <c r="E2" s="142"/>
      <c r="F2" s="142"/>
      <c r="G2" s="142"/>
    </row>
    <row r="3" spans="1:7" x14ac:dyDescent="0.25">
      <c r="A3" s="140"/>
      <c r="B3" s="3" t="s">
        <v>99</v>
      </c>
      <c r="C3" s="2"/>
      <c r="D3" s="11"/>
      <c r="E3" s="11"/>
      <c r="F3" s="11"/>
      <c r="G3" s="11"/>
    </row>
    <row r="4" spans="1:7" x14ac:dyDescent="0.25">
      <c r="A4" s="140"/>
      <c r="B4" s="3" t="s">
        <v>100</v>
      </c>
      <c r="C4" s="2"/>
      <c r="D4" s="11"/>
      <c r="E4" s="11"/>
      <c r="F4" s="11"/>
      <c r="G4" s="11"/>
    </row>
    <row r="5" spans="1:7" ht="31.5" customHeight="1" x14ac:dyDescent="0.25">
      <c r="A5" s="140" t="s">
        <v>106</v>
      </c>
      <c r="B5" s="3">
        <v>2.1</v>
      </c>
      <c r="C5" s="143" t="s">
        <v>101</v>
      </c>
      <c r="D5" s="143"/>
      <c r="E5" s="143"/>
      <c r="F5" s="143"/>
      <c r="G5" s="143"/>
    </row>
    <row r="6" spans="1:7" ht="30.75" customHeight="1" x14ac:dyDescent="0.25">
      <c r="A6" s="140"/>
      <c r="B6" s="3">
        <v>2.2000000000000002</v>
      </c>
      <c r="C6" s="143" t="s">
        <v>102</v>
      </c>
      <c r="D6" s="143"/>
      <c r="E6" s="143"/>
      <c r="F6" s="143"/>
      <c r="G6" s="143"/>
    </row>
    <row r="7" spans="1:7" x14ac:dyDescent="0.25">
      <c r="A7" s="140"/>
      <c r="B7" s="3" t="s">
        <v>99</v>
      </c>
      <c r="C7" s="2"/>
      <c r="D7" s="11"/>
      <c r="E7" s="11"/>
      <c r="F7" s="11"/>
      <c r="G7" s="11"/>
    </row>
    <row r="8" spans="1:7" x14ac:dyDescent="0.25">
      <c r="A8" s="140"/>
      <c r="B8" s="3" t="s">
        <v>100</v>
      </c>
      <c r="C8" s="2"/>
      <c r="D8" s="11"/>
      <c r="E8" s="11"/>
      <c r="F8" s="11"/>
      <c r="G8" s="11"/>
    </row>
    <row r="9" spans="1:7" ht="30.75" customHeight="1" x14ac:dyDescent="0.25">
      <c r="A9" s="140" t="s">
        <v>107</v>
      </c>
      <c r="B9" s="3">
        <v>3.1</v>
      </c>
      <c r="C9" s="143" t="s">
        <v>103</v>
      </c>
      <c r="D9" s="143"/>
      <c r="E9" s="143"/>
      <c r="F9" s="143"/>
      <c r="G9" s="143"/>
    </row>
    <row r="10" spans="1:7" x14ac:dyDescent="0.25">
      <c r="A10" s="140"/>
      <c r="B10" s="3" t="s">
        <v>99</v>
      </c>
      <c r="C10" s="2"/>
      <c r="D10" s="11"/>
      <c r="E10" s="11"/>
      <c r="F10" s="11"/>
      <c r="G10" s="11"/>
    </row>
    <row r="11" spans="1:7" ht="25.5" x14ac:dyDescent="0.25">
      <c r="A11" s="140"/>
      <c r="B11" s="3" t="s">
        <v>104</v>
      </c>
      <c r="C11" s="2"/>
      <c r="D11" s="11"/>
      <c r="E11" s="11"/>
      <c r="F11" s="11"/>
      <c r="G11" s="11"/>
    </row>
  </sheetData>
  <mergeCells count="8">
    <mergeCell ref="A5:A8"/>
    <mergeCell ref="A9:A11"/>
    <mergeCell ref="A2:A4"/>
    <mergeCell ref="C1:G1"/>
    <mergeCell ref="C2:G2"/>
    <mergeCell ref="C5:G5"/>
    <mergeCell ref="C6:G6"/>
    <mergeCell ref="C9:G9"/>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09"/>
  <sheetViews>
    <sheetView topLeftCell="A104" zoomScale="80" zoomScaleNormal="80" workbookViewId="0">
      <selection activeCell="H3" sqref="H3:H109"/>
    </sheetView>
  </sheetViews>
  <sheetFormatPr defaultRowHeight="15" x14ac:dyDescent="0.25"/>
  <cols>
    <col min="1" max="1" width="3.5703125" style="1" bestFit="1" customWidth="1"/>
    <col min="2" max="3" width="16.28515625" style="6" hidden="1" customWidth="1"/>
    <col min="4" max="5" width="7" bestFit="1" customWidth="1"/>
    <col min="6" max="6" width="58.5703125" customWidth="1"/>
    <col min="7" max="7" width="3.5703125" bestFit="1" customWidth="1"/>
    <col min="8" max="8" width="12.5703125" customWidth="1"/>
    <col min="9" max="9" width="11.42578125" bestFit="1" customWidth="1"/>
  </cols>
  <sheetData>
    <row r="2" spans="1:9" s="1" customFormat="1" ht="51" x14ac:dyDescent="0.25">
      <c r="A2" s="12" t="s">
        <v>1</v>
      </c>
      <c r="B2" s="12" t="s">
        <v>112</v>
      </c>
      <c r="C2" s="12" t="s">
        <v>114</v>
      </c>
      <c r="D2" s="12" t="s">
        <v>113</v>
      </c>
      <c r="E2" s="12" t="s">
        <v>115</v>
      </c>
      <c r="F2" s="12" t="s">
        <v>124</v>
      </c>
      <c r="G2" s="12" t="s">
        <v>122</v>
      </c>
      <c r="H2" s="42" t="s">
        <v>197</v>
      </c>
      <c r="I2" s="42" t="s">
        <v>196</v>
      </c>
    </row>
    <row r="3" spans="1:9" ht="102" x14ac:dyDescent="0.25">
      <c r="A3" s="38">
        <f>SUBTOTAL(3,$B$3:B3)</f>
        <v>1</v>
      </c>
      <c r="B3" s="8" t="s">
        <v>91</v>
      </c>
      <c r="C3" s="8" t="s">
        <v>61</v>
      </c>
      <c r="D3" s="99" t="s">
        <v>58</v>
      </c>
      <c r="E3" s="99" t="s">
        <v>3</v>
      </c>
      <c r="F3" s="2" t="s">
        <v>233</v>
      </c>
      <c r="G3" s="107">
        <v>20</v>
      </c>
      <c r="H3" s="99"/>
      <c r="I3" s="11"/>
    </row>
    <row r="4" spans="1:9" ht="114.75" x14ac:dyDescent="0.25">
      <c r="A4" s="38">
        <f>SUBTOTAL(3,$B$3:B4)</f>
        <v>2</v>
      </c>
      <c r="B4" s="8" t="s">
        <v>91</v>
      </c>
      <c r="C4" s="8" t="s">
        <v>61</v>
      </c>
      <c r="D4" s="99" t="s">
        <v>59</v>
      </c>
      <c r="E4" s="99" t="s">
        <v>234</v>
      </c>
      <c r="F4" s="2" t="s">
        <v>235</v>
      </c>
      <c r="G4" s="107">
        <v>20</v>
      </c>
      <c r="H4" s="99" t="s">
        <v>392</v>
      </c>
      <c r="I4" s="11"/>
    </row>
    <row r="5" spans="1:9" ht="89.25" x14ac:dyDescent="0.25">
      <c r="A5" s="38">
        <f>SUBTOTAL(3,$B$3:B5)</f>
        <v>3</v>
      </c>
      <c r="B5" s="8" t="s">
        <v>91</v>
      </c>
      <c r="C5" s="8" t="s">
        <v>62</v>
      </c>
      <c r="D5" s="99" t="s">
        <v>59</v>
      </c>
      <c r="E5" s="99" t="s">
        <v>236</v>
      </c>
      <c r="F5" s="2" t="s">
        <v>237</v>
      </c>
      <c r="G5" s="107">
        <v>10</v>
      </c>
      <c r="H5" s="99" t="s">
        <v>392</v>
      </c>
      <c r="I5" s="11"/>
    </row>
    <row r="6" spans="1:9" ht="102" x14ac:dyDescent="0.25">
      <c r="A6" s="38">
        <f>SUBTOTAL(3,$B$3:B6)</f>
        <v>4</v>
      </c>
      <c r="B6" s="8" t="s">
        <v>91</v>
      </c>
      <c r="C6" s="8" t="s">
        <v>63</v>
      </c>
      <c r="D6" s="99" t="s">
        <v>59</v>
      </c>
      <c r="E6" s="99" t="s">
        <v>4</v>
      </c>
      <c r="F6" s="2" t="s">
        <v>238</v>
      </c>
      <c r="G6" s="107">
        <v>20</v>
      </c>
      <c r="H6" s="99" t="s">
        <v>393</v>
      </c>
      <c r="I6" s="11"/>
    </row>
    <row r="7" spans="1:9" ht="89.25" x14ac:dyDescent="0.25">
      <c r="A7" s="38">
        <f>SUBTOTAL(3,$B$3:B7)</f>
        <v>5</v>
      </c>
      <c r="B7" s="8" t="s">
        <v>92</v>
      </c>
      <c r="C7" s="8" t="s">
        <v>64</v>
      </c>
      <c r="D7" s="99" t="s">
        <v>59</v>
      </c>
      <c r="E7" s="99" t="s">
        <v>5</v>
      </c>
      <c r="F7" s="2" t="s">
        <v>239</v>
      </c>
      <c r="G7" s="107">
        <v>20</v>
      </c>
      <c r="H7" s="99" t="s">
        <v>392</v>
      </c>
      <c r="I7" s="11"/>
    </row>
    <row r="8" spans="1:9" ht="63.75" x14ac:dyDescent="0.25">
      <c r="A8" s="38">
        <f>SUBTOTAL(3,$B$3:B8)</f>
        <v>6</v>
      </c>
      <c r="B8" s="8" t="s">
        <v>92</v>
      </c>
      <c r="C8" s="8" t="s">
        <v>64</v>
      </c>
      <c r="D8" s="99" t="s">
        <v>58</v>
      </c>
      <c r="E8" s="99" t="s">
        <v>6</v>
      </c>
      <c r="F8" s="2" t="s">
        <v>240</v>
      </c>
      <c r="G8" s="107">
        <v>10</v>
      </c>
      <c r="H8" s="99"/>
      <c r="I8" s="11"/>
    </row>
    <row r="9" spans="1:9" ht="76.5" x14ac:dyDescent="0.25">
      <c r="A9" s="38">
        <f>SUBTOTAL(3,$B$3:B9)</f>
        <v>7</v>
      </c>
      <c r="B9" s="8" t="s">
        <v>92</v>
      </c>
      <c r="C9" s="8" t="s">
        <v>65</v>
      </c>
      <c r="D9" s="99" t="s">
        <v>59</v>
      </c>
      <c r="E9" s="99" t="s">
        <v>7</v>
      </c>
      <c r="F9" s="2" t="s">
        <v>241</v>
      </c>
      <c r="G9" s="107">
        <v>10</v>
      </c>
      <c r="H9" s="99" t="s">
        <v>394</v>
      </c>
      <c r="I9" s="11"/>
    </row>
    <row r="10" spans="1:9" ht="76.5" x14ac:dyDescent="0.25">
      <c r="A10" s="38">
        <f>SUBTOTAL(3,$B$3:B10)</f>
        <v>8</v>
      </c>
      <c r="B10" s="8" t="s">
        <v>92</v>
      </c>
      <c r="C10" s="8" t="s">
        <v>66</v>
      </c>
      <c r="D10" s="99" t="s">
        <v>59</v>
      </c>
      <c r="E10" s="99" t="s">
        <v>242</v>
      </c>
      <c r="F10" s="2" t="s">
        <v>243</v>
      </c>
      <c r="G10" s="107">
        <v>10</v>
      </c>
      <c r="H10" s="99" t="s">
        <v>395</v>
      </c>
      <c r="I10" s="11"/>
    </row>
    <row r="11" spans="1:9" ht="63.75" x14ac:dyDescent="0.25">
      <c r="A11" s="38">
        <f>SUBTOTAL(3,$B$3:B11)</f>
        <v>9</v>
      </c>
      <c r="B11" s="8" t="s">
        <v>92</v>
      </c>
      <c r="C11" s="8" t="s">
        <v>66</v>
      </c>
      <c r="D11" s="99" t="s">
        <v>59</v>
      </c>
      <c r="E11" s="99" t="s">
        <v>244</v>
      </c>
      <c r="F11" s="2" t="s">
        <v>245</v>
      </c>
      <c r="G11" s="107">
        <v>10</v>
      </c>
      <c r="H11" s="99" t="s">
        <v>396</v>
      </c>
      <c r="I11" s="11"/>
    </row>
    <row r="12" spans="1:9" ht="60" x14ac:dyDescent="0.25">
      <c r="A12" s="38">
        <f>SUBTOTAL(3,$B$3:B12)</f>
        <v>10</v>
      </c>
      <c r="B12" s="8" t="s">
        <v>92</v>
      </c>
      <c r="C12" s="8" t="s">
        <v>68</v>
      </c>
      <c r="D12" s="99" t="s">
        <v>59</v>
      </c>
      <c r="E12" s="99" t="s">
        <v>8</v>
      </c>
      <c r="F12" s="2" t="s">
        <v>246</v>
      </c>
      <c r="G12" s="107">
        <v>10</v>
      </c>
      <c r="H12" s="99" t="s">
        <v>397</v>
      </c>
      <c r="I12" s="11"/>
    </row>
    <row r="13" spans="1:9" ht="89.25" x14ac:dyDescent="0.25">
      <c r="A13" s="38">
        <f>SUBTOTAL(3,$B$3:B13)</f>
        <v>11</v>
      </c>
      <c r="B13" s="8" t="s">
        <v>92</v>
      </c>
      <c r="C13" s="8" t="s">
        <v>69</v>
      </c>
      <c r="D13" s="99" t="s">
        <v>59</v>
      </c>
      <c r="E13" s="99" t="s">
        <v>247</v>
      </c>
      <c r="F13" s="2" t="s">
        <v>248</v>
      </c>
      <c r="G13" s="107">
        <v>10</v>
      </c>
      <c r="H13" s="99" t="s">
        <v>397</v>
      </c>
      <c r="I13" s="11"/>
    </row>
    <row r="14" spans="1:9" ht="63.75" x14ac:dyDescent="0.25">
      <c r="A14" s="38">
        <f>SUBTOTAL(3,$B$3:B14)</f>
        <v>12</v>
      </c>
      <c r="B14" s="8" t="s">
        <v>93</v>
      </c>
      <c r="C14" s="8" t="s">
        <v>70</v>
      </c>
      <c r="D14" s="99" t="s">
        <v>59</v>
      </c>
      <c r="E14" s="4" t="s">
        <v>9</v>
      </c>
      <c r="F14" s="2" t="s">
        <v>249</v>
      </c>
      <c r="G14" s="107">
        <v>10</v>
      </c>
      <c r="H14" s="99" t="s">
        <v>398</v>
      </c>
      <c r="I14" s="11"/>
    </row>
    <row r="15" spans="1:9" ht="76.5" x14ac:dyDescent="0.25">
      <c r="A15" s="38">
        <f>SUBTOTAL(3,$B$3:B15)</f>
        <v>13</v>
      </c>
      <c r="B15" s="8" t="s">
        <v>93</v>
      </c>
      <c r="C15" s="8" t="s">
        <v>71</v>
      </c>
      <c r="D15" s="99" t="s">
        <v>59</v>
      </c>
      <c r="E15" s="99" t="s">
        <v>10</v>
      </c>
      <c r="F15" s="2" t="s">
        <v>250</v>
      </c>
      <c r="G15" s="107">
        <v>10</v>
      </c>
      <c r="H15" s="99" t="s">
        <v>398</v>
      </c>
      <c r="I15" s="11"/>
    </row>
    <row r="16" spans="1:9" ht="63.75" x14ac:dyDescent="0.25">
      <c r="A16" s="38">
        <f>SUBTOTAL(3,$B$3:B16)</f>
        <v>14</v>
      </c>
      <c r="B16" s="8" t="s">
        <v>93</v>
      </c>
      <c r="C16" s="8" t="s">
        <v>72</v>
      </c>
      <c r="D16" s="99" t="s">
        <v>58</v>
      </c>
      <c r="E16" s="99" t="s">
        <v>11</v>
      </c>
      <c r="F16" s="2" t="s">
        <v>251</v>
      </c>
      <c r="G16" s="107">
        <v>15</v>
      </c>
      <c r="H16" s="99"/>
      <c r="I16" s="11"/>
    </row>
    <row r="17" spans="1:9" ht="45" x14ac:dyDescent="0.25">
      <c r="A17" s="38">
        <f>SUBTOTAL(3,$B$3:B17)</f>
        <v>15</v>
      </c>
      <c r="B17" s="8" t="s">
        <v>93</v>
      </c>
      <c r="C17" s="8" t="s">
        <v>72</v>
      </c>
      <c r="D17" s="99" t="s">
        <v>59</v>
      </c>
      <c r="E17" s="4" t="s">
        <v>252</v>
      </c>
      <c r="F17" s="2" t="s">
        <v>253</v>
      </c>
      <c r="G17" s="107">
        <v>15</v>
      </c>
      <c r="H17" s="99" t="s">
        <v>399</v>
      </c>
      <c r="I17" s="11"/>
    </row>
    <row r="18" spans="1:9" ht="51" x14ac:dyDescent="0.25">
      <c r="A18" s="38">
        <f>SUBTOTAL(3,$B$3:B18)</f>
        <v>16</v>
      </c>
      <c r="B18" s="8" t="s">
        <v>93</v>
      </c>
      <c r="C18" s="8" t="s">
        <v>73</v>
      </c>
      <c r="D18" s="99" t="s">
        <v>58</v>
      </c>
      <c r="E18" s="4" t="s">
        <v>12</v>
      </c>
      <c r="F18" s="2" t="s">
        <v>254</v>
      </c>
      <c r="G18" s="107">
        <v>15</v>
      </c>
      <c r="H18" s="99"/>
      <c r="I18" s="11"/>
    </row>
    <row r="19" spans="1:9" ht="45" x14ac:dyDescent="0.25">
      <c r="A19" s="38">
        <f>SUBTOTAL(3,$B$3:B19)</f>
        <v>17</v>
      </c>
      <c r="B19" s="8" t="s">
        <v>93</v>
      </c>
      <c r="C19" s="8" t="s">
        <v>74</v>
      </c>
      <c r="D19" s="99" t="s">
        <v>58</v>
      </c>
      <c r="E19" s="5" t="s">
        <v>255</v>
      </c>
      <c r="F19" s="2" t="s">
        <v>256</v>
      </c>
      <c r="G19" s="107">
        <v>15</v>
      </c>
      <c r="H19" s="99"/>
      <c r="I19" s="11"/>
    </row>
    <row r="20" spans="1:9" ht="63.75" x14ac:dyDescent="0.25">
      <c r="A20" s="38">
        <f>SUBTOTAL(3,$B$3:B20)</f>
        <v>18</v>
      </c>
      <c r="B20" s="8" t="s">
        <v>94</v>
      </c>
      <c r="C20" s="8" t="s">
        <v>75</v>
      </c>
      <c r="D20" s="99" t="s">
        <v>59</v>
      </c>
      <c r="E20" s="99" t="s">
        <v>257</v>
      </c>
      <c r="F20" s="2" t="s">
        <v>258</v>
      </c>
      <c r="G20" s="107">
        <v>10</v>
      </c>
      <c r="H20" s="99" t="s">
        <v>400</v>
      </c>
      <c r="I20" s="11"/>
    </row>
    <row r="21" spans="1:9" ht="63.75" x14ac:dyDescent="0.25">
      <c r="A21" s="38">
        <f>SUBTOTAL(3,$B$3:B21)</f>
        <v>19</v>
      </c>
      <c r="B21" s="8" t="s">
        <v>94</v>
      </c>
      <c r="C21" s="8" t="s">
        <v>77</v>
      </c>
      <c r="D21" s="99" t="s">
        <v>58</v>
      </c>
      <c r="E21" s="4" t="s">
        <v>259</v>
      </c>
      <c r="F21" s="2" t="s">
        <v>260</v>
      </c>
      <c r="G21" s="107">
        <v>10</v>
      </c>
      <c r="H21" s="99"/>
      <c r="I21" s="11"/>
    </row>
    <row r="22" spans="1:9" ht="45" x14ac:dyDescent="0.25">
      <c r="A22" s="38">
        <f>SUBTOTAL(3,$B$3:B22)</f>
        <v>20</v>
      </c>
      <c r="B22" s="8" t="s">
        <v>94</v>
      </c>
      <c r="C22" s="8" t="s">
        <v>78</v>
      </c>
      <c r="D22" s="99" t="s">
        <v>59</v>
      </c>
      <c r="E22" s="4" t="s">
        <v>13</v>
      </c>
      <c r="F22" s="2" t="s">
        <v>261</v>
      </c>
      <c r="G22" s="107">
        <v>15</v>
      </c>
      <c r="H22" s="99" t="s">
        <v>401</v>
      </c>
      <c r="I22" s="11"/>
    </row>
    <row r="23" spans="1:9" ht="76.5" x14ac:dyDescent="0.25">
      <c r="A23" s="38">
        <f>SUBTOTAL(3,$B$3:B23)</f>
        <v>21</v>
      </c>
      <c r="B23" s="9" t="s">
        <v>95</v>
      </c>
      <c r="C23" s="8" t="s">
        <v>79</v>
      </c>
      <c r="D23" s="99" t="s">
        <v>59</v>
      </c>
      <c r="E23" s="4" t="s">
        <v>14</v>
      </c>
      <c r="F23" s="2" t="s">
        <v>262</v>
      </c>
      <c r="G23" s="107">
        <v>20</v>
      </c>
      <c r="H23" s="99" t="s">
        <v>402</v>
      </c>
      <c r="I23" s="11"/>
    </row>
    <row r="24" spans="1:9" ht="63.75" x14ac:dyDescent="0.25">
      <c r="A24" s="38">
        <f>SUBTOTAL(3,$B$3:B24)</f>
        <v>22</v>
      </c>
      <c r="B24" s="9" t="s">
        <v>95</v>
      </c>
      <c r="C24" s="8" t="s">
        <v>79</v>
      </c>
      <c r="D24" s="99" t="s">
        <v>59</v>
      </c>
      <c r="E24" s="99" t="s">
        <v>263</v>
      </c>
      <c r="F24" s="2" t="s">
        <v>264</v>
      </c>
      <c r="G24" s="107">
        <v>15</v>
      </c>
      <c r="H24" s="99" t="s">
        <v>403</v>
      </c>
      <c r="I24" s="11"/>
    </row>
    <row r="25" spans="1:9" ht="102" x14ac:dyDescent="0.25">
      <c r="A25" s="38">
        <f>SUBTOTAL(3,$B$3:B25)</f>
        <v>23</v>
      </c>
      <c r="B25" s="9" t="s">
        <v>95</v>
      </c>
      <c r="C25" s="8" t="s">
        <v>79</v>
      </c>
      <c r="D25" s="99" t="s">
        <v>59</v>
      </c>
      <c r="E25" s="99" t="s">
        <v>15</v>
      </c>
      <c r="F25" s="2" t="s">
        <v>265</v>
      </c>
      <c r="G25" s="107">
        <v>20</v>
      </c>
      <c r="H25" s="99" t="s">
        <v>404</v>
      </c>
      <c r="I25" s="11"/>
    </row>
    <row r="26" spans="1:9" ht="63.75" x14ac:dyDescent="0.25">
      <c r="A26" s="38">
        <f>SUBTOTAL(3,$B$3:B26)</f>
        <v>24</v>
      </c>
      <c r="B26" s="9" t="s">
        <v>95</v>
      </c>
      <c r="C26" s="8" t="s">
        <v>79</v>
      </c>
      <c r="D26" s="99" t="s">
        <v>59</v>
      </c>
      <c r="E26" s="4" t="s">
        <v>266</v>
      </c>
      <c r="F26" s="2" t="s">
        <v>267</v>
      </c>
      <c r="G26" s="107">
        <v>15</v>
      </c>
      <c r="H26" s="99" t="s">
        <v>405</v>
      </c>
      <c r="I26" s="11"/>
    </row>
    <row r="27" spans="1:9" ht="102" x14ac:dyDescent="0.25">
      <c r="A27" s="38">
        <f>SUBTOTAL(3,$B$3:B27)</f>
        <v>25</v>
      </c>
      <c r="B27" s="9" t="s">
        <v>95</v>
      </c>
      <c r="C27" s="8" t="s">
        <v>80</v>
      </c>
      <c r="D27" s="99" t="s">
        <v>58</v>
      </c>
      <c r="E27" s="4" t="s">
        <v>268</v>
      </c>
      <c r="F27" s="2" t="s">
        <v>269</v>
      </c>
      <c r="G27" s="107">
        <v>15</v>
      </c>
      <c r="H27" s="99"/>
      <c r="I27" s="11"/>
    </row>
    <row r="28" spans="1:9" ht="76.5" x14ac:dyDescent="0.25">
      <c r="A28" s="38">
        <f>SUBTOTAL(3,$B$3:B28)</f>
        <v>26</v>
      </c>
      <c r="B28" s="9" t="s">
        <v>95</v>
      </c>
      <c r="C28" s="8" t="s">
        <v>80</v>
      </c>
      <c r="D28" s="99" t="s">
        <v>58</v>
      </c>
      <c r="E28" s="99" t="s">
        <v>16</v>
      </c>
      <c r="F28" s="2" t="s">
        <v>270</v>
      </c>
      <c r="G28" s="107">
        <v>20</v>
      </c>
      <c r="H28" s="99"/>
      <c r="I28" s="11"/>
    </row>
    <row r="29" spans="1:9" ht="63.75" x14ac:dyDescent="0.25">
      <c r="A29" s="38">
        <f>SUBTOTAL(3,$B$3:B29)</f>
        <v>27</v>
      </c>
      <c r="B29" s="9" t="s">
        <v>95</v>
      </c>
      <c r="C29" s="8" t="s">
        <v>81</v>
      </c>
      <c r="D29" s="99" t="s">
        <v>58</v>
      </c>
      <c r="E29" s="4" t="s">
        <v>17</v>
      </c>
      <c r="F29" s="2" t="s">
        <v>271</v>
      </c>
      <c r="G29" s="107">
        <v>10</v>
      </c>
      <c r="H29" s="99"/>
      <c r="I29" s="11"/>
    </row>
    <row r="30" spans="1:9" ht="89.25" x14ac:dyDescent="0.25">
      <c r="A30" s="38">
        <f>SUBTOTAL(3,$B$3:B30)</f>
        <v>28</v>
      </c>
      <c r="B30" s="9" t="s">
        <v>95</v>
      </c>
      <c r="C30" s="8" t="s">
        <v>81</v>
      </c>
      <c r="D30" s="99" t="s">
        <v>59</v>
      </c>
      <c r="E30" s="99" t="s">
        <v>272</v>
      </c>
      <c r="F30" s="2" t="s">
        <v>273</v>
      </c>
      <c r="G30" s="107">
        <v>20</v>
      </c>
      <c r="H30" s="99" t="s">
        <v>396</v>
      </c>
      <c r="I30" s="11"/>
    </row>
    <row r="31" spans="1:9" ht="45" x14ac:dyDescent="0.25">
      <c r="A31" s="38">
        <f>SUBTOTAL(3,$B$3:B31)</f>
        <v>29</v>
      </c>
      <c r="B31" s="8" t="s">
        <v>96</v>
      </c>
      <c r="C31" s="8" t="s">
        <v>84</v>
      </c>
      <c r="D31" s="99" t="s">
        <v>59</v>
      </c>
      <c r="E31" s="99" t="s">
        <v>18</v>
      </c>
      <c r="F31" s="2" t="s">
        <v>274</v>
      </c>
      <c r="G31" s="107">
        <v>50</v>
      </c>
      <c r="H31" s="99" t="s">
        <v>406</v>
      </c>
      <c r="I31" s="11"/>
    </row>
    <row r="32" spans="1:9" ht="51" x14ac:dyDescent="0.25">
      <c r="A32" s="38">
        <f>SUBTOTAL(3,$B$3:B32)</f>
        <v>30</v>
      </c>
      <c r="B32" s="8" t="s">
        <v>96</v>
      </c>
      <c r="C32" s="8" t="s">
        <v>85</v>
      </c>
      <c r="D32" s="99" t="s">
        <v>58</v>
      </c>
      <c r="E32" s="4" t="s">
        <v>19</v>
      </c>
      <c r="F32" s="2" t="s">
        <v>275</v>
      </c>
      <c r="G32" s="107">
        <v>6</v>
      </c>
      <c r="H32" s="99"/>
      <c r="I32" s="11"/>
    </row>
    <row r="33" spans="1:9" ht="51" x14ac:dyDescent="0.25">
      <c r="A33" s="38">
        <f>SUBTOTAL(3,$B$3:B33)</f>
        <v>31</v>
      </c>
      <c r="B33" s="8" t="s">
        <v>96</v>
      </c>
      <c r="C33" s="8" t="s">
        <v>85</v>
      </c>
      <c r="D33" s="99" t="s">
        <v>59</v>
      </c>
      <c r="E33" s="4" t="s">
        <v>276</v>
      </c>
      <c r="F33" s="2" t="s">
        <v>277</v>
      </c>
      <c r="G33" s="107">
        <v>8</v>
      </c>
      <c r="H33" s="99" t="s">
        <v>407</v>
      </c>
      <c r="I33" s="11"/>
    </row>
    <row r="34" spans="1:9" ht="63.75" x14ac:dyDescent="0.25">
      <c r="A34" s="38">
        <f>SUBTOTAL(3,$B$3:B34)</f>
        <v>32</v>
      </c>
      <c r="B34" s="8" t="s">
        <v>96</v>
      </c>
      <c r="C34" s="8" t="s">
        <v>87</v>
      </c>
      <c r="D34" s="99" t="s">
        <v>59</v>
      </c>
      <c r="E34" s="4" t="s">
        <v>278</v>
      </c>
      <c r="F34" s="2" t="s">
        <v>279</v>
      </c>
      <c r="G34" s="107">
        <v>6</v>
      </c>
      <c r="H34" s="99" t="s">
        <v>408</v>
      </c>
      <c r="I34" s="11"/>
    </row>
    <row r="35" spans="1:9" ht="76.5" x14ac:dyDescent="0.25">
      <c r="A35" s="38">
        <f>SUBTOTAL(3,$B$3:B35)</f>
        <v>33</v>
      </c>
      <c r="B35" s="8" t="s">
        <v>97</v>
      </c>
      <c r="C35" s="8" t="s">
        <v>88</v>
      </c>
      <c r="D35" s="99" t="s">
        <v>59</v>
      </c>
      <c r="E35" s="4" t="s">
        <v>20</v>
      </c>
      <c r="F35" s="2" t="s">
        <v>280</v>
      </c>
      <c r="G35" s="107">
        <v>2</v>
      </c>
      <c r="H35" s="99" t="s">
        <v>409</v>
      </c>
      <c r="I35" s="11"/>
    </row>
    <row r="36" spans="1:9" ht="76.5" x14ac:dyDescent="0.25">
      <c r="A36" s="38">
        <f>SUBTOTAL(3,$B$3:B36)</f>
        <v>34</v>
      </c>
      <c r="B36" s="8" t="s">
        <v>97</v>
      </c>
      <c r="C36" s="8" t="s">
        <v>88</v>
      </c>
      <c r="D36" s="99" t="s">
        <v>59</v>
      </c>
      <c r="E36" s="4" t="s">
        <v>21</v>
      </c>
      <c r="F36" s="2" t="s">
        <v>281</v>
      </c>
      <c r="G36" s="107">
        <v>2</v>
      </c>
      <c r="H36" s="99" t="s">
        <v>410</v>
      </c>
      <c r="I36" s="11"/>
    </row>
    <row r="37" spans="1:9" ht="25.5" x14ac:dyDescent="0.25">
      <c r="D37" s="99" t="s">
        <v>59</v>
      </c>
      <c r="E37" s="4" t="s">
        <v>282</v>
      </c>
      <c r="F37" s="2" t="s">
        <v>283</v>
      </c>
      <c r="G37" s="107">
        <v>3</v>
      </c>
      <c r="H37" s="99" t="s">
        <v>411</v>
      </c>
    </row>
    <row r="38" spans="1:9" ht="89.25" x14ac:dyDescent="0.25">
      <c r="D38" s="99" t="s">
        <v>59</v>
      </c>
      <c r="E38" s="4" t="s">
        <v>284</v>
      </c>
      <c r="F38" s="2" t="s">
        <v>285</v>
      </c>
      <c r="G38" s="107">
        <v>3</v>
      </c>
      <c r="H38" s="99" t="s">
        <v>412</v>
      </c>
    </row>
    <row r="39" spans="1:9" ht="63.75" x14ac:dyDescent="0.25">
      <c r="D39" s="99" t="s">
        <v>58</v>
      </c>
      <c r="E39" s="4" t="s">
        <v>22</v>
      </c>
      <c r="F39" s="2" t="s">
        <v>286</v>
      </c>
      <c r="G39" s="107">
        <v>5</v>
      </c>
      <c r="H39" s="99"/>
    </row>
    <row r="40" spans="1:9" ht="89.25" x14ac:dyDescent="0.25">
      <c r="D40" s="99" t="s">
        <v>59</v>
      </c>
      <c r="E40" s="4" t="s">
        <v>23</v>
      </c>
      <c r="F40" s="2" t="s">
        <v>287</v>
      </c>
      <c r="G40" s="107">
        <v>5</v>
      </c>
      <c r="H40" s="99" t="s">
        <v>402</v>
      </c>
    </row>
    <row r="41" spans="1:9" ht="89.25" x14ac:dyDescent="0.25">
      <c r="D41" s="99" t="s">
        <v>59</v>
      </c>
      <c r="E41" s="4" t="s">
        <v>24</v>
      </c>
      <c r="F41" s="2" t="s">
        <v>288</v>
      </c>
      <c r="G41" s="107">
        <v>5</v>
      </c>
      <c r="H41" s="99" t="s">
        <v>397</v>
      </c>
    </row>
    <row r="42" spans="1:9" ht="89.25" x14ac:dyDescent="0.25">
      <c r="D42" s="99" t="s">
        <v>59</v>
      </c>
      <c r="E42" s="99" t="s">
        <v>25</v>
      </c>
      <c r="F42" s="2" t="s">
        <v>289</v>
      </c>
      <c r="G42" s="107">
        <v>5</v>
      </c>
      <c r="H42" s="99" t="s">
        <v>413</v>
      </c>
    </row>
    <row r="43" spans="1:9" ht="63.75" x14ac:dyDescent="0.25">
      <c r="D43" s="99" t="s">
        <v>59</v>
      </c>
      <c r="E43" s="99" t="s">
        <v>26</v>
      </c>
      <c r="F43" s="2" t="s">
        <v>290</v>
      </c>
      <c r="G43" s="107">
        <v>5</v>
      </c>
      <c r="H43" s="99" t="s">
        <v>413</v>
      </c>
    </row>
    <row r="44" spans="1:9" ht="76.5" x14ac:dyDescent="0.25">
      <c r="D44" s="99" t="s">
        <v>59</v>
      </c>
      <c r="E44" s="99" t="s">
        <v>291</v>
      </c>
      <c r="F44" s="2" t="s">
        <v>292</v>
      </c>
      <c r="G44" s="107">
        <v>5</v>
      </c>
      <c r="H44" s="99" t="s">
        <v>413</v>
      </c>
    </row>
    <row r="45" spans="1:9" ht="127.5" x14ac:dyDescent="0.25">
      <c r="D45" s="99" t="s">
        <v>59</v>
      </c>
      <c r="E45" s="4" t="s">
        <v>293</v>
      </c>
      <c r="F45" s="2" t="s">
        <v>294</v>
      </c>
      <c r="G45" s="107">
        <v>5</v>
      </c>
      <c r="H45" s="99" t="s">
        <v>414</v>
      </c>
    </row>
    <row r="46" spans="1:9" ht="76.5" x14ac:dyDescent="0.25">
      <c r="D46" s="99" t="s">
        <v>59</v>
      </c>
      <c r="E46" s="99" t="s">
        <v>295</v>
      </c>
      <c r="F46" s="2" t="s">
        <v>296</v>
      </c>
      <c r="G46" s="107">
        <v>5</v>
      </c>
      <c r="H46" s="99" t="s">
        <v>415</v>
      </c>
    </row>
    <row r="47" spans="1:9" ht="63.75" x14ac:dyDescent="0.25">
      <c r="D47" s="99" t="s">
        <v>59</v>
      </c>
      <c r="E47" s="4" t="s">
        <v>27</v>
      </c>
      <c r="F47" s="2" t="s">
        <v>297</v>
      </c>
      <c r="G47" s="107">
        <v>5</v>
      </c>
      <c r="H47" s="99" t="s">
        <v>416</v>
      </c>
    </row>
    <row r="48" spans="1:9" ht="89.25" x14ac:dyDescent="0.25">
      <c r="D48" s="99" t="s">
        <v>59</v>
      </c>
      <c r="E48" s="4" t="s">
        <v>298</v>
      </c>
      <c r="F48" s="2" t="s">
        <v>299</v>
      </c>
      <c r="G48" s="107">
        <v>5</v>
      </c>
      <c r="H48" s="99" t="s">
        <v>409</v>
      </c>
    </row>
    <row r="49" spans="4:8" ht="102" x14ac:dyDescent="0.25">
      <c r="D49" s="99" t="s">
        <v>58</v>
      </c>
      <c r="E49" s="99" t="s">
        <v>300</v>
      </c>
      <c r="F49" s="2" t="s">
        <v>301</v>
      </c>
      <c r="G49" s="107">
        <v>10</v>
      </c>
      <c r="H49" s="99"/>
    </row>
    <row r="50" spans="4:8" ht="102" x14ac:dyDescent="0.25">
      <c r="D50" s="99" t="s">
        <v>59</v>
      </c>
      <c r="E50" s="99" t="s">
        <v>302</v>
      </c>
      <c r="F50" s="2" t="s">
        <v>303</v>
      </c>
      <c r="G50" s="107">
        <v>15</v>
      </c>
      <c r="H50" s="99" t="s">
        <v>417</v>
      </c>
    </row>
    <row r="51" spans="4:8" ht="140.25" x14ac:dyDescent="0.25">
      <c r="D51" s="99" t="s">
        <v>59</v>
      </c>
      <c r="E51" s="4" t="s">
        <v>304</v>
      </c>
      <c r="F51" s="2" t="s">
        <v>305</v>
      </c>
      <c r="G51" s="107">
        <v>10</v>
      </c>
      <c r="H51" s="99" t="s">
        <v>418</v>
      </c>
    </row>
    <row r="52" spans="4:8" ht="102" x14ac:dyDescent="0.25">
      <c r="D52" s="99" t="s">
        <v>59</v>
      </c>
      <c r="E52" s="99" t="s">
        <v>306</v>
      </c>
      <c r="F52" s="2" t="s">
        <v>307</v>
      </c>
      <c r="G52" s="107">
        <v>15</v>
      </c>
      <c r="H52" s="99" t="s">
        <v>398</v>
      </c>
    </row>
    <row r="53" spans="4:8" ht="114.75" x14ac:dyDescent="0.25">
      <c r="D53" s="99" t="s">
        <v>59</v>
      </c>
      <c r="E53" s="4" t="s">
        <v>308</v>
      </c>
      <c r="F53" s="2" t="s">
        <v>309</v>
      </c>
      <c r="G53" s="107">
        <v>10</v>
      </c>
      <c r="H53" s="99" t="s">
        <v>394</v>
      </c>
    </row>
    <row r="54" spans="4:8" ht="127.5" x14ac:dyDescent="0.25">
      <c r="D54" s="99" t="s">
        <v>59</v>
      </c>
      <c r="E54" s="99" t="s">
        <v>310</v>
      </c>
      <c r="F54" s="2" t="s">
        <v>311</v>
      </c>
      <c r="G54" s="107">
        <v>10</v>
      </c>
      <c r="H54" s="99" t="s">
        <v>402</v>
      </c>
    </row>
    <row r="55" spans="4:8" ht="114.75" x14ac:dyDescent="0.25">
      <c r="D55" s="99" t="s">
        <v>58</v>
      </c>
      <c r="E55" s="99" t="s">
        <v>28</v>
      </c>
      <c r="F55" s="2" t="s">
        <v>312</v>
      </c>
      <c r="G55" s="107">
        <v>6</v>
      </c>
      <c r="H55" s="99"/>
    </row>
    <row r="56" spans="4:8" ht="114.75" x14ac:dyDescent="0.25">
      <c r="D56" s="99" t="s">
        <v>58</v>
      </c>
      <c r="E56" s="99" t="s">
        <v>29</v>
      </c>
      <c r="F56" s="2" t="s">
        <v>313</v>
      </c>
      <c r="G56" s="107">
        <v>4</v>
      </c>
      <c r="H56" s="99"/>
    </row>
    <row r="57" spans="4:8" ht="76.5" x14ac:dyDescent="0.25">
      <c r="D57" s="99" t="s">
        <v>59</v>
      </c>
      <c r="E57" s="99" t="s">
        <v>314</v>
      </c>
      <c r="F57" s="2" t="s">
        <v>315</v>
      </c>
      <c r="G57" s="107">
        <v>10</v>
      </c>
      <c r="H57" s="99" t="s">
        <v>398</v>
      </c>
    </row>
    <row r="58" spans="4:8" ht="76.5" x14ac:dyDescent="0.25">
      <c r="D58" s="99" t="s">
        <v>59</v>
      </c>
      <c r="E58" s="99" t="s">
        <v>316</v>
      </c>
      <c r="F58" s="2" t="s">
        <v>317</v>
      </c>
      <c r="G58" s="107">
        <v>10</v>
      </c>
      <c r="H58" s="99" t="s">
        <v>415</v>
      </c>
    </row>
    <row r="59" spans="4:8" ht="25.5" x14ac:dyDescent="0.25">
      <c r="D59" s="99" t="s">
        <v>58</v>
      </c>
      <c r="E59" s="99" t="s">
        <v>30</v>
      </c>
      <c r="F59" s="2" t="s">
        <v>318</v>
      </c>
      <c r="G59" s="107">
        <v>5</v>
      </c>
      <c r="H59" s="99"/>
    </row>
    <row r="60" spans="4:8" ht="89.25" x14ac:dyDescent="0.25">
      <c r="D60" s="99" t="s">
        <v>59</v>
      </c>
      <c r="E60" s="99" t="s">
        <v>319</v>
      </c>
      <c r="F60" s="2" t="s">
        <v>320</v>
      </c>
      <c r="G60" s="107">
        <v>5</v>
      </c>
      <c r="H60" s="99" t="s">
        <v>397</v>
      </c>
    </row>
    <row r="61" spans="4:8" ht="89.25" x14ac:dyDescent="0.25">
      <c r="D61" s="99" t="s">
        <v>59</v>
      </c>
      <c r="E61" s="99" t="s">
        <v>321</v>
      </c>
      <c r="F61" s="2" t="s">
        <v>322</v>
      </c>
      <c r="G61" s="107">
        <v>5</v>
      </c>
      <c r="H61" s="99" t="s">
        <v>419</v>
      </c>
    </row>
    <row r="62" spans="4:8" ht="76.5" x14ac:dyDescent="0.25">
      <c r="D62" s="99" t="s">
        <v>59</v>
      </c>
      <c r="E62" s="99" t="s">
        <v>323</v>
      </c>
      <c r="F62" s="2" t="s">
        <v>324</v>
      </c>
      <c r="G62" s="107">
        <v>5</v>
      </c>
      <c r="H62" s="99" t="s">
        <v>420</v>
      </c>
    </row>
    <row r="63" spans="4:8" ht="51" x14ac:dyDescent="0.25">
      <c r="D63" s="99" t="s">
        <v>58</v>
      </c>
      <c r="E63" s="99" t="s">
        <v>31</v>
      </c>
      <c r="F63" s="2" t="s">
        <v>325</v>
      </c>
      <c r="G63" s="107">
        <v>8</v>
      </c>
      <c r="H63" s="99"/>
    </row>
    <row r="64" spans="4:8" ht="25.5" x14ac:dyDescent="0.25">
      <c r="D64" s="99" t="s">
        <v>59</v>
      </c>
      <c r="E64" s="99" t="s">
        <v>32</v>
      </c>
      <c r="F64" s="2" t="s">
        <v>326</v>
      </c>
      <c r="G64" s="107">
        <v>8</v>
      </c>
      <c r="H64" s="99" t="s">
        <v>421</v>
      </c>
    </row>
    <row r="65" spans="4:8" ht="89.25" x14ac:dyDescent="0.25">
      <c r="D65" s="99" t="s">
        <v>59</v>
      </c>
      <c r="E65" s="99" t="s">
        <v>327</v>
      </c>
      <c r="F65" s="2" t="s">
        <v>328</v>
      </c>
      <c r="G65" s="107">
        <v>10</v>
      </c>
      <c r="H65" s="99" t="s">
        <v>397</v>
      </c>
    </row>
    <row r="66" spans="4:8" ht="102" x14ac:dyDescent="0.25">
      <c r="D66" s="99" t="s">
        <v>59</v>
      </c>
      <c r="E66" s="99" t="s">
        <v>329</v>
      </c>
      <c r="F66" s="2" t="s">
        <v>330</v>
      </c>
      <c r="G66" s="107">
        <v>4</v>
      </c>
      <c r="H66" s="99" t="s">
        <v>397</v>
      </c>
    </row>
    <row r="67" spans="4:8" ht="76.5" x14ac:dyDescent="0.25">
      <c r="D67" s="99" t="s">
        <v>59</v>
      </c>
      <c r="E67" s="99" t="s">
        <v>33</v>
      </c>
      <c r="F67" s="2" t="s">
        <v>331</v>
      </c>
      <c r="G67" s="107">
        <v>10</v>
      </c>
      <c r="H67" s="99" t="s">
        <v>422</v>
      </c>
    </row>
    <row r="68" spans="4:8" ht="114.75" x14ac:dyDescent="0.25">
      <c r="D68" s="99" t="s">
        <v>58</v>
      </c>
      <c r="E68" s="99" t="s">
        <v>332</v>
      </c>
      <c r="F68" s="2" t="s">
        <v>333</v>
      </c>
      <c r="G68" s="107">
        <v>10</v>
      </c>
      <c r="H68" s="99"/>
    </row>
    <row r="69" spans="4:8" ht="89.25" x14ac:dyDescent="0.25">
      <c r="D69" s="99" t="s">
        <v>59</v>
      </c>
      <c r="E69" s="99" t="s">
        <v>34</v>
      </c>
      <c r="F69" s="2" t="s">
        <v>334</v>
      </c>
      <c r="G69" s="107">
        <v>6</v>
      </c>
      <c r="H69" s="99" t="s">
        <v>393</v>
      </c>
    </row>
    <row r="70" spans="4:8" ht="89.25" x14ac:dyDescent="0.25">
      <c r="D70" s="99" t="s">
        <v>59</v>
      </c>
      <c r="E70" s="99" t="s">
        <v>35</v>
      </c>
      <c r="F70" s="2" t="s">
        <v>335</v>
      </c>
      <c r="G70" s="107">
        <v>5</v>
      </c>
      <c r="H70" s="99" t="s">
        <v>423</v>
      </c>
    </row>
    <row r="71" spans="4:8" ht="76.5" x14ac:dyDescent="0.25">
      <c r="D71" s="99" t="s">
        <v>59</v>
      </c>
      <c r="E71" s="99" t="s">
        <v>36</v>
      </c>
      <c r="F71" s="2" t="s">
        <v>336</v>
      </c>
      <c r="G71" s="107">
        <v>8</v>
      </c>
      <c r="H71" s="99" t="s">
        <v>397</v>
      </c>
    </row>
    <row r="72" spans="4:8" ht="89.25" x14ac:dyDescent="0.25">
      <c r="D72" s="99" t="s">
        <v>59</v>
      </c>
      <c r="E72" s="99" t="s">
        <v>37</v>
      </c>
      <c r="F72" s="2" t="s">
        <v>337</v>
      </c>
      <c r="G72" s="107">
        <v>6</v>
      </c>
      <c r="H72" s="99" t="s">
        <v>424</v>
      </c>
    </row>
    <row r="73" spans="4:8" ht="127.5" x14ac:dyDescent="0.25">
      <c r="D73" s="99" t="s">
        <v>59</v>
      </c>
      <c r="E73" s="99" t="s">
        <v>338</v>
      </c>
      <c r="F73" s="2" t="s">
        <v>339</v>
      </c>
      <c r="G73" s="107">
        <v>5</v>
      </c>
      <c r="H73" s="99" t="s">
        <v>397</v>
      </c>
    </row>
    <row r="74" spans="4:8" ht="63.75" x14ac:dyDescent="0.25">
      <c r="D74" s="99" t="s">
        <v>59</v>
      </c>
      <c r="E74" s="99" t="s">
        <v>38</v>
      </c>
      <c r="F74" s="2" t="s">
        <v>340</v>
      </c>
      <c r="G74" s="107">
        <v>10</v>
      </c>
      <c r="H74" s="99" t="s">
        <v>425</v>
      </c>
    </row>
    <row r="75" spans="4:8" ht="153" x14ac:dyDescent="0.25">
      <c r="D75" s="99" t="s">
        <v>59</v>
      </c>
      <c r="E75" s="99" t="s">
        <v>39</v>
      </c>
      <c r="F75" s="2" t="s">
        <v>341</v>
      </c>
      <c r="G75" s="107">
        <v>10</v>
      </c>
      <c r="H75" s="99" t="s">
        <v>426</v>
      </c>
    </row>
    <row r="76" spans="4:8" ht="204" x14ac:dyDescent="0.25">
      <c r="D76" s="99" t="s">
        <v>59</v>
      </c>
      <c r="E76" s="99" t="s">
        <v>342</v>
      </c>
      <c r="F76" s="2" t="s">
        <v>343</v>
      </c>
      <c r="G76" s="107">
        <v>10</v>
      </c>
      <c r="H76" s="99" t="s">
        <v>424</v>
      </c>
    </row>
    <row r="77" spans="4:8" ht="114.75" x14ac:dyDescent="0.25">
      <c r="D77" s="99" t="s">
        <v>59</v>
      </c>
      <c r="E77" s="99" t="s">
        <v>40</v>
      </c>
      <c r="F77" s="2" t="s">
        <v>344</v>
      </c>
      <c r="G77" s="107">
        <v>10</v>
      </c>
      <c r="H77" s="99" t="s">
        <v>394</v>
      </c>
    </row>
    <row r="78" spans="4:8" ht="89.25" x14ac:dyDescent="0.25">
      <c r="D78" s="99" t="s">
        <v>58</v>
      </c>
      <c r="E78" s="99" t="s">
        <v>41</v>
      </c>
      <c r="F78" s="2" t="s">
        <v>345</v>
      </c>
      <c r="G78" s="107">
        <v>10</v>
      </c>
      <c r="H78" s="99"/>
    </row>
    <row r="79" spans="4:8" ht="76.5" x14ac:dyDescent="0.25">
      <c r="D79" s="99" t="s">
        <v>59</v>
      </c>
      <c r="E79" s="99" t="s">
        <v>346</v>
      </c>
      <c r="F79" s="2" t="s">
        <v>347</v>
      </c>
      <c r="G79" s="107">
        <v>10</v>
      </c>
      <c r="H79" s="99" t="s">
        <v>417</v>
      </c>
    </row>
    <row r="80" spans="4:8" ht="89.25" x14ac:dyDescent="0.25">
      <c r="D80" s="99" t="s">
        <v>58</v>
      </c>
      <c r="E80" s="99" t="s">
        <v>42</v>
      </c>
      <c r="F80" s="2" t="s">
        <v>348</v>
      </c>
      <c r="G80" s="107">
        <v>5</v>
      </c>
      <c r="H80" s="99"/>
    </row>
    <row r="81" spans="4:8" ht="76.5" x14ac:dyDescent="0.25">
      <c r="D81" s="99" t="s">
        <v>59</v>
      </c>
      <c r="E81" s="99" t="s">
        <v>349</v>
      </c>
      <c r="F81" s="2" t="s">
        <v>350</v>
      </c>
      <c r="G81" s="107">
        <v>5</v>
      </c>
      <c r="H81" s="99" t="s">
        <v>427</v>
      </c>
    </row>
    <row r="82" spans="4:8" ht="89.25" x14ac:dyDescent="0.25">
      <c r="D82" s="99" t="s">
        <v>58</v>
      </c>
      <c r="E82" s="99" t="s">
        <v>43</v>
      </c>
      <c r="F82" s="2" t="s">
        <v>351</v>
      </c>
      <c r="G82" s="107">
        <v>5</v>
      </c>
      <c r="H82" s="99"/>
    </row>
    <row r="83" spans="4:8" ht="76.5" x14ac:dyDescent="0.25">
      <c r="D83" s="99" t="s">
        <v>58</v>
      </c>
      <c r="E83" s="99" t="s">
        <v>352</v>
      </c>
      <c r="F83" s="2" t="s">
        <v>353</v>
      </c>
      <c r="G83" s="107">
        <v>5</v>
      </c>
      <c r="H83" s="99"/>
    </row>
    <row r="84" spans="4:8" ht="63.75" x14ac:dyDescent="0.25">
      <c r="D84" s="99" t="s">
        <v>58</v>
      </c>
      <c r="E84" s="99" t="s">
        <v>44</v>
      </c>
      <c r="F84" s="2" t="s">
        <v>354</v>
      </c>
      <c r="G84" s="107">
        <v>2</v>
      </c>
      <c r="H84" s="99"/>
    </row>
    <row r="85" spans="4:8" ht="89.25" x14ac:dyDescent="0.25">
      <c r="D85" s="99" t="s">
        <v>58</v>
      </c>
      <c r="E85" s="99" t="s">
        <v>45</v>
      </c>
      <c r="F85" s="2" t="s">
        <v>355</v>
      </c>
      <c r="G85" s="107">
        <v>4</v>
      </c>
      <c r="H85" s="99"/>
    </row>
    <row r="86" spans="4:8" ht="63.75" x14ac:dyDescent="0.25">
      <c r="D86" s="99" t="s">
        <v>59</v>
      </c>
      <c r="E86" s="99" t="s">
        <v>356</v>
      </c>
      <c r="F86" s="2" t="s">
        <v>357</v>
      </c>
      <c r="G86" s="107">
        <v>4</v>
      </c>
      <c r="H86" s="99" t="s">
        <v>397</v>
      </c>
    </row>
    <row r="87" spans="4:8" ht="63.75" x14ac:dyDescent="0.25">
      <c r="D87" s="99" t="s">
        <v>58</v>
      </c>
      <c r="E87" s="99" t="s">
        <v>46</v>
      </c>
      <c r="F87" s="2" t="s">
        <v>358</v>
      </c>
      <c r="G87" s="107">
        <v>4</v>
      </c>
      <c r="H87" s="99"/>
    </row>
    <row r="88" spans="4:8" ht="76.5" x14ac:dyDescent="0.25">
      <c r="D88" s="99" t="s">
        <v>59</v>
      </c>
      <c r="E88" s="99" t="s">
        <v>47</v>
      </c>
      <c r="F88" s="2" t="s">
        <v>359</v>
      </c>
      <c r="G88" s="107">
        <v>8</v>
      </c>
      <c r="H88" s="99" t="s">
        <v>393</v>
      </c>
    </row>
    <row r="89" spans="4:8" ht="76.5" x14ac:dyDescent="0.25">
      <c r="D89" s="99" t="s">
        <v>59</v>
      </c>
      <c r="E89" s="99" t="s">
        <v>48</v>
      </c>
      <c r="F89" s="2" t="s">
        <v>360</v>
      </c>
      <c r="G89" s="107">
        <v>8</v>
      </c>
      <c r="H89" s="99" t="s">
        <v>417</v>
      </c>
    </row>
    <row r="90" spans="4:8" ht="127.5" x14ac:dyDescent="0.25">
      <c r="D90" s="99" t="s">
        <v>59</v>
      </c>
      <c r="E90" s="99" t="s">
        <v>361</v>
      </c>
      <c r="F90" s="2" t="s">
        <v>362</v>
      </c>
      <c r="G90" s="107">
        <v>10</v>
      </c>
      <c r="H90" s="99" t="s">
        <v>393</v>
      </c>
    </row>
    <row r="91" spans="4:8" ht="63.75" x14ac:dyDescent="0.25">
      <c r="D91" s="99" t="s">
        <v>58</v>
      </c>
      <c r="E91" s="99" t="s">
        <v>49</v>
      </c>
      <c r="F91" s="2" t="s">
        <v>363</v>
      </c>
      <c r="G91" s="107">
        <v>4</v>
      </c>
      <c r="H91" s="99"/>
    </row>
    <row r="92" spans="4:8" ht="89.25" x14ac:dyDescent="0.25">
      <c r="D92" s="99" t="s">
        <v>59</v>
      </c>
      <c r="E92" s="99" t="s">
        <v>364</v>
      </c>
      <c r="F92" s="2" t="s">
        <v>365</v>
      </c>
      <c r="G92" s="107">
        <v>10</v>
      </c>
      <c r="H92" s="99" t="s">
        <v>428</v>
      </c>
    </row>
    <row r="93" spans="4:8" ht="63.75" x14ac:dyDescent="0.25">
      <c r="D93" s="99" t="s">
        <v>58</v>
      </c>
      <c r="E93" s="99" t="s">
        <v>366</v>
      </c>
      <c r="F93" s="2" t="s">
        <v>367</v>
      </c>
      <c r="G93" s="107">
        <v>6</v>
      </c>
      <c r="H93" s="99"/>
    </row>
    <row r="94" spans="4:8" ht="165.75" x14ac:dyDescent="0.25">
      <c r="D94" s="99" t="s">
        <v>58</v>
      </c>
      <c r="E94" s="99" t="s">
        <v>50</v>
      </c>
      <c r="F94" s="2" t="s">
        <v>368</v>
      </c>
      <c r="G94" s="107">
        <v>10</v>
      </c>
      <c r="H94" s="99"/>
    </row>
    <row r="95" spans="4:8" ht="76.5" x14ac:dyDescent="0.25">
      <c r="D95" s="99" t="s">
        <v>58</v>
      </c>
      <c r="E95" s="99" t="s">
        <v>51</v>
      </c>
      <c r="F95" s="2" t="s">
        <v>369</v>
      </c>
      <c r="G95" s="107">
        <v>10</v>
      </c>
      <c r="H95" s="99"/>
    </row>
    <row r="96" spans="4:8" ht="102" x14ac:dyDescent="0.25">
      <c r="D96" s="99" t="s">
        <v>59</v>
      </c>
      <c r="E96" s="99" t="s">
        <v>370</v>
      </c>
      <c r="F96" s="2" t="s">
        <v>371</v>
      </c>
      <c r="G96" s="107">
        <v>10</v>
      </c>
      <c r="H96" s="99" t="s">
        <v>429</v>
      </c>
    </row>
    <row r="97" spans="4:8" ht="89.25" x14ac:dyDescent="0.25">
      <c r="D97" s="99" t="s">
        <v>58</v>
      </c>
      <c r="E97" s="99" t="s">
        <v>52</v>
      </c>
      <c r="F97" s="2" t="s">
        <v>372</v>
      </c>
      <c r="G97" s="107">
        <v>5</v>
      </c>
      <c r="H97" s="99"/>
    </row>
    <row r="98" spans="4:8" ht="114.75" x14ac:dyDescent="0.25">
      <c r="D98" s="99" t="s">
        <v>59</v>
      </c>
      <c r="E98" s="99" t="s">
        <v>53</v>
      </c>
      <c r="F98" s="2" t="s">
        <v>373</v>
      </c>
      <c r="G98" s="107">
        <v>5</v>
      </c>
      <c r="H98" s="99" t="s">
        <v>430</v>
      </c>
    </row>
    <row r="99" spans="4:8" ht="127.5" x14ac:dyDescent="0.25">
      <c r="D99" s="99" t="s">
        <v>58</v>
      </c>
      <c r="E99" s="99" t="s">
        <v>54</v>
      </c>
      <c r="F99" s="2" t="s">
        <v>374</v>
      </c>
      <c r="G99" s="107">
        <v>4</v>
      </c>
      <c r="H99" s="99"/>
    </row>
    <row r="100" spans="4:8" ht="102" x14ac:dyDescent="0.25">
      <c r="D100" s="99" t="s">
        <v>59</v>
      </c>
      <c r="E100" s="99" t="s">
        <v>55</v>
      </c>
      <c r="F100" s="2" t="s">
        <v>375</v>
      </c>
      <c r="G100" s="107">
        <v>4</v>
      </c>
      <c r="H100" s="99" t="s">
        <v>430</v>
      </c>
    </row>
    <row r="101" spans="4:8" ht="114.75" x14ac:dyDescent="0.25">
      <c r="D101" s="99" t="s">
        <v>59</v>
      </c>
      <c r="E101" s="99" t="s">
        <v>376</v>
      </c>
      <c r="F101" s="2" t="s">
        <v>377</v>
      </c>
      <c r="G101" s="107">
        <v>4</v>
      </c>
      <c r="H101" s="99" t="s">
        <v>430</v>
      </c>
    </row>
    <row r="102" spans="4:8" ht="140.25" x14ac:dyDescent="0.25">
      <c r="D102" s="99" t="s">
        <v>59</v>
      </c>
      <c r="E102" s="99" t="s">
        <v>378</v>
      </c>
      <c r="F102" s="2" t="s">
        <v>379</v>
      </c>
      <c r="G102" s="107">
        <v>5</v>
      </c>
      <c r="H102" s="99" t="s">
        <v>430</v>
      </c>
    </row>
    <row r="103" spans="4:8" ht="153" x14ac:dyDescent="0.25">
      <c r="D103" s="99" t="s">
        <v>59</v>
      </c>
      <c r="E103" s="99" t="s">
        <v>380</v>
      </c>
      <c r="F103" s="2" t="s">
        <v>381</v>
      </c>
      <c r="G103" s="107">
        <v>4</v>
      </c>
      <c r="H103" s="99" t="s">
        <v>430</v>
      </c>
    </row>
    <row r="104" spans="4:8" ht="51" x14ac:dyDescent="0.25">
      <c r="D104" s="99" t="s">
        <v>58</v>
      </c>
      <c r="E104" s="99" t="s">
        <v>382</v>
      </c>
      <c r="F104" s="2" t="s">
        <v>383</v>
      </c>
      <c r="G104" s="107">
        <v>5</v>
      </c>
      <c r="H104" s="99"/>
    </row>
    <row r="105" spans="4:8" ht="89.25" x14ac:dyDescent="0.25">
      <c r="D105" s="99" t="s">
        <v>58</v>
      </c>
      <c r="E105" s="99" t="s">
        <v>384</v>
      </c>
      <c r="F105" s="2" t="s">
        <v>385</v>
      </c>
      <c r="G105" s="107">
        <v>4</v>
      </c>
      <c r="H105" s="99"/>
    </row>
    <row r="106" spans="4:8" ht="140.25" x14ac:dyDescent="0.25">
      <c r="D106" s="99" t="s">
        <v>59</v>
      </c>
      <c r="E106" s="99" t="s">
        <v>386</v>
      </c>
      <c r="F106" s="2" t="s">
        <v>387</v>
      </c>
      <c r="G106" s="107">
        <v>5</v>
      </c>
      <c r="H106" s="99" t="s">
        <v>430</v>
      </c>
    </row>
    <row r="107" spans="4:8" ht="63.75" x14ac:dyDescent="0.25">
      <c r="D107" s="99" t="s">
        <v>58</v>
      </c>
      <c r="E107" s="99" t="s">
        <v>388</v>
      </c>
      <c r="F107" s="2" t="s">
        <v>389</v>
      </c>
      <c r="G107" s="107">
        <v>5</v>
      </c>
      <c r="H107" s="99"/>
    </row>
    <row r="108" spans="4:8" ht="25.5" x14ac:dyDescent="0.25">
      <c r="D108" s="99" t="s">
        <v>58</v>
      </c>
      <c r="E108" s="99" t="s">
        <v>56</v>
      </c>
      <c r="F108" s="2" t="s">
        <v>390</v>
      </c>
      <c r="G108" s="107">
        <v>30</v>
      </c>
      <c r="H108" s="99"/>
    </row>
    <row r="109" spans="4:8" ht="25.5" x14ac:dyDescent="0.25">
      <c r="D109" s="99" t="s">
        <v>58</v>
      </c>
      <c r="E109" s="99" t="s">
        <v>57</v>
      </c>
      <c r="F109" s="2" t="s">
        <v>391</v>
      </c>
      <c r="G109" s="107">
        <v>20</v>
      </c>
      <c r="H109" s="99"/>
    </row>
  </sheetData>
  <sortState ref="A3:P57">
    <sortCondition ref="D3:D57"/>
  </sortState>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92"/>
  <sheetViews>
    <sheetView tabSelected="1" topLeftCell="A156" zoomScale="60" zoomScaleNormal="60" workbookViewId="0">
      <selection sqref="A1:F1048576"/>
    </sheetView>
  </sheetViews>
  <sheetFormatPr defaultRowHeight="15" x14ac:dyDescent="0.25"/>
  <cols>
    <col min="1" max="1" width="4.42578125" style="1" bestFit="1" customWidth="1"/>
    <col min="2" max="3" width="16.28515625" style="6" customWidth="1"/>
    <col min="4" max="4" width="6.85546875" bestFit="1" customWidth="1"/>
    <col min="5" max="5" width="7.42578125" bestFit="1" customWidth="1"/>
    <col min="6" max="6" width="19.42578125" style="96" customWidth="1"/>
    <col min="7" max="7" width="24.140625" customWidth="1"/>
    <col min="8" max="8" width="3.5703125" bestFit="1" customWidth="1"/>
    <col min="9" max="9" width="4.42578125" bestFit="1" customWidth="1"/>
    <col min="10" max="10" width="10.140625" style="40" bestFit="1" customWidth="1"/>
    <col min="11" max="11" width="11.140625" style="1" bestFit="1" customWidth="1"/>
    <col min="12" max="12" width="9.28515625" style="1" bestFit="1" customWidth="1"/>
    <col min="13" max="13" width="7.7109375" style="1" customWidth="1"/>
    <col min="14" max="14" width="9.28515625" style="1" customWidth="1"/>
    <col min="15" max="15" width="8.42578125" style="1" customWidth="1"/>
    <col min="16" max="16" width="8" style="1" customWidth="1"/>
  </cols>
  <sheetData>
    <row r="1" spans="1:16" x14ac:dyDescent="0.25">
      <c r="J1" s="47" t="s">
        <v>212</v>
      </c>
      <c r="K1" s="1" t="s">
        <v>443</v>
      </c>
    </row>
    <row r="2" spans="1:16" s="1" customFormat="1" ht="66" x14ac:dyDescent="0.25">
      <c r="A2" s="12" t="s">
        <v>1</v>
      </c>
      <c r="B2" s="12" t="s">
        <v>112</v>
      </c>
      <c r="C2" s="12" t="s">
        <v>114</v>
      </c>
      <c r="D2" s="12" t="s">
        <v>113</v>
      </c>
      <c r="E2" s="12" t="s">
        <v>115</v>
      </c>
      <c r="F2" s="134" t="s">
        <v>124</v>
      </c>
      <c r="G2" s="12" t="s">
        <v>122</v>
      </c>
      <c r="H2" s="12" t="s">
        <v>123</v>
      </c>
      <c r="I2" s="12" t="s">
        <v>111</v>
      </c>
      <c r="J2" s="48" t="s">
        <v>213</v>
      </c>
      <c r="K2" s="16" t="s">
        <v>121</v>
      </c>
      <c r="L2" s="17" t="s">
        <v>120</v>
      </c>
      <c r="M2" s="16" t="s">
        <v>116</v>
      </c>
      <c r="N2" s="16" t="s">
        <v>117</v>
      </c>
      <c r="O2" s="16" t="s">
        <v>119</v>
      </c>
      <c r="P2" s="18" t="s">
        <v>118</v>
      </c>
    </row>
    <row r="3" spans="1:16" ht="15" customHeight="1" x14ac:dyDescent="0.25">
      <c r="A3" s="100">
        <v>1</v>
      </c>
      <c r="B3" s="8" t="s">
        <v>91</v>
      </c>
      <c r="C3" s="8" t="s">
        <v>60</v>
      </c>
      <c r="D3" s="99" t="s">
        <v>58</v>
      </c>
      <c r="E3" s="99" t="s">
        <v>3</v>
      </c>
      <c r="F3" s="123" t="s">
        <v>233</v>
      </c>
      <c r="G3" s="107">
        <v>20</v>
      </c>
      <c r="H3" s="154">
        <v>50</v>
      </c>
      <c r="I3" s="154">
        <v>150</v>
      </c>
      <c r="J3" s="112"/>
      <c r="K3" s="100"/>
      <c r="L3" s="100">
        <f>K3*G3</f>
        <v>0</v>
      </c>
      <c r="M3" s="148">
        <f>SUM(L3:L5)</f>
        <v>120</v>
      </c>
      <c r="N3" s="144">
        <f>M3/H3</f>
        <v>2.4</v>
      </c>
      <c r="O3" s="147">
        <f>SUM(M3:M13)</f>
        <v>320</v>
      </c>
      <c r="P3" s="158">
        <f>O3/I3</f>
        <v>2.1333333333333333</v>
      </c>
    </row>
    <row r="4" spans="1:16" ht="15" customHeight="1" x14ac:dyDescent="0.25">
      <c r="A4" s="100">
        <v>2</v>
      </c>
      <c r="B4" s="8" t="s">
        <v>91</v>
      </c>
      <c r="C4" s="8" t="s">
        <v>60</v>
      </c>
      <c r="D4" s="99" t="s">
        <v>59</v>
      </c>
      <c r="E4" s="99" t="s">
        <v>234</v>
      </c>
      <c r="F4" s="123" t="s">
        <v>235</v>
      </c>
      <c r="G4" s="107">
        <v>20</v>
      </c>
      <c r="H4" s="154"/>
      <c r="I4" s="154"/>
      <c r="J4" s="113">
        <v>92.86</v>
      </c>
      <c r="K4" s="100">
        <f t="shared" ref="K4:K67" si="0">IF(J4&gt;80,4,IF(AND(J4&lt;=80,J4&gt;60),3,IF(AND(J4&lt;=60,J4&gt;40),2,IF(AND(J4&lt;=40,J4&gt;20),1,IF(J4&lt;=20,0)))))</f>
        <v>4</v>
      </c>
      <c r="L4" s="100">
        <f t="shared" ref="L4:L67" si="1">K4*G4</f>
        <v>80</v>
      </c>
      <c r="M4" s="149"/>
      <c r="N4" s="145"/>
      <c r="O4" s="147"/>
      <c r="P4" s="158"/>
    </row>
    <row r="5" spans="1:16" ht="15" customHeight="1" x14ac:dyDescent="0.25">
      <c r="A5" s="100">
        <v>3</v>
      </c>
      <c r="B5" s="8" t="s">
        <v>91</v>
      </c>
      <c r="C5" s="8" t="s">
        <v>60</v>
      </c>
      <c r="D5" s="99" t="s">
        <v>59</v>
      </c>
      <c r="E5" s="99" t="s">
        <v>236</v>
      </c>
      <c r="F5" s="123" t="s">
        <v>237</v>
      </c>
      <c r="G5" s="107">
        <v>10</v>
      </c>
      <c r="H5" s="154"/>
      <c r="I5" s="154"/>
      <c r="J5" s="113">
        <v>84.19</v>
      </c>
      <c r="K5" s="100">
        <f t="shared" si="0"/>
        <v>4</v>
      </c>
      <c r="L5" s="100">
        <f t="shared" si="1"/>
        <v>40</v>
      </c>
      <c r="M5" s="150"/>
      <c r="N5" s="146"/>
      <c r="O5" s="147"/>
      <c r="P5" s="158"/>
    </row>
    <row r="6" spans="1:16" ht="15" customHeight="1" x14ac:dyDescent="0.25">
      <c r="A6" s="100">
        <v>4</v>
      </c>
      <c r="B6" s="8" t="s">
        <v>91</v>
      </c>
      <c r="C6" s="8" t="s">
        <v>61</v>
      </c>
      <c r="D6" s="99" t="s">
        <v>59</v>
      </c>
      <c r="E6" s="99" t="s">
        <v>4</v>
      </c>
      <c r="F6" s="123" t="s">
        <v>238</v>
      </c>
      <c r="G6" s="107">
        <v>20</v>
      </c>
      <c r="H6" s="154">
        <v>40</v>
      </c>
      <c r="I6" s="154"/>
      <c r="J6" s="113">
        <v>38.71</v>
      </c>
      <c r="K6" s="100">
        <f t="shared" si="0"/>
        <v>1</v>
      </c>
      <c r="L6" s="100">
        <f t="shared" si="1"/>
        <v>20</v>
      </c>
      <c r="M6" s="148">
        <f>SUM(L6:L7)</f>
        <v>100</v>
      </c>
      <c r="N6" s="144">
        <f>M6/H6</f>
        <v>2.5</v>
      </c>
      <c r="O6" s="147"/>
      <c r="P6" s="158"/>
    </row>
    <row r="7" spans="1:16" ht="15" customHeight="1" x14ac:dyDescent="0.25">
      <c r="A7" s="100">
        <v>5</v>
      </c>
      <c r="B7" s="8" t="s">
        <v>91</v>
      </c>
      <c r="C7" s="8" t="s">
        <v>61</v>
      </c>
      <c r="D7" s="99" t="s">
        <v>59</v>
      </c>
      <c r="E7" s="99" t="s">
        <v>5</v>
      </c>
      <c r="F7" s="123" t="s">
        <v>239</v>
      </c>
      <c r="G7" s="107">
        <v>20</v>
      </c>
      <c r="H7" s="154"/>
      <c r="I7" s="154"/>
      <c r="J7" s="113">
        <v>81.25</v>
      </c>
      <c r="K7" s="100">
        <f t="shared" si="0"/>
        <v>4</v>
      </c>
      <c r="L7" s="100">
        <f t="shared" si="1"/>
        <v>80</v>
      </c>
      <c r="M7" s="150"/>
      <c r="N7" s="146"/>
      <c r="O7" s="147"/>
      <c r="P7" s="158"/>
    </row>
    <row r="8" spans="1:16" ht="15" customHeight="1" x14ac:dyDescent="0.25">
      <c r="A8" s="100">
        <v>6</v>
      </c>
      <c r="B8" s="8" t="s">
        <v>91</v>
      </c>
      <c r="C8" s="8" t="s">
        <v>62</v>
      </c>
      <c r="D8" s="99" t="s">
        <v>58</v>
      </c>
      <c r="E8" s="99" t="s">
        <v>6</v>
      </c>
      <c r="F8" s="123" t="s">
        <v>240</v>
      </c>
      <c r="G8" s="107">
        <v>10</v>
      </c>
      <c r="H8" s="154">
        <v>40</v>
      </c>
      <c r="I8" s="154"/>
      <c r="J8" s="112"/>
      <c r="K8" s="100"/>
      <c r="L8" s="100">
        <f t="shared" si="1"/>
        <v>0</v>
      </c>
      <c r="M8" s="148">
        <f>SUM(L8:L11)</f>
        <v>50</v>
      </c>
      <c r="N8" s="144">
        <f>M8/H8</f>
        <v>1.25</v>
      </c>
      <c r="O8" s="147"/>
      <c r="P8" s="158"/>
    </row>
    <row r="9" spans="1:16" ht="15" customHeight="1" x14ac:dyDescent="0.25">
      <c r="A9" s="100">
        <v>7</v>
      </c>
      <c r="B9" s="8" t="s">
        <v>91</v>
      </c>
      <c r="C9" s="8" t="s">
        <v>62</v>
      </c>
      <c r="D9" s="99" t="s">
        <v>59</v>
      </c>
      <c r="E9" s="99" t="s">
        <v>7</v>
      </c>
      <c r="F9" s="123" t="s">
        <v>241</v>
      </c>
      <c r="G9" s="107">
        <v>10</v>
      </c>
      <c r="H9" s="154"/>
      <c r="I9" s="154"/>
      <c r="J9" s="113">
        <v>87</v>
      </c>
      <c r="K9" s="100">
        <f t="shared" si="0"/>
        <v>4</v>
      </c>
      <c r="L9" s="100">
        <f t="shared" si="1"/>
        <v>40</v>
      </c>
      <c r="M9" s="149"/>
      <c r="N9" s="145"/>
      <c r="O9" s="147"/>
      <c r="P9" s="158"/>
    </row>
    <row r="10" spans="1:16" ht="15" customHeight="1" x14ac:dyDescent="0.25">
      <c r="A10" s="100">
        <v>8</v>
      </c>
      <c r="B10" s="8" t="s">
        <v>91</v>
      </c>
      <c r="C10" s="8" t="s">
        <v>62</v>
      </c>
      <c r="D10" s="99" t="s">
        <v>59</v>
      </c>
      <c r="E10" s="99" t="s">
        <v>242</v>
      </c>
      <c r="F10" s="123" t="s">
        <v>243</v>
      </c>
      <c r="G10" s="107">
        <v>10</v>
      </c>
      <c r="H10" s="154"/>
      <c r="I10" s="154"/>
      <c r="J10" s="113">
        <v>32.64</v>
      </c>
      <c r="K10" s="100">
        <f t="shared" si="0"/>
        <v>1</v>
      </c>
      <c r="L10" s="100">
        <f t="shared" si="1"/>
        <v>10</v>
      </c>
      <c r="M10" s="149"/>
      <c r="N10" s="145"/>
      <c r="O10" s="147"/>
      <c r="P10" s="158"/>
    </row>
    <row r="11" spans="1:16" ht="15" customHeight="1" x14ac:dyDescent="0.25">
      <c r="A11" s="100">
        <v>9</v>
      </c>
      <c r="B11" s="8" t="s">
        <v>91</v>
      </c>
      <c r="C11" s="8" t="s">
        <v>62</v>
      </c>
      <c r="D11" s="99" t="s">
        <v>59</v>
      </c>
      <c r="E11" s="99" t="s">
        <v>244</v>
      </c>
      <c r="F11" s="123" t="s">
        <v>245</v>
      </c>
      <c r="G11" s="107">
        <v>10</v>
      </c>
      <c r="H11" s="154"/>
      <c r="I11" s="154"/>
      <c r="J11" s="113">
        <v>61.81</v>
      </c>
      <c r="K11" s="100">
        <f>IF(EXACT(J11,"A"),4,IF(EXACT(J11,"B"),3,IF(EXACT(J11,"C"),2,IF(EXACT(J11,"D"),1,0))))</f>
        <v>0</v>
      </c>
      <c r="L11" s="100">
        <f t="shared" si="1"/>
        <v>0</v>
      </c>
      <c r="M11" s="150"/>
      <c r="N11" s="146"/>
      <c r="O11" s="147"/>
      <c r="P11" s="158"/>
    </row>
    <row r="12" spans="1:16" ht="15" customHeight="1" x14ac:dyDescent="0.25">
      <c r="A12" s="100">
        <v>10</v>
      </c>
      <c r="B12" s="8" t="s">
        <v>91</v>
      </c>
      <c r="C12" s="8" t="s">
        <v>63</v>
      </c>
      <c r="D12" s="99" t="s">
        <v>59</v>
      </c>
      <c r="E12" s="99" t="s">
        <v>8</v>
      </c>
      <c r="F12" s="123" t="s">
        <v>246</v>
      </c>
      <c r="G12" s="107">
        <v>10</v>
      </c>
      <c r="H12" s="154">
        <v>20</v>
      </c>
      <c r="I12" s="154"/>
      <c r="J12" s="113" t="s">
        <v>126</v>
      </c>
      <c r="K12" s="100">
        <f>IF(EXACT(J12,"A"),4,IF(EXACT(J12,"B"),3,IF(EXACT(J12,"C"),2,IF(EXACT(J12,"D"),1,0))))</f>
        <v>3</v>
      </c>
      <c r="L12" s="100">
        <f t="shared" si="1"/>
        <v>30</v>
      </c>
      <c r="M12" s="148">
        <f>SUM(L12:L13)</f>
        <v>50</v>
      </c>
      <c r="N12" s="144">
        <f>M12/H12</f>
        <v>2.5</v>
      </c>
      <c r="O12" s="147"/>
      <c r="P12" s="158"/>
    </row>
    <row r="13" spans="1:16" ht="15" customHeight="1" x14ac:dyDescent="0.25">
      <c r="A13" s="100">
        <v>11</v>
      </c>
      <c r="B13" s="8" t="s">
        <v>91</v>
      </c>
      <c r="C13" s="8" t="s">
        <v>63</v>
      </c>
      <c r="D13" s="99" t="s">
        <v>59</v>
      </c>
      <c r="E13" s="99" t="s">
        <v>247</v>
      </c>
      <c r="F13" s="123" t="s">
        <v>248</v>
      </c>
      <c r="G13" s="107">
        <v>10</v>
      </c>
      <c r="H13" s="154"/>
      <c r="I13" s="154"/>
      <c r="J13" s="113" t="s">
        <v>128</v>
      </c>
      <c r="K13" s="100">
        <f>IF(EXACT(J13,"A"),4,IF(EXACT(J13,"B"),3,IF(EXACT(J13,"C"),2,IF(EXACT(J13,"D"),1,0))))</f>
        <v>2</v>
      </c>
      <c r="L13" s="100">
        <f t="shared" si="1"/>
        <v>20</v>
      </c>
      <c r="M13" s="150"/>
      <c r="N13" s="146"/>
      <c r="O13" s="147"/>
      <c r="P13" s="158"/>
    </row>
    <row r="14" spans="1:16" ht="15" customHeight="1" x14ac:dyDescent="0.25">
      <c r="A14" s="100">
        <v>12</v>
      </c>
      <c r="B14" s="8" t="s">
        <v>92</v>
      </c>
      <c r="C14" s="8" t="s">
        <v>64</v>
      </c>
      <c r="D14" s="99" t="s">
        <v>59</v>
      </c>
      <c r="E14" s="4" t="s">
        <v>9</v>
      </c>
      <c r="F14" s="123" t="s">
        <v>249</v>
      </c>
      <c r="G14" s="107">
        <v>10</v>
      </c>
      <c r="H14" s="154">
        <v>20</v>
      </c>
      <c r="I14" s="154">
        <v>300</v>
      </c>
      <c r="J14" s="113">
        <v>85.42</v>
      </c>
      <c r="K14" s="100">
        <f t="shared" si="0"/>
        <v>4</v>
      </c>
      <c r="L14" s="100">
        <f t="shared" si="1"/>
        <v>40</v>
      </c>
      <c r="M14" s="148">
        <f>SUM(L14:L15)</f>
        <v>80</v>
      </c>
      <c r="N14" s="144">
        <f>M14/H14</f>
        <v>4</v>
      </c>
      <c r="O14" s="148">
        <f>SUM(M14:M31)</f>
        <v>240</v>
      </c>
      <c r="P14" s="144">
        <f>O14/I14</f>
        <v>0.8</v>
      </c>
    </row>
    <row r="15" spans="1:16" ht="15" customHeight="1" x14ac:dyDescent="0.25">
      <c r="A15" s="100">
        <v>13</v>
      </c>
      <c r="B15" s="8" t="s">
        <v>92</v>
      </c>
      <c r="C15" s="8" t="s">
        <v>64</v>
      </c>
      <c r="D15" s="99" t="s">
        <v>59</v>
      </c>
      <c r="E15" s="99" t="s">
        <v>10</v>
      </c>
      <c r="F15" s="123" t="s">
        <v>250</v>
      </c>
      <c r="G15" s="107">
        <v>10</v>
      </c>
      <c r="H15" s="154"/>
      <c r="I15" s="154"/>
      <c r="J15" s="113">
        <v>97.91</v>
      </c>
      <c r="K15" s="100">
        <f t="shared" si="0"/>
        <v>4</v>
      </c>
      <c r="L15" s="100">
        <f t="shared" si="1"/>
        <v>40</v>
      </c>
      <c r="M15" s="150"/>
      <c r="N15" s="146"/>
      <c r="O15" s="149"/>
      <c r="P15" s="145"/>
    </row>
    <row r="16" spans="1:16" ht="15" customHeight="1" x14ac:dyDescent="0.25">
      <c r="A16" s="100">
        <v>14</v>
      </c>
      <c r="B16" s="8" t="s">
        <v>92</v>
      </c>
      <c r="C16" s="8" t="s">
        <v>431</v>
      </c>
      <c r="D16" s="99" t="s">
        <v>58</v>
      </c>
      <c r="E16" s="99" t="s">
        <v>11</v>
      </c>
      <c r="F16" s="123" t="s">
        <v>251</v>
      </c>
      <c r="G16" s="107">
        <v>15</v>
      </c>
      <c r="H16" s="154">
        <v>30</v>
      </c>
      <c r="I16" s="154"/>
      <c r="J16" s="112"/>
      <c r="K16" s="100"/>
      <c r="L16" s="100">
        <f t="shared" si="1"/>
        <v>0</v>
      </c>
      <c r="M16" s="148">
        <f>SUM(L16:L17)</f>
        <v>0</v>
      </c>
      <c r="N16" s="144">
        <f>M16/H16</f>
        <v>0</v>
      </c>
      <c r="O16" s="149"/>
      <c r="P16" s="145"/>
    </row>
    <row r="17" spans="1:16" ht="15" customHeight="1" x14ac:dyDescent="0.25">
      <c r="A17" s="100">
        <v>15</v>
      </c>
      <c r="B17" s="8" t="s">
        <v>92</v>
      </c>
      <c r="C17" s="8" t="s">
        <v>431</v>
      </c>
      <c r="D17" s="99" t="s">
        <v>59</v>
      </c>
      <c r="E17" s="4" t="s">
        <v>252</v>
      </c>
      <c r="F17" s="123" t="s">
        <v>253</v>
      </c>
      <c r="G17" s="107">
        <v>15</v>
      </c>
      <c r="H17" s="154"/>
      <c r="I17" s="154"/>
      <c r="J17" s="113">
        <v>16.13</v>
      </c>
      <c r="K17" s="100">
        <f t="shared" si="0"/>
        <v>0</v>
      </c>
      <c r="L17" s="100">
        <f t="shared" si="1"/>
        <v>0</v>
      </c>
      <c r="M17" s="150"/>
      <c r="N17" s="146"/>
      <c r="O17" s="149"/>
      <c r="P17" s="145"/>
    </row>
    <row r="18" spans="1:16" ht="15" customHeight="1" x14ac:dyDescent="0.25">
      <c r="A18" s="100">
        <v>16</v>
      </c>
      <c r="B18" s="8" t="s">
        <v>92</v>
      </c>
      <c r="C18" s="8" t="s">
        <v>432</v>
      </c>
      <c r="D18" s="99" t="s">
        <v>58</v>
      </c>
      <c r="E18" s="4" t="s">
        <v>12</v>
      </c>
      <c r="F18" s="123" t="s">
        <v>254</v>
      </c>
      <c r="G18" s="107">
        <v>15</v>
      </c>
      <c r="H18" s="154">
        <v>50</v>
      </c>
      <c r="I18" s="154"/>
      <c r="J18" s="112"/>
      <c r="K18" s="100"/>
      <c r="L18" s="100">
        <f t="shared" si="1"/>
        <v>0</v>
      </c>
      <c r="M18" s="148">
        <f>SUM(L18:L21)</f>
        <v>0</v>
      </c>
      <c r="N18" s="144">
        <f>M18/H18</f>
        <v>0</v>
      </c>
      <c r="O18" s="149"/>
      <c r="P18" s="145"/>
    </row>
    <row r="19" spans="1:16" ht="15" customHeight="1" x14ac:dyDescent="0.25">
      <c r="A19" s="100">
        <v>17</v>
      </c>
      <c r="B19" s="8" t="s">
        <v>92</v>
      </c>
      <c r="C19" s="8" t="s">
        <v>432</v>
      </c>
      <c r="D19" s="99" t="s">
        <v>58</v>
      </c>
      <c r="E19" s="5" t="s">
        <v>255</v>
      </c>
      <c r="F19" s="123" t="s">
        <v>256</v>
      </c>
      <c r="G19" s="107">
        <v>15</v>
      </c>
      <c r="H19" s="154"/>
      <c r="I19" s="154"/>
      <c r="J19" s="112"/>
      <c r="K19" s="100"/>
      <c r="L19" s="100">
        <f t="shared" si="1"/>
        <v>0</v>
      </c>
      <c r="M19" s="149"/>
      <c r="N19" s="145"/>
      <c r="O19" s="149"/>
      <c r="P19" s="145"/>
    </row>
    <row r="20" spans="1:16" ht="15" customHeight="1" x14ac:dyDescent="0.25">
      <c r="A20" s="100">
        <v>18</v>
      </c>
      <c r="B20" s="8" t="s">
        <v>92</v>
      </c>
      <c r="C20" s="8" t="s">
        <v>432</v>
      </c>
      <c r="D20" s="99" t="s">
        <v>59</v>
      </c>
      <c r="E20" s="99" t="s">
        <v>257</v>
      </c>
      <c r="F20" s="123" t="s">
        <v>258</v>
      </c>
      <c r="G20" s="107">
        <v>10</v>
      </c>
      <c r="H20" s="154"/>
      <c r="I20" s="154"/>
      <c r="J20" s="114">
        <v>0.79236111111111107</v>
      </c>
      <c r="K20" s="100">
        <f t="shared" si="0"/>
        <v>0</v>
      </c>
      <c r="L20" s="100">
        <f t="shared" si="1"/>
        <v>0</v>
      </c>
      <c r="M20" s="149"/>
      <c r="N20" s="145"/>
      <c r="O20" s="149"/>
      <c r="P20" s="145"/>
    </row>
    <row r="21" spans="1:16" ht="15" customHeight="1" x14ac:dyDescent="0.25">
      <c r="A21" s="100">
        <v>19</v>
      </c>
      <c r="B21" s="8" t="s">
        <v>92</v>
      </c>
      <c r="C21" s="8" t="s">
        <v>432</v>
      </c>
      <c r="D21" s="99" t="s">
        <v>58</v>
      </c>
      <c r="E21" s="4" t="s">
        <v>259</v>
      </c>
      <c r="F21" s="123" t="s">
        <v>260</v>
      </c>
      <c r="G21" s="107">
        <v>10</v>
      </c>
      <c r="H21" s="154"/>
      <c r="I21" s="154"/>
      <c r="J21" s="112"/>
      <c r="K21" s="100"/>
      <c r="L21" s="100">
        <f t="shared" si="1"/>
        <v>0</v>
      </c>
      <c r="M21" s="150"/>
      <c r="N21" s="146"/>
      <c r="O21" s="149"/>
      <c r="P21" s="145"/>
    </row>
    <row r="22" spans="1:16" ht="15" customHeight="1" x14ac:dyDescent="0.25">
      <c r="A22" s="100">
        <v>20</v>
      </c>
      <c r="B22" s="8" t="s">
        <v>92</v>
      </c>
      <c r="C22" s="8" t="s">
        <v>66</v>
      </c>
      <c r="D22" s="99" t="s">
        <v>59</v>
      </c>
      <c r="E22" s="4" t="s">
        <v>13</v>
      </c>
      <c r="F22" s="123" t="s">
        <v>261</v>
      </c>
      <c r="G22" s="107">
        <v>15</v>
      </c>
      <c r="H22" s="154">
        <v>50</v>
      </c>
      <c r="I22" s="154"/>
      <c r="J22" s="113">
        <v>99.34</v>
      </c>
      <c r="K22" s="100">
        <f t="shared" si="0"/>
        <v>4</v>
      </c>
      <c r="L22" s="100">
        <f t="shared" si="1"/>
        <v>60</v>
      </c>
      <c r="M22" s="148">
        <f>SUM(L22:L24)</f>
        <v>60</v>
      </c>
      <c r="N22" s="144">
        <f>M22/H22</f>
        <v>1.2</v>
      </c>
      <c r="O22" s="149"/>
      <c r="P22" s="145"/>
    </row>
    <row r="23" spans="1:16" ht="15" customHeight="1" x14ac:dyDescent="0.25">
      <c r="A23" s="100">
        <v>21</v>
      </c>
      <c r="B23" s="8" t="s">
        <v>92</v>
      </c>
      <c r="C23" s="8" t="s">
        <v>66</v>
      </c>
      <c r="D23" s="99" t="s">
        <v>59</v>
      </c>
      <c r="E23" s="4" t="s">
        <v>14</v>
      </c>
      <c r="F23" s="123" t="s">
        <v>262</v>
      </c>
      <c r="G23" s="107">
        <v>20</v>
      </c>
      <c r="H23" s="154"/>
      <c r="I23" s="154"/>
      <c r="J23" s="113">
        <v>11.09</v>
      </c>
      <c r="K23" s="100">
        <f t="shared" si="0"/>
        <v>0</v>
      </c>
      <c r="L23" s="100">
        <f t="shared" si="1"/>
        <v>0</v>
      </c>
      <c r="M23" s="149"/>
      <c r="N23" s="145"/>
      <c r="O23" s="149"/>
      <c r="P23" s="145"/>
    </row>
    <row r="24" spans="1:16" ht="15" customHeight="1" x14ac:dyDescent="0.25">
      <c r="A24" s="100">
        <v>22</v>
      </c>
      <c r="B24" s="8" t="s">
        <v>92</v>
      </c>
      <c r="C24" s="8" t="s">
        <v>66</v>
      </c>
      <c r="D24" s="99" t="s">
        <v>59</v>
      </c>
      <c r="E24" s="99" t="s">
        <v>263</v>
      </c>
      <c r="F24" s="123" t="s">
        <v>264</v>
      </c>
      <c r="G24" s="107">
        <v>15</v>
      </c>
      <c r="H24" s="154"/>
      <c r="I24" s="154"/>
      <c r="J24" s="113">
        <v>5.69</v>
      </c>
      <c r="K24" s="100">
        <f t="shared" si="0"/>
        <v>0</v>
      </c>
      <c r="L24" s="100">
        <f t="shared" si="1"/>
        <v>0</v>
      </c>
      <c r="M24" s="150"/>
      <c r="N24" s="146"/>
      <c r="O24" s="149"/>
      <c r="P24" s="145"/>
    </row>
    <row r="25" spans="1:16" ht="15" customHeight="1" x14ac:dyDescent="0.25">
      <c r="A25" s="100">
        <v>23</v>
      </c>
      <c r="B25" s="8" t="s">
        <v>92</v>
      </c>
      <c r="C25" s="8" t="s">
        <v>67</v>
      </c>
      <c r="D25" s="99" t="s">
        <v>59</v>
      </c>
      <c r="E25" s="99" t="s">
        <v>15</v>
      </c>
      <c r="F25" s="123" t="s">
        <v>265</v>
      </c>
      <c r="G25" s="107">
        <v>20</v>
      </c>
      <c r="H25" s="159">
        <v>50</v>
      </c>
      <c r="I25" s="154"/>
      <c r="J25" s="113">
        <v>21</v>
      </c>
      <c r="K25" s="100">
        <f t="shared" si="0"/>
        <v>1</v>
      </c>
      <c r="L25" s="100">
        <f t="shared" si="1"/>
        <v>20</v>
      </c>
      <c r="M25" s="148">
        <f>SUM(L25:L27)</f>
        <v>20</v>
      </c>
      <c r="N25" s="151">
        <f>M25/H25</f>
        <v>0.4</v>
      </c>
      <c r="O25" s="149"/>
      <c r="P25" s="145"/>
    </row>
    <row r="26" spans="1:16" ht="15" customHeight="1" x14ac:dyDescent="0.25">
      <c r="A26" s="100">
        <v>24</v>
      </c>
      <c r="B26" s="8" t="s">
        <v>92</v>
      </c>
      <c r="C26" s="8" t="s">
        <v>67</v>
      </c>
      <c r="D26" s="99" t="s">
        <v>59</v>
      </c>
      <c r="E26" s="4" t="s">
        <v>266</v>
      </c>
      <c r="F26" s="123" t="s">
        <v>267</v>
      </c>
      <c r="G26" s="107">
        <v>15</v>
      </c>
      <c r="H26" s="159"/>
      <c r="I26" s="154"/>
      <c r="J26" s="113">
        <v>12.61</v>
      </c>
      <c r="K26" s="100">
        <f t="shared" si="0"/>
        <v>0</v>
      </c>
      <c r="L26" s="100">
        <f t="shared" si="1"/>
        <v>0</v>
      </c>
      <c r="M26" s="149"/>
      <c r="N26" s="152"/>
      <c r="O26" s="149"/>
      <c r="P26" s="145"/>
    </row>
    <row r="27" spans="1:16" ht="15" customHeight="1" x14ac:dyDescent="0.25">
      <c r="A27" s="100">
        <v>25</v>
      </c>
      <c r="B27" s="8" t="s">
        <v>92</v>
      </c>
      <c r="C27" s="8" t="s">
        <v>67</v>
      </c>
      <c r="D27" s="99" t="s">
        <v>58</v>
      </c>
      <c r="E27" s="4" t="s">
        <v>268</v>
      </c>
      <c r="F27" s="123" t="s">
        <v>269</v>
      </c>
      <c r="G27" s="107">
        <v>15</v>
      </c>
      <c r="H27" s="159"/>
      <c r="I27" s="154"/>
      <c r="J27" s="112"/>
      <c r="K27" s="100"/>
      <c r="L27" s="100">
        <f t="shared" si="1"/>
        <v>0</v>
      </c>
      <c r="M27" s="150"/>
      <c r="N27" s="153"/>
      <c r="O27" s="149"/>
      <c r="P27" s="145"/>
    </row>
    <row r="28" spans="1:16" ht="15" customHeight="1" x14ac:dyDescent="0.25">
      <c r="A28" s="100">
        <v>26</v>
      </c>
      <c r="B28" s="8" t="s">
        <v>92</v>
      </c>
      <c r="C28" s="8" t="s">
        <v>68</v>
      </c>
      <c r="D28" s="99" t="s">
        <v>58</v>
      </c>
      <c r="E28" s="99" t="s">
        <v>16</v>
      </c>
      <c r="F28" s="123" t="s">
        <v>270</v>
      </c>
      <c r="G28" s="107">
        <v>20</v>
      </c>
      <c r="H28" s="154">
        <v>50</v>
      </c>
      <c r="I28" s="154"/>
      <c r="J28" s="112"/>
      <c r="K28" s="100"/>
      <c r="L28" s="100">
        <f t="shared" si="1"/>
        <v>0</v>
      </c>
      <c r="M28" s="148">
        <f>SUM(L28:L30)</f>
        <v>80</v>
      </c>
      <c r="N28" s="144">
        <f>M28/H28</f>
        <v>1.6</v>
      </c>
      <c r="O28" s="149"/>
      <c r="P28" s="145"/>
    </row>
    <row r="29" spans="1:16" ht="15" customHeight="1" x14ac:dyDescent="0.25">
      <c r="A29" s="100">
        <v>27</v>
      </c>
      <c r="B29" s="8" t="s">
        <v>92</v>
      </c>
      <c r="C29" s="8" t="s">
        <v>68</v>
      </c>
      <c r="D29" s="99" t="s">
        <v>58</v>
      </c>
      <c r="E29" s="4" t="s">
        <v>17</v>
      </c>
      <c r="F29" s="123" t="s">
        <v>271</v>
      </c>
      <c r="G29" s="107">
        <v>10</v>
      </c>
      <c r="H29" s="154"/>
      <c r="I29" s="154"/>
      <c r="J29" s="112"/>
      <c r="K29" s="100"/>
      <c r="L29" s="100">
        <f t="shared" si="1"/>
        <v>0</v>
      </c>
      <c r="M29" s="149"/>
      <c r="N29" s="145"/>
      <c r="O29" s="149"/>
      <c r="P29" s="145"/>
    </row>
    <row r="30" spans="1:16" ht="15" customHeight="1" x14ac:dyDescent="0.25">
      <c r="A30" s="100">
        <v>28</v>
      </c>
      <c r="B30" s="8" t="s">
        <v>92</v>
      </c>
      <c r="C30" s="8" t="s">
        <v>68</v>
      </c>
      <c r="D30" s="99" t="s">
        <v>59</v>
      </c>
      <c r="E30" s="99" t="s">
        <v>272</v>
      </c>
      <c r="F30" s="123" t="s">
        <v>273</v>
      </c>
      <c r="G30" s="107">
        <v>20</v>
      </c>
      <c r="H30" s="154"/>
      <c r="I30" s="154"/>
      <c r="J30" s="113">
        <v>90.9</v>
      </c>
      <c r="K30" s="100">
        <f t="shared" si="0"/>
        <v>4</v>
      </c>
      <c r="L30" s="100">
        <f t="shared" si="1"/>
        <v>80</v>
      </c>
      <c r="M30" s="150"/>
      <c r="N30" s="146"/>
      <c r="O30" s="149"/>
      <c r="P30" s="145"/>
    </row>
    <row r="31" spans="1:16" ht="15" customHeight="1" x14ac:dyDescent="0.25">
      <c r="A31" s="100">
        <v>29</v>
      </c>
      <c r="B31" s="8" t="s">
        <v>92</v>
      </c>
      <c r="C31" s="8" t="s">
        <v>69</v>
      </c>
      <c r="D31" s="99" t="s">
        <v>59</v>
      </c>
      <c r="E31" s="99" t="s">
        <v>18</v>
      </c>
      <c r="F31" s="123" t="s">
        <v>274</v>
      </c>
      <c r="G31" s="107">
        <v>50</v>
      </c>
      <c r="H31" s="107">
        <v>50</v>
      </c>
      <c r="I31" s="154"/>
      <c r="J31" s="113">
        <v>3.48</v>
      </c>
      <c r="K31" s="100">
        <f>IF(EXACT(J31,"A"),4,IF(EXACT(J31,"B"),3,IF(EXACT(J31,"C"),2,IF(EXACT(J31,"D"),1,0))))</f>
        <v>0</v>
      </c>
      <c r="L31" s="100">
        <f t="shared" si="1"/>
        <v>0</v>
      </c>
      <c r="M31" s="62">
        <f>L31</f>
        <v>0</v>
      </c>
      <c r="N31" s="110">
        <f>M31/H31</f>
        <v>0</v>
      </c>
      <c r="O31" s="150"/>
      <c r="P31" s="146"/>
    </row>
    <row r="32" spans="1:16" ht="15" customHeight="1" x14ac:dyDescent="0.25">
      <c r="A32" s="100">
        <v>30</v>
      </c>
      <c r="B32" s="8" t="s">
        <v>93</v>
      </c>
      <c r="C32" s="8" t="s">
        <v>433</v>
      </c>
      <c r="D32" s="99" t="s">
        <v>58</v>
      </c>
      <c r="E32" s="4" t="s">
        <v>19</v>
      </c>
      <c r="F32" s="123" t="s">
        <v>275</v>
      </c>
      <c r="G32" s="107">
        <v>6</v>
      </c>
      <c r="H32" s="154">
        <v>20</v>
      </c>
      <c r="I32" s="154">
        <v>150</v>
      </c>
      <c r="J32" s="112"/>
      <c r="K32" s="100"/>
      <c r="L32" s="100">
        <f t="shared" si="1"/>
        <v>0</v>
      </c>
      <c r="M32" s="148">
        <f>SUM(L32:L34)</f>
        <v>0</v>
      </c>
      <c r="N32" s="144">
        <f>M32/H32</f>
        <v>0</v>
      </c>
      <c r="O32" s="148">
        <f>SUM(M32:M54)</f>
        <v>114</v>
      </c>
      <c r="P32" s="144">
        <f>O32/I32</f>
        <v>0.76</v>
      </c>
    </row>
    <row r="33" spans="1:16" ht="15" customHeight="1" x14ac:dyDescent="0.25">
      <c r="A33" s="100">
        <v>31</v>
      </c>
      <c r="B33" s="8" t="s">
        <v>93</v>
      </c>
      <c r="C33" s="8" t="s">
        <v>433</v>
      </c>
      <c r="D33" s="99" t="s">
        <v>59</v>
      </c>
      <c r="E33" s="4" t="s">
        <v>276</v>
      </c>
      <c r="F33" s="123" t="s">
        <v>277</v>
      </c>
      <c r="G33" s="107">
        <v>8</v>
      </c>
      <c r="H33" s="154"/>
      <c r="I33" s="154"/>
      <c r="J33" s="113">
        <v>0</v>
      </c>
      <c r="K33" s="100">
        <f t="shared" si="0"/>
        <v>0</v>
      </c>
      <c r="L33" s="100">
        <f t="shared" si="1"/>
        <v>0</v>
      </c>
      <c r="M33" s="149"/>
      <c r="N33" s="145"/>
      <c r="O33" s="149"/>
      <c r="P33" s="145"/>
    </row>
    <row r="34" spans="1:16" ht="15" customHeight="1" x14ac:dyDescent="0.25">
      <c r="A34" s="100">
        <v>32</v>
      </c>
      <c r="B34" s="8" t="s">
        <v>93</v>
      </c>
      <c r="C34" s="8" t="s">
        <v>433</v>
      </c>
      <c r="D34" s="99" t="s">
        <v>59</v>
      </c>
      <c r="E34" s="4" t="s">
        <v>278</v>
      </c>
      <c r="F34" s="123" t="s">
        <v>279</v>
      </c>
      <c r="G34" s="107">
        <v>6</v>
      </c>
      <c r="H34" s="154"/>
      <c r="I34" s="154"/>
      <c r="J34" s="113">
        <v>0.06</v>
      </c>
      <c r="K34" s="100">
        <f t="shared" si="0"/>
        <v>0</v>
      </c>
      <c r="L34" s="100">
        <f t="shared" si="1"/>
        <v>0</v>
      </c>
      <c r="M34" s="150"/>
      <c r="N34" s="146"/>
      <c r="O34" s="149"/>
      <c r="P34" s="145"/>
    </row>
    <row r="35" spans="1:16" ht="15" customHeight="1" x14ac:dyDescent="0.25">
      <c r="A35" s="100">
        <v>33</v>
      </c>
      <c r="B35" s="8" t="s">
        <v>93</v>
      </c>
      <c r="C35" s="8" t="s">
        <v>434</v>
      </c>
      <c r="D35" s="99" t="s">
        <v>59</v>
      </c>
      <c r="E35" s="4" t="s">
        <v>20</v>
      </c>
      <c r="F35" s="123" t="s">
        <v>280</v>
      </c>
      <c r="G35" s="107">
        <v>2</v>
      </c>
      <c r="H35" s="154">
        <v>10</v>
      </c>
      <c r="I35" s="154"/>
      <c r="J35" s="113">
        <v>116.67</v>
      </c>
      <c r="K35" s="100">
        <f t="shared" si="0"/>
        <v>4</v>
      </c>
      <c r="L35" s="100">
        <f t="shared" si="1"/>
        <v>8</v>
      </c>
      <c r="M35" s="148">
        <f>SUM(L35:L38)</f>
        <v>14</v>
      </c>
      <c r="N35" s="144">
        <f>M35/H35</f>
        <v>1.4</v>
      </c>
      <c r="O35" s="149"/>
      <c r="P35" s="145"/>
    </row>
    <row r="36" spans="1:16" ht="15" customHeight="1" x14ac:dyDescent="0.25">
      <c r="A36" s="100">
        <v>34</v>
      </c>
      <c r="B36" s="8" t="s">
        <v>93</v>
      </c>
      <c r="C36" s="8" t="s">
        <v>434</v>
      </c>
      <c r="D36" s="99" t="s">
        <v>59</v>
      </c>
      <c r="E36" s="4" t="s">
        <v>21</v>
      </c>
      <c r="F36" s="123" t="s">
        <v>281</v>
      </c>
      <c r="G36" s="107">
        <v>2</v>
      </c>
      <c r="H36" s="154"/>
      <c r="I36" s="154"/>
      <c r="J36" s="113">
        <v>1.02</v>
      </c>
      <c r="K36" s="100">
        <f t="shared" si="0"/>
        <v>0</v>
      </c>
      <c r="L36" s="100">
        <f t="shared" si="1"/>
        <v>0</v>
      </c>
      <c r="M36" s="149"/>
      <c r="N36" s="145"/>
      <c r="O36" s="149"/>
      <c r="P36" s="145"/>
    </row>
    <row r="37" spans="1:16" ht="15" customHeight="1" x14ac:dyDescent="0.25">
      <c r="A37" s="100">
        <v>35</v>
      </c>
      <c r="B37" s="8" t="s">
        <v>93</v>
      </c>
      <c r="C37" s="8" t="s">
        <v>434</v>
      </c>
      <c r="D37" s="99" t="s">
        <v>59</v>
      </c>
      <c r="E37" s="4" t="s">
        <v>282</v>
      </c>
      <c r="F37" s="123" t="s">
        <v>283</v>
      </c>
      <c r="G37" s="107">
        <v>3</v>
      </c>
      <c r="H37" s="154"/>
      <c r="I37" s="154"/>
      <c r="J37" s="113">
        <v>3.03</v>
      </c>
      <c r="K37" s="100">
        <f t="shared" si="0"/>
        <v>0</v>
      </c>
      <c r="L37" s="100">
        <f t="shared" si="1"/>
        <v>0</v>
      </c>
      <c r="M37" s="149"/>
      <c r="N37" s="145"/>
      <c r="O37" s="149"/>
      <c r="P37" s="145"/>
    </row>
    <row r="38" spans="1:16" ht="15" customHeight="1" x14ac:dyDescent="0.25">
      <c r="A38" s="100">
        <v>36</v>
      </c>
      <c r="B38" s="8" t="s">
        <v>93</v>
      </c>
      <c r="C38" s="8" t="s">
        <v>434</v>
      </c>
      <c r="D38" s="99" t="s">
        <v>59</v>
      </c>
      <c r="E38" s="4" t="s">
        <v>284</v>
      </c>
      <c r="F38" s="123" t="s">
        <v>285</v>
      </c>
      <c r="G38" s="107">
        <v>3</v>
      </c>
      <c r="H38" s="154"/>
      <c r="I38" s="154"/>
      <c r="J38" s="113">
        <v>43.57</v>
      </c>
      <c r="K38" s="100">
        <f t="shared" si="0"/>
        <v>2</v>
      </c>
      <c r="L38" s="100">
        <f t="shared" si="1"/>
        <v>6</v>
      </c>
      <c r="M38" s="150"/>
      <c r="N38" s="146"/>
      <c r="O38" s="149"/>
      <c r="P38" s="145"/>
    </row>
    <row r="39" spans="1:16" ht="15" customHeight="1" x14ac:dyDescent="0.25">
      <c r="A39" s="100">
        <v>37</v>
      </c>
      <c r="B39" s="8" t="s">
        <v>93</v>
      </c>
      <c r="C39" s="8" t="s">
        <v>435</v>
      </c>
      <c r="D39" s="99" t="s">
        <v>58</v>
      </c>
      <c r="E39" s="4" t="s">
        <v>22</v>
      </c>
      <c r="F39" s="123" t="s">
        <v>286</v>
      </c>
      <c r="G39" s="107">
        <v>5</v>
      </c>
      <c r="H39" s="154">
        <v>10</v>
      </c>
      <c r="I39" s="154"/>
      <c r="J39" s="112"/>
      <c r="K39" s="100"/>
      <c r="L39" s="100">
        <f t="shared" si="1"/>
        <v>0</v>
      </c>
      <c r="M39" s="148">
        <f>SUM(L39:L40)</f>
        <v>10</v>
      </c>
      <c r="N39" s="144">
        <f>M39/H39</f>
        <v>1</v>
      </c>
      <c r="O39" s="149"/>
      <c r="P39" s="145"/>
    </row>
    <row r="40" spans="1:16" ht="15" customHeight="1" x14ac:dyDescent="0.25">
      <c r="A40" s="100">
        <v>38</v>
      </c>
      <c r="B40" s="8" t="s">
        <v>93</v>
      </c>
      <c r="C40" s="8" t="s">
        <v>435</v>
      </c>
      <c r="D40" s="99" t="s">
        <v>59</v>
      </c>
      <c r="E40" s="4" t="s">
        <v>23</v>
      </c>
      <c r="F40" s="123" t="s">
        <v>287</v>
      </c>
      <c r="G40" s="107">
        <v>5</v>
      </c>
      <c r="H40" s="154"/>
      <c r="I40" s="154"/>
      <c r="J40" s="113">
        <v>43</v>
      </c>
      <c r="K40" s="100">
        <f t="shared" si="0"/>
        <v>2</v>
      </c>
      <c r="L40" s="100">
        <f t="shared" si="1"/>
        <v>10</v>
      </c>
      <c r="M40" s="150"/>
      <c r="N40" s="146"/>
      <c r="O40" s="149"/>
      <c r="P40" s="145"/>
    </row>
    <row r="41" spans="1:16" ht="15" customHeight="1" x14ac:dyDescent="0.25">
      <c r="A41" s="100">
        <v>39</v>
      </c>
      <c r="B41" s="8" t="s">
        <v>93</v>
      </c>
      <c r="C41" s="8" t="s">
        <v>436</v>
      </c>
      <c r="D41" s="99" t="s">
        <v>59</v>
      </c>
      <c r="E41" s="4" t="s">
        <v>24</v>
      </c>
      <c r="F41" s="123" t="s">
        <v>288</v>
      </c>
      <c r="G41" s="107">
        <v>5</v>
      </c>
      <c r="H41" s="154">
        <v>30</v>
      </c>
      <c r="I41" s="154"/>
      <c r="J41" s="113" t="s">
        <v>128</v>
      </c>
      <c r="K41" s="100">
        <f>IF(EXACT(J41,"A"),4,IF(EXACT(J41,"B"),3,IF(EXACT(J41,"C"),2,IF(EXACT(J41,"D"),1,0))))</f>
        <v>2</v>
      </c>
      <c r="L41" s="100">
        <f t="shared" si="1"/>
        <v>10</v>
      </c>
      <c r="M41" s="148">
        <f>SUM(L41:L46)</f>
        <v>10</v>
      </c>
      <c r="N41" s="144">
        <f>M41/H41</f>
        <v>0.33333333333333331</v>
      </c>
      <c r="O41" s="149"/>
      <c r="P41" s="145"/>
    </row>
    <row r="42" spans="1:16" ht="15" customHeight="1" x14ac:dyDescent="0.25">
      <c r="A42" s="100">
        <v>40</v>
      </c>
      <c r="B42" s="8" t="s">
        <v>93</v>
      </c>
      <c r="C42" s="8" t="s">
        <v>436</v>
      </c>
      <c r="D42" s="99" t="s">
        <v>59</v>
      </c>
      <c r="E42" s="99" t="s">
        <v>25</v>
      </c>
      <c r="F42" s="123" t="s">
        <v>289</v>
      </c>
      <c r="G42" s="107">
        <v>5</v>
      </c>
      <c r="H42" s="154"/>
      <c r="I42" s="154"/>
      <c r="J42" s="113">
        <v>0</v>
      </c>
      <c r="K42" s="100">
        <f t="shared" si="0"/>
        <v>0</v>
      </c>
      <c r="L42" s="100">
        <f t="shared" si="1"/>
        <v>0</v>
      </c>
      <c r="M42" s="149"/>
      <c r="N42" s="145"/>
      <c r="O42" s="149"/>
      <c r="P42" s="145"/>
    </row>
    <row r="43" spans="1:16" ht="15" customHeight="1" x14ac:dyDescent="0.25">
      <c r="A43" s="100">
        <v>41</v>
      </c>
      <c r="B43" s="8" t="s">
        <v>93</v>
      </c>
      <c r="C43" s="8" t="s">
        <v>436</v>
      </c>
      <c r="D43" s="99" t="s">
        <v>59</v>
      </c>
      <c r="E43" s="99" t="s">
        <v>26</v>
      </c>
      <c r="F43" s="123" t="s">
        <v>290</v>
      </c>
      <c r="G43" s="107">
        <v>5</v>
      </c>
      <c r="H43" s="154"/>
      <c r="I43" s="154"/>
      <c r="J43" s="113">
        <v>2.11</v>
      </c>
      <c r="K43" s="100">
        <f t="shared" si="0"/>
        <v>0</v>
      </c>
      <c r="L43" s="100">
        <f t="shared" si="1"/>
        <v>0</v>
      </c>
      <c r="M43" s="149"/>
      <c r="N43" s="145"/>
      <c r="O43" s="149"/>
      <c r="P43" s="145"/>
    </row>
    <row r="44" spans="1:16" ht="15" customHeight="1" x14ac:dyDescent="0.25">
      <c r="A44" s="100">
        <v>42</v>
      </c>
      <c r="B44" s="8" t="s">
        <v>93</v>
      </c>
      <c r="C44" s="8" t="s">
        <v>436</v>
      </c>
      <c r="D44" s="99" t="s">
        <v>59</v>
      </c>
      <c r="E44" s="99" t="s">
        <v>291</v>
      </c>
      <c r="F44" s="123" t="s">
        <v>292</v>
      </c>
      <c r="G44" s="107">
        <v>5</v>
      </c>
      <c r="H44" s="154"/>
      <c r="I44" s="154"/>
      <c r="J44" s="113">
        <v>0.22</v>
      </c>
      <c r="K44" s="100">
        <f t="shared" si="0"/>
        <v>0</v>
      </c>
      <c r="L44" s="100">
        <f t="shared" si="1"/>
        <v>0</v>
      </c>
      <c r="M44" s="149"/>
      <c r="N44" s="145"/>
      <c r="O44" s="149"/>
      <c r="P44" s="145"/>
    </row>
    <row r="45" spans="1:16" ht="15" customHeight="1" x14ac:dyDescent="0.25">
      <c r="A45" s="100">
        <v>43</v>
      </c>
      <c r="B45" s="8" t="s">
        <v>93</v>
      </c>
      <c r="C45" s="8" t="s">
        <v>436</v>
      </c>
      <c r="D45" s="99" t="s">
        <v>59</v>
      </c>
      <c r="E45" s="4" t="s">
        <v>293</v>
      </c>
      <c r="F45" s="123" t="s">
        <v>294</v>
      </c>
      <c r="G45" s="107">
        <v>5</v>
      </c>
      <c r="H45" s="154"/>
      <c r="I45" s="154"/>
      <c r="J45" s="113">
        <v>1.81</v>
      </c>
      <c r="K45" s="100">
        <f t="shared" si="0"/>
        <v>0</v>
      </c>
      <c r="L45" s="100">
        <f t="shared" si="1"/>
        <v>0</v>
      </c>
      <c r="M45" s="149"/>
      <c r="N45" s="145"/>
      <c r="O45" s="149"/>
      <c r="P45" s="145"/>
    </row>
    <row r="46" spans="1:16" ht="15" customHeight="1" x14ac:dyDescent="0.25">
      <c r="A46" s="100">
        <v>44</v>
      </c>
      <c r="B46" s="8" t="s">
        <v>93</v>
      </c>
      <c r="C46" s="8" t="s">
        <v>436</v>
      </c>
      <c r="D46" s="99" t="s">
        <v>59</v>
      </c>
      <c r="E46" s="99" t="s">
        <v>295</v>
      </c>
      <c r="F46" s="123" t="s">
        <v>296</v>
      </c>
      <c r="G46" s="107">
        <v>5</v>
      </c>
      <c r="H46" s="154"/>
      <c r="I46" s="154"/>
      <c r="J46" s="113">
        <v>8</v>
      </c>
      <c r="K46" s="100">
        <f>IF(EXACT(J46,"A"),4,IF(EXACT(J46,"B"),3,IF(EXACT(J46,"C"),2,IF(EXACT(J46,"D"),1,0))))</f>
        <v>0</v>
      </c>
      <c r="L46" s="100">
        <f t="shared" si="1"/>
        <v>0</v>
      </c>
      <c r="M46" s="150"/>
      <c r="N46" s="146"/>
      <c r="O46" s="149"/>
      <c r="P46" s="145"/>
    </row>
    <row r="47" spans="1:16" ht="15" customHeight="1" x14ac:dyDescent="0.25">
      <c r="A47" s="100">
        <v>45</v>
      </c>
      <c r="B47" s="8" t="s">
        <v>93</v>
      </c>
      <c r="C47" s="8" t="s">
        <v>437</v>
      </c>
      <c r="D47" s="99" t="s">
        <v>59</v>
      </c>
      <c r="E47" s="4" t="s">
        <v>27</v>
      </c>
      <c r="F47" s="123" t="s">
        <v>297</v>
      </c>
      <c r="G47" s="107">
        <v>5</v>
      </c>
      <c r="H47" s="154">
        <v>10</v>
      </c>
      <c r="I47" s="154"/>
      <c r="J47" s="113">
        <v>0</v>
      </c>
      <c r="K47" s="100">
        <f t="shared" si="0"/>
        <v>0</v>
      </c>
      <c r="L47" s="100">
        <f t="shared" si="1"/>
        <v>0</v>
      </c>
      <c r="M47" s="148">
        <f>SUM(L47:L48)</f>
        <v>0</v>
      </c>
      <c r="N47" s="144">
        <f>M47/H47</f>
        <v>0</v>
      </c>
      <c r="O47" s="149"/>
      <c r="P47" s="145"/>
    </row>
    <row r="48" spans="1:16" ht="15" customHeight="1" x14ac:dyDescent="0.25">
      <c r="A48" s="100">
        <v>46</v>
      </c>
      <c r="B48" s="8" t="s">
        <v>93</v>
      </c>
      <c r="C48" s="8" t="s">
        <v>437</v>
      </c>
      <c r="D48" s="99" t="s">
        <v>59</v>
      </c>
      <c r="E48" s="4" t="s">
        <v>298</v>
      </c>
      <c r="F48" s="123" t="s">
        <v>299</v>
      </c>
      <c r="G48" s="107">
        <v>5</v>
      </c>
      <c r="H48" s="154"/>
      <c r="I48" s="154"/>
      <c r="J48" s="113">
        <v>0</v>
      </c>
      <c r="K48" s="100">
        <f t="shared" si="0"/>
        <v>0</v>
      </c>
      <c r="L48" s="100">
        <f t="shared" si="1"/>
        <v>0</v>
      </c>
      <c r="M48" s="150"/>
      <c r="N48" s="146"/>
      <c r="O48" s="149"/>
      <c r="P48" s="145"/>
    </row>
    <row r="49" spans="1:16" ht="15" customHeight="1" x14ac:dyDescent="0.25">
      <c r="A49" s="100">
        <v>47</v>
      </c>
      <c r="B49" s="8" t="s">
        <v>93</v>
      </c>
      <c r="C49" s="8" t="s">
        <v>438</v>
      </c>
      <c r="D49" s="99" t="s">
        <v>58</v>
      </c>
      <c r="E49" s="99" t="s">
        <v>300</v>
      </c>
      <c r="F49" s="123" t="s">
        <v>301</v>
      </c>
      <c r="G49" s="107">
        <v>10</v>
      </c>
      <c r="H49" s="154">
        <v>50</v>
      </c>
      <c r="I49" s="154"/>
      <c r="J49" s="112"/>
      <c r="K49" s="100"/>
      <c r="L49" s="100">
        <f t="shared" si="1"/>
        <v>0</v>
      </c>
      <c r="M49" s="148">
        <f>SUM(L49:L52)</f>
        <v>60</v>
      </c>
      <c r="N49" s="144">
        <f>M49/H49</f>
        <v>1.2</v>
      </c>
      <c r="O49" s="149"/>
      <c r="P49" s="145"/>
    </row>
    <row r="50" spans="1:16" ht="15" customHeight="1" x14ac:dyDescent="0.25">
      <c r="A50" s="100">
        <v>48</v>
      </c>
      <c r="B50" s="8" t="s">
        <v>93</v>
      </c>
      <c r="C50" s="8" t="s">
        <v>438</v>
      </c>
      <c r="D50" s="99" t="s">
        <v>59</v>
      </c>
      <c r="E50" s="99" t="s">
        <v>302</v>
      </c>
      <c r="F50" s="123" t="s">
        <v>303</v>
      </c>
      <c r="G50" s="107">
        <v>15</v>
      </c>
      <c r="H50" s="154"/>
      <c r="I50" s="154"/>
      <c r="J50" s="113">
        <v>0</v>
      </c>
      <c r="K50" s="100">
        <f>IF(J50&gt;=50,4,IF(AND(J50&lt;50,J50&gt;40),3,IF(AND(J50&lt;=40,J50&gt;30),2,IF(AND(J50&lt;=30,J50&gt;20),1,IF(J50&lt;=20,0)))))</f>
        <v>0</v>
      </c>
      <c r="L50" s="100">
        <f t="shared" si="1"/>
        <v>0</v>
      </c>
      <c r="M50" s="149"/>
      <c r="N50" s="145"/>
      <c r="O50" s="149"/>
      <c r="P50" s="145"/>
    </row>
    <row r="51" spans="1:16" ht="15" customHeight="1" x14ac:dyDescent="0.25">
      <c r="A51" s="100">
        <v>49</v>
      </c>
      <c r="B51" s="8" t="s">
        <v>93</v>
      </c>
      <c r="C51" s="8" t="s">
        <v>438</v>
      </c>
      <c r="D51" s="99" t="s">
        <v>59</v>
      </c>
      <c r="E51" s="4" t="s">
        <v>304</v>
      </c>
      <c r="F51" s="123" t="s">
        <v>305</v>
      </c>
      <c r="G51" s="107">
        <v>10</v>
      </c>
      <c r="H51" s="154"/>
      <c r="I51" s="154"/>
      <c r="J51" s="113">
        <v>85</v>
      </c>
      <c r="K51" s="100">
        <f>IF(EXACT(J51,"A"),4,IF(EXACT(J51,"B"),3,IF(EXACT(J51,"C"),2,IF(EXACT(J51,"D"),1,0))))</f>
        <v>0</v>
      </c>
      <c r="L51" s="100">
        <f t="shared" si="1"/>
        <v>0</v>
      </c>
      <c r="M51" s="149"/>
      <c r="N51" s="145"/>
      <c r="O51" s="149"/>
      <c r="P51" s="145"/>
    </row>
    <row r="52" spans="1:16" ht="15" customHeight="1" x14ac:dyDescent="0.25">
      <c r="A52" s="100">
        <v>50</v>
      </c>
      <c r="B52" s="8" t="s">
        <v>93</v>
      </c>
      <c r="C52" s="8" t="s">
        <v>438</v>
      </c>
      <c r="D52" s="99" t="s">
        <v>59</v>
      </c>
      <c r="E52" s="99" t="s">
        <v>306</v>
      </c>
      <c r="F52" s="123" t="s">
        <v>307</v>
      </c>
      <c r="G52" s="107">
        <v>15</v>
      </c>
      <c r="H52" s="154"/>
      <c r="I52" s="154"/>
      <c r="J52" s="113">
        <v>83.05</v>
      </c>
      <c r="K52" s="100">
        <f t="shared" si="0"/>
        <v>4</v>
      </c>
      <c r="L52" s="100">
        <f t="shared" si="1"/>
        <v>60</v>
      </c>
      <c r="M52" s="150"/>
      <c r="N52" s="146"/>
      <c r="O52" s="149"/>
      <c r="P52" s="145"/>
    </row>
    <row r="53" spans="1:16" ht="15" customHeight="1" x14ac:dyDescent="0.25">
      <c r="A53" s="100">
        <v>51</v>
      </c>
      <c r="B53" s="8" t="s">
        <v>93</v>
      </c>
      <c r="C53" s="8" t="s">
        <v>439</v>
      </c>
      <c r="D53" s="99" t="s">
        <v>59</v>
      </c>
      <c r="E53" s="4" t="s">
        <v>308</v>
      </c>
      <c r="F53" s="123" t="s">
        <v>309</v>
      </c>
      <c r="G53" s="107">
        <v>10</v>
      </c>
      <c r="H53" s="154">
        <v>20</v>
      </c>
      <c r="I53" s="154"/>
      <c r="J53" s="113">
        <v>0</v>
      </c>
      <c r="K53" s="100">
        <f t="shared" si="0"/>
        <v>0</v>
      </c>
      <c r="L53" s="100">
        <f t="shared" si="1"/>
        <v>0</v>
      </c>
      <c r="M53" s="148">
        <f>SUM(L53:L54)</f>
        <v>20</v>
      </c>
      <c r="N53" s="144">
        <f>M53/H53</f>
        <v>1</v>
      </c>
      <c r="O53" s="149"/>
      <c r="P53" s="145"/>
    </row>
    <row r="54" spans="1:16" ht="15" customHeight="1" x14ac:dyDescent="0.25">
      <c r="A54" s="100">
        <v>52</v>
      </c>
      <c r="B54" s="8" t="s">
        <v>93</v>
      </c>
      <c r="C54" s="8" t="s">
        <v>439</v>
      </c>
      <c r="D54" s="99" t="s">
        <v>59</v>
      </c>
      <c r="E54" s="99" t="s">
        <v>310</v>
      </c>
      <c r="F54" s="123" t="s">
        <v>311</v>
      </c>
      <c r="G54" s="107">
        <v>10</v>
      </c>
      <c r="H54" s="154"/>
      <c r="I54" s="154"/>
      <c r="J54" s="113">
        <v>55</v>
      </c>
      <c r="K54" s="100">
        <f t="shared" si="0"/>
        <v>2</v>
      </c>
      <c r="L54" s="100">
        <f t="shared" si="1"/>
        <v>20</v>
      </c>
      <c r="M54" s="150"/>
      <c r="N54" s="146"/>
      <c r="O54" s="150"/>
      <c r="P54" s="146"/>
    </row>
    <row r="55" spans="1:16" ht="15" customHeight="1" x14ac:dyDescent="0.25">
      <c r="A55" s="100">
        <v>53</v>
      </c>
      <c r="B55" s="8" t="s">
        <v>94</v>
      </c>
      <c r="C55" s="8" t="s">
        <v>75</v>
      </c>
      <c r="D55" s="99" t="s">
        <v>58</v>
      </c>
      <c r="E55" s="99" t="s">
        <v>28</v>
      </c>
      <c r="F55" s="123" t="s">
        <v>440</v>
      </c>
      <c r="G55" s="107">
        <v>6</v>
      </c>
      <c r="H55" s="154">
        <v>30</v>
      </c>
      <c r="I55" s="154">
        <v>100</v>
      </c>
      <c r="J55" s="112"/>
      <c r="K55" s="100"/>
      <c r="L55" s="100">
        <f t="shared" si="1"/>
        <v>0</v>
      </c>
      <c r="M55" s="148">
        <f>SUM(L55:L58)</f>
        <v>0</v>
      </c>
      <c r="N55" s="144">
        <f>M55/H55</f>
        <v>0</v>
      </c>
      <c r="O55" s="148">
        <f>SUM(M55:M68)</f>
        <v>64</v>
      </c>
      <c r="P55" s="144">
        <f>O55/I55</f>
        <v>0.64</v>
      </c>
    </row>
    <row r="56" spans="1:16" ht="15" customHeight="1" x14ac:dyDescent="0.25">
      <c r="A56" s="100">
        <v>54</v>
      </c>
      <c r="B56" s="8" t="s">
        <v>94</v>
      </c>
      <c r="C56" s="8" t="s">
        <v>75</v>
      </c>
      <c r="D56" s="99" t="s">
        <v>58</v>
      </c>
      <c r="E56" s="99" t="s">
        <v>29</v>
      </c>
      <c r="F56" s="123" t="s">
        <v>441</v>
      </c>
      <c r="G56" s="107">
        <v>4</v>
      </c>
      <c r="H56" s="154"/>
      <c r="I56" s="154"/>
      <c r="J56" s="112"/>
      <c r="K56" s="100"/>
      <c r="L56" s="100">
        <f t="shared" si="1"/>
        <v>0</v>
      </c>
      <c r="M56" s="149"/>
      <c r="N56" s="145"/>
      <c r="O56" s="149"/>
      <c r="P56" s="145"/>
    </row>
    <row r="57" spans="1:16" ht="15" customHeight="1" x14ac:dyDescent="0.25">
      <c r="A57" s="100">
        <v>55</v>
      </c>
      <c r="B57" s="8" t="s">
        <v>94</v>
      </c>
      <c r="C57" s="8" t="s">
        <v>75</v>
      </c>
      <c r="D57" s="99" t="s">
        <v>59</v>
      </c>
      <c r="E57" s="99" t="s">
        <v>314</v>
      </c>
      <c r="F57" s="123" t="s">
        <v>315</v>
      </c>
      <c r="G57" s="107">
        <v>10</v>
      </c>
      <c r="H57" s="154"/>
      <c r="I57" s="154"/>
      <c r="J57" s="113">
        <v>47.62</v>
      </c>
      <c r="K57" s="100">
        <f>IF(EXACT(J57,"A"),4,IF(EXACT(J57,"B"),3,IF(EXACT(J57,"C"),2,IF(EXACT(J57,"D"),1,0))))</f>
        <v>0</v>
      </c>
      <c r="L57" s="100">
        <f t="shared" si="1"/>
        <v>0</v>
      </c>
      <c r="M57" s="149"/>
      <c r="N57" s="145"/>
      <c r="O57" s="149"/>
      <c r="P57" s="145"/>
    </row>
    <row r="58" spans="1:16" ht="15" customHeight="1" x14ac:dyDescent="0.25">
      <c r="A58" s="100">
        <v>56</v>
      </c>
      <c r="B58" s="8" t="s">
        <v>94</v>
      </c>
      <c r="C58" s="8" t="s">
        <v>75</v>
      </c>
      <c r="D58" s="99" t="s">
        <v>59</v>
      </c>
      <c r="E58" s="99" t="s">
        <v>316</v>
      </c>
      <c r="F58" s="123" t="s">
        <v>317</v>
      </c>
      <c r="G58" s="107">
        <v>10</v>
      </c>
      <c r="H58" s="154"/>
      <c r="I58" s="154"/>
      <c r="J58" s="113">
        <v>11.5</v>
      </c>
      <c r="K58" s="100">
        <f t="shared" si="0"/>
        <v>0</v>
      </c>
      <c r="L58" s="100">
        <f t="shared" si="1"/>
        <v>0</v>
      </c>
      <c r="M58" s="150"/>
      <c r="N58" s="146"/>
      <c r="O58" s="149"/>
      <c r="P58" s="145"/>
    </row>
    <row r="59" spans="1:16" ht="15" customHeight="1" x14ac:dyDescent="0.25">
      <c r="A59" s="100">
        <v>57</v>
      </c>
      <c r="B59" s="8" t="s">
        <v>94</v>
      </c>
      <c r="C59" s="8" t="s">
        <v>76</v>
      </c>
      <c r="D59" s="99" t="s">
        <v>58</v>
      </c>
      <c r="E59" s="99" t="s">
        <v>30</v>
      </c>
      <c r="F59" s="123" t="s">
        <v>318</v>
      </c>
      <c r="G59" s="107">
        <v>5</v>
      </c>
      <c r="H59" s="154">
        <v>20</v>
      </c>
      <c r="I59" s="154"/>
      <c r="J59" s="112"/>
      <c r="K59" s="100"/>
      <c r="L59" s="100">
        <f t="shared" si="1"/>
        <v>0</v>
      </c>
      <c r="M59" s="148">
        <f>SUM(L59:L62)</f>
        <v>20</v>
      </c>
      <c r="N59" s="144">
        <f>M59/H59</f>
        <v>1</v>
      </c>
      <c r="O59" s="149"/>
      <c r="P59" s="145"/>
    </row>
    <row r="60" spans="1:16" ht="15" customHeight="1" x14ac:dyDescent="0.25">
      <c r="A60" s="100">
        <v>58</v>
      </c>
      <c r="B60" s="8" t="s">
        <v>94</v>
      </c>
      <c r="C60" s="8" t="s">
        <v>76</v>
      </c>
      <c r="D60" s="99" t="s">
        <v>59</v>
      </c>
      <c r="E60" s="99" t="s">
        <v>319</v>
      </c>
      <c r="F60" s="123" t="s">
        <v>320</v>
      </c>
      <c r="G60" s="107">
        <v>5</v>
      </c>
      <c r="H60" s="154"/>
      <c r="I60" s="154"/>
      <c r="J60" s="113" t="s">
        <v>125</v>
      </c>
      <c r="K60" s="100">
        <f>IF(EXACT(J60,"A"),4,IF(EXACT(J60,"B"),3,IF(EXACT(J60,"C"),2,IF(EXACT(J60,"D"),1,0))))</f>
        <v>4</v>
      </c>
      <c r="L60" s="100">
        <f t="shared" si="1"/>
        <v>20</v>
      </c>
      <c r="M60" s="149"/>
      <c r="N60" s="145"/>
      <c r="O60" s="149"/>
      <c r="P60" s="145"/>
    </row>
    <row r="61" spans="1:16" ht="15" customHeight="1" x14ac:dyDescent="0.25">
      <c r="A61" s="100">
        <v>59</v>
      </c>
      <c r="B61" s="8" t="s">
        <v>94</v>
      </c>
      <c r="C61" s="8" t="s">
        <v>76</v>
      </c>
      <c r="D61" s="99" t="s">
        <v>59</v>
      </c>
      <c r="E61" s="99" t="s">
        <v>321</v>
      </c>
      <c r="F61" s="123" t="s">
        <v>322</v>
      </c>
      <c r="G61" s="107">
        <v>5</v>
      </c>
      <c r="H61" s="154"/>
      <c r="I61" s="154"/>
      <c r="J61" s="113">
        <v>11.52</v>
      </c>
      <c r="K61" s="100">
        <f t="shared" si="0"/>
        <v>0</v>
      </c>
      <c r="L61" s="100">
        <f t="shared" si="1"/>
        <v>0</v>
      </c>
      <c r="M61" s="149"/>
      <c r="N61" s="145"/>
      <c r="O61" s="149"/>
      <c r="P61" s="145"/>
    </row>
    <row r="62" spans="1:16" ht="15" customHeight="1" x14ac:dyDescent="0.25">
      <c r="A62" s="100">
        <v>60</v>
      </c>
      <c r="B62" s="8" t="s">
        <v>94</v>
      </c>
      <c r="C62" s="8" t="s">
        <v>76</v>
      </c>
      <c r="D62" s="99" t="s">
        <v>59</v>
      </c>
      <c r="E62" s="99" t="s">
        <v>323</v>
      </c>
      <c r="F62" s="123" t="s">
        <v>324</v>
      </c>
      <c r="G62" s="107">
        <v>5</v>
      </c>
      <c r="H62" s="154"/>
      <c r="I62" s="154"/>
      <c r="J62" s="113">
        <v>12.21</v>
      </c>
      <c r="K62" s="100">
        <f t="shared" si="0"/>
        <v>0</v>
      </c>
      <c r="L62" s="100">
        <f t="shared" si="1"/>
        <v>0</v>
      </c>
      <c r="M62" s="150"/>
      <c r="N62" s="146"/>
      <c r="O62" s="149"/>
      <c r="P62" s="145"/>
    </row>
    <row r="63" spans="1:16" ht="15" customHeight="1" x14ac:dyDescent="0.25">
      <c r="A63" s="100">
        <v>61</v>
      </c>
      <c r="B63" s="8" t="s">
        <v>94</v>
      </c>
      <c r="C63" s="8" t="s">
        <v>77</v>
      </c>
      <c r="D63" s="99" t="s">
        <v>58</v>
      </c>
      <c r="E63" s="99" t="s">
        <v>31</v>
      </c>
      <c r="F63" s="123" t="s">
        <v>325</v>
      </c>
      <c r="G63" s="107">
        <v>8</v>
      </c>
      <c r="H63" s="154">
        <v>30</v>
      </c>
      <c r="I63" s="154"/>
      <c r="J63" s="112"/>
      <c r="K63" s="100"/>
      <c r="L63" s="100">
        <f t="shared" si="1"/>
        <v>0</v>
      </c>
      <c r="M63" s="148">
        <f>SUM(L63:L66)</f>
        <v>44</v>
      </c>
      <c r="N63" s="144">
        <f>M63/H63</f>
        <v>1.4666666666666666</v>
      </c>
      <c r="O63" s="149"/>
      <c r="P63" s="145"/>
    </row>
    <row r="64" spans="1:16" ht="15" customHeight="1" x14ac:dyDescent="0.25">
      <c r="A64" s="100">
        <v>62</v>
      </c>
      <c r="B64" s="8" t="s">
        <v>94</v>
      </c>
      <c r="C64" s="8" t="s">
        <v>77</v>
      </c>
      <c r="D64" s="99" t="s">
        <v>59</v>
      </c>
      <c r="E64" s="99" t="s">
        <v>32</v>
      </c>
      <c r="F64" s="123" t="s">
        <v>326</v>
      </c>
      <c r="G64" s="107">
        <v>8</v>
      </c>
      <c r="H64" s="154"/>
      <c r="I64" s="154"/>
      <c r="J64" s="114">
        <v>0.1673611111111111</v>
      </c>
      <c r="K64" s="100">
        <f>IF(EXACT(J64,"A"),4,IF(EXACT(J64,"B"),3,IF(EXACT(J64,"C"),2,IF(EXACT(J64,"D"),1,0))))</f>
        <v>0</v>
      </c>
      <c r="L64" s="100">
        <f t="shared" si="1"/>
        <v>0</v>
      </c>
      <c r="M64" s="149"/>
      <c r="N64" s="145"/>
      <c r="O64" s="149"/>
      <c r="P64" s="145"/>
    </row>
    <row r="65" spans="1:16" ht="15" customHeight="1" x14ac:dyDescent="0.25">
      <c r="A65" s="100">
        <v>63</v>
      </c>
      <c r="B65" s="8" t="s">
        <v>94</v>
      </c>
      <c r="C65" s="8" t="s">
        <v>77</v>
      </c>
      <c r="D65" s="99" t="s">
        <v>59</v>
      </c>
      <c r="E65" s="99" t="s">
        <v>327</v>
      </c>
      <c r="F65" s="123" t="s">
        <v>328</v>
      </c>
      <c r="G65" s="107">
        <v>10</v>
      </c>
      <c r="H65" s="154"/>
      <c r="I65" s="154"/>
      <c r="J65" s="113">
        <v>50</v>
      </c>
      <c r="K65" s="100">
        <f>IF(J65&gt;=50,4,IF(AND(J65&lt;50,J65&gt;=40),3,IF(AND(J65&lt;40,J65&gt;=30),2,IF(AND(J65&lt;30,J65&gt;=20),1,IF(J65&lt;20,0)))))</f>
        <v>4</v>
      </c>
      <c r="L65" s="100">
        <f t="shared" si="1"/>
        <v>40</v>
      </c>
      <c r="M65" s="149"/>
      <c r="N65" s="145"/>
      <c r="O65" s="149"/>
      <c r="P65" s="145"/>
    </row>
    <row r="66" spans="1:16" ht="15" customHeight="1" x14ac:dyDescent="0.25">
      <c r="A66" s="100">
        <v>64</v>
      </c>
      <c r="B66" s="8" t="s">
        <v>94</v>
      </c>
      <c r="C66" s="8" t="s">
        <v>77</v>
      </c>
      <c r="D66" s="99" t="s">
        <v>59</v>
      </c>
      <c r="E66" s="99" t="s">
        <v>329</v>
      </c>
      <c r="F66" s="123" t="s">
        <v>330</v>
      </c>
      <c r="G66" s="107">
        <v>4</v>
      </c>
      <c r="H66" s="154"/>
      <c r="I66" s="154"/>
      <c r="J66" s="113" t="s">
        <v>127</v>
      </c>
      <c r="K66" s="100">
        <f>IF(EXACT(J66,"A"),4,IF(EXACT(J66,"B"),3,IF(EXACT(J66,"C"),2,IF(EXACT(J66,"D"),1,0))))</f>
        <v>1</v>
      </c>
      <c r="L66" s="100">
        <f t="shared" si="1"/>
        <v>4</v>
      </c>
      <c r="M66" s="150"/>
      <c r="N66" s="146"/>
      <c r="O66" s="149"/>
      <c r="P66" s="145"/>
    </row>
    <row r="67" spans="1:16" ht="15" customHeight="1" x14ac:dyDescent="0.25">
      <c r="A67" s="100">
        <v>65</v>
      </c>
      <c r="B67" s="8" t="s">
        <v>94</v>
      </c>
      <c r="C67" s="8" t="s">
        <v>78</v>
      </c>
      <c r="D67" s="99" t="s">
        <v>59</v>
      </c>
      <c r="E67" s="99" t="s">
        <v>33</v>
      </c>
      <c r="F67" s="123" t="s">
        <v>331</v>
      </c>
      <c r="G67" s="107">
        <v>10</v>
      </c>
      <c r="H67" s="154">
        <v>20</v>
      </c>
      <c r="I67" s="154"/>
      <c r="J67" s="113">
        <v>9.51</v>
      </c>
      <c r="K67" s="100">
        <f t="shared" si="0"/>
        <v>0</v>
      </c>
      <c r="L67" s="100">
        <f t="shared" si="1"/>
        <v>0</v>
      </c>
      <c r="M67" s="148">
        <f>SUM(L67:L68)</f>
        <v>0</v>
      </c>
      <c r="N67" s="144">
        <f>M67/H67</f>
        <v>0</v>
      </c>
      <c r="O67" s="149"/>
      <c r="P67" s="145"/>
    </row>
    <row r="68" spans="1:16" ht="15" customHeight="1" x14ac:dyDescent="0.25">
      <c r="A68" s="100">
        <v>66</v>
      </c>
      <c r="B68" s="8" t="s">
        <v>94</v>
      </c>
      <c r="C68" s="8" t="s">
        <v>78</v>
      </c>
      <c r="D68" s="99" t="s">
        <v>58</v>
      </c>
      <c r="E68" s="99" t="s">
        <v>332</v>
      </c>
      <c r="F68" s="123" t="s">
        <v>333</v>
      </c>
      <c r="G68" s="107">
        <v>10</v>
      </c>
      <c r="H68" s="154"/>
      <c r="I68" s="154"/>
      <c r="J68" s="112"/>
      <c r="K68" s="100"/>
      <c r="L68" s="100">
        <f t="shared" ref="L68:L109" si="2">K68*G68</f>
        <v>0</v>
      </c>
      <c r="M68" s="150"/>
      <c r="N68" s="146"/>
      <c r="O68" s="150"/>
      <c r="P68" s="146"/>
    </row>
    <row r="69" spans="1:16" ht="15" customHeight="1" x14ac:dyDescent="0.25">
      <c r="A69" s="100">
        <v>67</v>
      </c>
      <c r="B69" s="8" t="s">
        <v>95</v>
      </c>
      <c r="C69" s="8" t="s">
        <v>79</v>
      </c>
      <c r="D69" s="99" t="s">
        <v>59</v>
      </c>
      <c r="E69" s="99" t="s">
        <v>34</v>
      </c>
      <c r="F69" s="123" t="s">
        <v>334</v>
      </c>
      <c r="G69" s="107">
        <v>6</v>
      </c>
      <c r="H69" s="154">
        <v>30</v>
      </c>
      <c r="I69" s="154">
        <v>100</v>
      </c>
      <c r="J69" s="113">
        <v>48</v>
      </c>
      <c r="K69" s="100">
        <f t="shared" ref="K69:K75" si="3">IF(EXACT(J69,"A"),4,IF(EXACT(J69,"B"),3,IF(EXACT(J69,"C"),2,IF(EXACT(J69,"D"),1,0))))</f>
        <v>0</v>
      </c>
      <c r="L69" s="100">
        <f t="shared" si="2"/>
        <v>0</v>
      </c>
      <c r="M69" s="148">
        <f>SUM(L69:L73)</f>
        <v>39</v>
      </c>
      <c r="N69" s="144">
        <f>M69/H69</f>
        <v>1.3</v>
      </c>
      <c r="O69" s="148">
        <f>SUM(M69:M81)</f>
        <v>104</v>
      </c>
      <c r="P69" s="144">
        <f>O69/I69</f>
        <v>1.04</v>
      </c>
    </row>
    <row r="70" spans="1:16" ht="15" customHeight="1" x14ac:dyDescent="0.25">
      <c r="A70" s="100">
        <v>68</v>
      </c>
      <c r="B70" s="8" t="s">
        <v>95</v>
      </c>
      <c r="C70" s="8" t="s">
        <v>79</v>
      </c>
      <c r="D70" s="99" t="s">
        <v>59</v>
      </c>
      <c r="E70" s="99" t="s">
        <v>35</v>
      </c>
      <c r="F70" s="123" t="s">
        <v>335</v>
      </c>
      <c r="G70" s="107">
        <v>5</v>
      </c>
      <c r="H70" s="154"/>
      <c r="I70" s="154"/>
      <c r="J70" s="113">
        <v>0</v>
      </c>
      <c r="K70" s="100">
        <f t="shared" si="3"/>
        <v>0</v>
      </c>
      <c r="L70" s="100">
        <f t="shared" si="2"/>
        <v>0</v>
      </c>
      <c r="M70" s="149"/>
      <c r="N70" s="145"/>
      <c r="O70" s="149"/>
      <c r="P70" s="145"/>
    </row>
    <row r="71" spans="1:16" ht="15" customHeight="1" x14ac:dyDescent="0.25">
      <c r="A71" s="100">
        <v>69</v>
      </c>
      <c r="B71" s="8" t="s">
        <v>95</v>
      </c>
      <c r="C71" s="8" t="s">
        <v>79</v>
      </c>
      <c r="D71" s="99" t="s">
        <v>59</v>
      </c>
      <c r="E71" s="99" t="s">
        <v>36</v>
      </c>
      <c r="F71" s="123" t="s">
        <v>336</v>
      </c>
      <c r="G71" s="107">
        <v>8</v>
      </c>
      <c r="H71" s="154"/>
      <c r="I71" s="154"/>
      <c r="J71" s="113" t="s">
        <v>126</v>
      </c>
      <c r="K71" s="100">
        <f>IF(EXACT(J71,"A"),4,IF(EXACT(J71,"B"),3,IF(EXACT(J71,"C"),2,IF(EXACT(J71,"D"),1,0))))</f>
        <v>3</v>
      </c>
      <c r="L71" s="100">
        <f t="shared" si="2"/>
        <v>24</v>
      </c>
      <c r="M71" s="149"/>
      <c r="N71" s="145"/>
      <c r="O71" s="149"/>
      <c r="P71" s="145"/>
    </row>
    <row r="72" spans="1:16" ht="15" customHeight="1" x14ac:dyDescent="0.25">
      <c r="A72" s="100">
        <v>70</v>
      </c>
      <c r="B72" s="8" t="s">
        <v>95</v>
      </c>
      <c r="C72" s="8" t="s">
        <v>79</v>
      </c>
      <c r="D72" s="99" t="s">
        <v>59</v>
      </c>
      <c r="E72" s="99" t="s">
        <v>37</v>
      </c>
      <c r="F72" s="123" t="s">
        <v>337</v>
      </c>
      <c r="G72" s="107">
        <v>6</v>
      </c>
      <c r="H72" s="154"/>
      <c r="I72" s="154"/>
      <c r="J72" s="113">
        <v>3.49</v>
      </c>
      <c r="K72" s="100">
        <f t="shared" si="3"/>
        <v>0</v>
      </c>
      <c r="L72" s="100">
        <f t="shared" si="2"/>
        <v>0</v>
      </c>
      <c r="M72" s="149"/>
      <c r="N72" s="145"/>
      <c r="O72" s="149"/>
      <c r="P72" s="145"/>
    </row>
    <row r="73" spans="1:16" ht="15" customHeight="1" x14ac:dyDescent="0.25">
      <c r="A73" s="100">
        <v>71</v>
      </c>
      <c r="B73" s="8" t="s">
        <v>95</v>
      </c>
      <c r="C73" s="8" t="s">
        <v>79</v>
      </c>
      <c r="D73" s="99" t="s">
        <v>59</v>
      </c>
      <c r="E73" s="99" t="s">
        <v>338</v>
      </c>
      <c r="F73" s="123" t="s">
        <v>339</v>
      </c>
      <c r="G73" s="107">
        <v>5</v>
      </c>
      <c r="H73" s="154"/>
      <c r="I73" s="154"/>
      <c r="J73" s="113" t="s">
        <v>126</v>
      </c>
      <c r="K73" s="100">
        <f>IF(EXACT(J73,"A"),4,IF(EXACT(J73,"B"),3,IF(EXACT(J73,"C"),2,IF(EXACT(J73,"D"),1,0))))</f>
        <v>3</v>
      </c>
      <c r="L73" s="100">
        <f t="shared" si="2"/>
        <v>15</v>
      </c>
      <c r="M73" s="150"/>
      <c r="N73" s="146"/>
      <c r="O73" s="149"/>
      <c r="P73" s="145"/>
    </row>
    <row r="74" spans="1:16" ht="15" customHeight="1" x14ac:dyDescent="0.25">
      <c r="A74" s="100">
        <v>72</v>
      </c>
      <c r="B74" s="8" t="s">
        <v>95</v>
      </c>
      <c r="C74" s="8" t="s">
        <v>80</v>
      </c>
      <c r="D74" s="99" t="s">
        <v>59</v>
      </c>
      <c r="E74" s="99" t="s">
        <v>38</v>
      </c>
      <c r="F74" s="123" t="s">
        <v>340</v>
      </c>
      <c r="G74" s="107">
        <v>10</v>
      </c>
      <c r="H74" s="154">
        <v>30</v>
      </c>
      <c r="I74" s="154"/>
      <c r="J74" s="113">
        <v>44.94</v>
      </c>
      <c r="K74" s="100">
        <f t="shared" si="3"/>
        <v>0</v>
      </c>
      <c r="L74" s="100">
        <f t="shared" si="2"/>
        <v>0</v>
      </c>
      <c r="M74" s="148">
        <f>SUM(L74:L76)</f>
        <v>40</v>
      </c>
      <c r="N74" s="144">
        <f>M74/H74</f>
        <v>1.3333333333333333</v>
      </c>
      <c r="O74" s="149"/>
      <c r="P74" s="145"/>
    </row>
    <row r="75" spans="1:16" ht="15" customHeight="1" x14ac:dyDescent="0.25">
      <c r="A75" s="100">
        <v>73</v>
      </c>
      <c r="B75" s="8" t="s">
        <v>95</v>
      </c>
      <c r="C75" s="8" t="s">
        <v>80</v>
      </c>
      <c r="D75" s="99" t="s">
        <v>59</v>
      </c>
      <c r="E75" s="99" t="s">
        <v>39</v>
      </c>
      <c r="F75" s="123" t="s">
        <v>341</v>
      </c>
      <c r="G75" s="107">
        <v>10</v>
      </c>
      <c r="H75" s="154"/>
      <c r="I75" s="154"/>
      <c r="J75" s="113">
        <v>7.46</v>
      </c>
      <c r="K75" s="100">
        <f t="shared" si="3"/>
        <v>0</v>
      </c>
      <c r="L75" s="100">
        <f t="shared" si="2"/>
        <v>0</v>
      </c>
      <c r="M75" s="149"/>
      <c r="N75" s="145"/>
      <c r="O75" s="149"/>
      <c r="P75" s="145"/>
    </row>
    <row r="76" spans="1:16" ht="15" customHeight="1" x14ac:dyDescent="0.25">
      <c r="A76" s="100">
        <v>74</v>
      </c>
      <c r="B76" s="8" t="s">
        <v>95</v>
      </c>
      <c r="C76" s="8" t="s">
        <v>80</v>
      </c>
      <c r="D76" s="99" t="s">
        <v>59</v>
      </c>
      <c r="E76" s="99" t="s">
        <v>342</v>
      </c>
      <c r="F76" s="123" t="s">
        <v>343</v>
      </c>
      <c r="G76" s="107">
        <v>10</v>
      </c>
      <c r="H76" s="154"/>
      <c r="I76" s="154"/>
      <c r="J76" s="113">
        <v>100</v>
      </c>
      <c r="K76" s="100">
        <f t="shared" ref="K76:K77" si="4">IF(J76&gt;80,4,IF(AND(J76&lt;=80,J76&gt;60),3,IF(AND(J76&lt;=60,J76&gt;40),2,IF(AND(J76&lt;=40,J76&gt;20),1,IF(J76&lt;=20,0)))))</f>
        <v>4</v>
      </c>
      <c r="L76" s="100">
        <f t="shared" si="2"/>
        <v>40</v>
      </c>
      <c r="M76" s="150"/>
      <c r="N76" s="146"/>
      <c r="O76" s="149"/>
      <c r="P76" s="145"/>
    </row>
    <row r="77" spans="1:16" ht="15" customHeight="1" x14ac:dyDescent="0.25">
      <c r="A77" s="100">
        <v>75</v>
      </c>
      <c r="B77" s="8" t="s">
        <v>95</v>
      </c>
      <c r="C77" s="8" t="s">
        <v>81</v>
      </c>
      <c r="D77" s="99" t="s">
        <v>59</v>
      </c>
      <c r="E77" s="99" t="s">
        <v>40</v>
      </c>
      <c r="F77" s="123" t="s">
        <v>344</v>
      </c>
      <c r="G77" s="107">
        <v>10</v>
      </c>
      <c r="H77" s="154">
        <v>30</v>
      </c>
      <c r="I77" s="154"/>
      <c r="J77" s="113">
        <v>27</v>
      </c>
      <c r="K77" s="100">
        <f t="shared" si="4"/>
        <v>1</v>
      </c>
      <c r="L77" s="100">
        <f t="shared" si="2"/>
        <v>10</v>
      </c>
      <c r="M77" s="148">
        <f>SUM(L77:L79)</f>
        <v>20</v>
      </c>
      <c r="N77" s="144">
        <f>M77/H77</f>
        <v>0.66666666666666663</v>
      </c>
      <c r="O77" s="149"/>
      <c r="P77" s="145"/>
    </row>
    <row r="78" spans="1:16" ht="15" customHeight="1" x14ac:dyDescent="0.25">
      <c r="A78" s="100">
        <v>76</v>
      </c>
      <c r="B78" s="8" t="s">
        <v>95</v>
      </c>
      <c r="C78" s="8" t="s">
        <v>81</v>
      </c>
      <c r="D78" s="99" t="s">
        <v>58</v>
      </c>
      <c r="E78" s="99" t="s">
        <v>41</v>
      </c>
      <c r="F78" s="123" t="s">
        <v>345</v>
      </c>
      <c r="G78" s="107">
        <v>10</v>
      </c>
      <c r="H78" s="154"/>
      <c r="I78" s="154"/>
      <c r="J78" s="112"/>
      <c r="K78" s="100"/>
      <c r="L78" s="100">
        <f t="shared" si="2"/>
        <v>0</v>
      </c>
      <c r="M78" s="149"/>
      <c r="N78" s="145"/>
      <c r="O78" s="149"/>
      <c r="P78" s="145"/>
    </row>
    <row r="79" spans="1:16" ht="15" customHeight="1" x14ac:dyDescent="0.25">
      <c r="A79" s="100">
        <v>77</v>
      </c>
      <c r="B79" s="8" t="s">
        <v>95</v>
      </c>
      <c r="C79" s="8" t="s">
        <v>81</v>
      </c>
      <c r="D79" s="99" t="s">
        <v>59</v>
      </c>
      <c r="E79" s="99" t="s">
        <v>346</v>
      </c>
      <c r="F79" s="123" t="s">
        <v>347</v>
      </c>
      <c r="G79" s="107">
        <v>10</v>
      </c>
      <c r="H79" s="154"/>
      <c r="I79" s="154"/>
      <c r="J79" s="113">
        <v>22.8</v>
      </c>
      <c r="K79" s="100">
        <f t="shared" ref="K79" si="5">IF(J79&gt;80,4,IF(AND(J79&lt;=80,J79&gt;60),3,IF(AND(J79&lt;=60,J79&gt;40),2,IF(AND(J79&lt;=40,J79&gt;20),1,IF(J79&lt;=20,0)))))</f>
        <v>1</v>
      </c>
      <c r="L79" s="100">
        <f t="shared" si="2"/>
        <v>10</v>
      </c>
      <c r="M79" s="150"/>
      <c r="N79" s="146"/>
      <c r="O79" s="149"/>
      <c r="P79" s="145"/>
    </row>
    <row r="80" spans="1:16" ht="15" customHeight="1" x14ac:dyDescent="0.25">
      <c r="A80" s="100">
        <v>78</v>
      </c>
      <c r="B80" s="8" t="s">
        <v>95</v>
      </c>
      <c r="C80" s="8" t="s">
        <v>82</v>
      </c>
      <c r="D80" s="99" t="s">
        <v>58</v>
      </c>
      <c r="E80" s="99" t="s">
        <v>42</v>
      </c>
      <c r="F80" s="123" t="s">
        <v>442</v>
      </c>
      <c r="G80" s="107">
        <v>5</v>
      </c>
      <c r="H80" s="154">
        <v>10</v>
      </c>
      <c r="I80" s="154"/>
      <c r="J80" s="112"/>
      <c r="K80" s="100"/>
      <c r="L80" s="100">
        <f t="shared" si="2"/>
        <v>0</v>
      </c>
      <c r="M80" s="148">
        <f>SUM(L80:L81)</f>
        <v>5</v>
      </c>
      <c r="N80" s="144">
        <f>M80/H80</f>
        <v>0.5</v>
      </c>
      <c r="O80" s="149"/>
      <c r="P80" s="145"/>
    </row>
    <row r="81" spans="1:16" ht="15" customHeight="1" x14ac:dyDescent="0.25">
      <c r="A81" s="100">
        <v>79</v>
      </c>
      <c r="B81" s="8" t="s">
        <v>95</v>
      </c>
      <c r="C81" s="8" t="s">
        <v>82</v>
      </c>
      <c r="D81" s="99" t="s">
        <v>59</v>
      </c>
      <c r="E81" s="99" t="s">
        <v>349</v>
      </c>
      <c r="F81" s="123" t="s">
        <v>350</v>
      </c>
      <c r="G81" s="107">
        <v>5</v>
      </c>
      <c r="H81" s="154"/>
      <c r="I81" s="154"/>
      <c r="J81" s="113" t="s">
        <v>127</v>
      </c>
      <c r="K81" s="100">
        <f>IF(EXACT(J81,"A"),4,IF(EXACT(J81,"B"),3,IF(EXACT(J81,"C"),2,IF(EXACT(J81,"D"),1,0))))</f>
        <v>1</v>
      </c>
      <c r="L81" s="100">
        <f t="shared" si="2"/>
        <v>5</v>
      </c>
      <c r="M81" s="150"/>
      <c r="N81" s="146"/>
      <c r="O81" s="150"/>
      <c r="P81" s="146"/>
    </row>
    <row r="82" spans="1:16" ht="15" customHeight="1" x14ac:dyDescent="0.25">
      <c r="A82" s="100">
        <v>80</v>
      </c>
      <c r="B82" s="8" t="s">
        <v>96</v>
      </c>
      <c r="C82" s="8" t="s">
        <v>83</v>
      </c>
      <c r="D82" s="99" t="s">
        <v>58</v>
      </c>
      <c r="E82" s="99" t="s">
        <v>43</v>
      </c>
      <c r="F82" s="123" t="s">
        <v>351</v>
      </c>
      <c r="G82" s="107">
        <v>5</v>
      </c>
      <c r="H82" s="154">
        <v>10</v>
      </c>
      <c r="I82" s="154">
        <v>100</v>
      </c>
      <c r="J82" s="112"/>
      <c r="K82" s="100"/>
      <c r="L82" s="100">
        <f t="shared" si="2"/>
        <v>0</v>
      </c>
      <c r="M82" s="148">
        <f>SUM(L82:L83)</f>
        <v>0</v>
      </c>
      <c r="N82" s="144"/>
      <c r="O82" s="148">
        <f>SUM(M82:M96)</f>
        <v>94</v>
      </c>
      <c r="P82" s="144">
        <f>O82/I82</f>
        <v>0.94</v>
      </c>
    </row>
    <row r="83" spans="1:16" ht="15" customHeight="1" x14ac:dyDescent="0.25">
      <c r="A83" s="100">
        <v>81</v>
      </c>
      <c r="B83" s="8" t="s">
        <v>96</v>
      </c>
      <c r="C83" s="8" t="s">
        <v>83</v>
      </c>
      <c r="D83" s="99" t="s">
        <v>58</v>
      </c>
      <c r="E83" s="99" t="s">
        <v>352</v>
      </c>
      <c r="F83" s="123" t="s">
        <v>353</v>
      </c>
      <c r="G83" s="107">
        <v>5</v>
      </c>
      <c r="H83" s="154"/>
      <c r="I83" s="154"/>
      <c r="J83" s="112"/>
      <c r="K83" s="100"/>
      <c r="L83" s="100">
        <f t="shared" si="2"/>
        <v>0</v>
      </c>
      <c r="M83" s="150"/>
      <c r="N83" s="146"/>
      <c r="O83" s="149"/>
      <c r="P83" s="145"/>
    </row>
    <row r="84" spans="1:16" ht="15" customHeight="1" x14ac:dyDescent="0.25">
      <c r="A84" s="100">
        <v>82</v>
      </c>
      <c r="B84" s="8" t="s">
        <v>96</v>
      </c>
      <c r="C84" s="8" t="s">
        <v>84</v>
      </c>
      <c r="D84" s="99" t="s">
        <v>58</v>
      </c>
      <c r="E84" s="99" t="s">
        <v>44</v>
      </c>
      <c r="F84" s="123" t="s">
        <v>354</v>
      </c>
      <c r="G84" s="107">
        <v>2</v>
      </c>
      <c r="H84" s="154">
        <v>10</v>
      </c>
      <c r="I84" s="154"/>
      <c r="J84" s="112"/>
      <c r="K84" s="100"/>
      <c r="L84" s="100">
        <f t="shared" si="2"/>
        <v>0</v>
      </c>
      <c r="M84" s="148">
        <f>SUM(L84:L86)</f>
        <v>12</v>
      </c>
      <c r="N84" s="144">
        <f>M84/H84</f>
        <v>1.2</v>
      </c>
      <c r="O84" s="149"/>
      <c r="P84" s="145"/>
    </row>
    <row r="85" spans="1:16" ht="15" customHeight="1" x14ac:dyDescent="0.25">
      <c r="A85" s="100">
        <v>83</v>
      </c>
      <c r="B85" s="8" t="s">
        <v>96</v>
      </c>
      <c r="C85" s="8" t="s">
        <v>84</v>
      </c>
      <c r="D85" s="99" t="s">
        <v>58</v>
      </c>
      <c r="E85" s="99" t="s">
        <v>45</v>
      </c>
      <c r="F85" s="123" t="s">
        <v>355</v>
      </c>
      <c r="G85" s="107">
        <v>4</v>
      </c>
      <c r="H85" s="154"/>
      <c r="I85" s="154"/>
      <c r="J85" s="112"/>
      <c r="K85" s="100"/>
      <c r="L85" s="100">
        <f t="shared" si="2"/>
        <v>0</v>
      </c>
      <c r="M85" s="149"/>
      <c r="N85" s="145"/>
      <c r="O85" s="149"/>
      <c r="P85" s="145"/>
    </row>
    <row r="86" spans="1:16" ht="15" customHeight="1" x14ac:dyDescent="0.25">
      <c r="A86" s="100">
        <v>84</v>
      </c>
      <c r="B86" s="8" t="s">
        <v>96</v>
      </c>
      <c r="C86" s="8" t="s">
        <v>84</v>
      </c>
      <c r="D86" s="99" t="s">
        <v>59</v>
      </c>
      <c r="E86" s="99" t="s">
        <v>356</v>
      </c>
      <c r="F86" s="123" t="s">
        <v>357</v>
      </c>
      <c r="G86" s="107">
        <v>4</v>
      </c>
      <c r="H86" s="154"/>
      <c r="I86" s="154"/>
      <c r="J86" s="113" t="s">
        <v>126</v>
      </c>
      <c r="K86" s="100">
        <f>IF(EXACT(J86,"A"),4,IF(EXACT(J86,"B"),3,IF(EXACT(J86,"C"),2,IF(EXACT(J86,"D"),1,0))))</f>
        <v>3</v>
      </c>
      <c r="L86" s="100">
        <f t="shared" si="2"/>
        <v>12</v>
      </c>
      <c r="M86" s="150"/>
      <c r="N86" s="146"/>
      <c r="O86" s="149"/>
      <c r="P86" s="145"/>
    </row>
    <row r="87" spans="1:16" ht="15" customHeight="1" x14ac:dyDescent="0.25">
      <c r="A87" s="100">
        <v>85</v>
      </c>
      <c r="B87" s="8" t="s">
        <v>96</v>
      </c>
      <c r="C87" s="8" t="s">
        <v>85</v>
      </c>
      <c r="D87" s="99" t="s">
        <v>58</v>
      </c>
      <c r="E87" s="99" t="s">
        <v>46</v>
      </c>
      <c r="F87" s="123" t="s">
        <v>358</v>
      </c>
      <c r="G87" s="107">
        <v>4</v>
      </c>
      <c r="H87" s="154">
        <v>30</v>
      </c>
      <c r="I87" s="154"/>
      <c r="J87" s="112"/>
      <c r="K87" s="100"/>
      <c r="L87" s="100">
        <f t="shared" si="2"/>
        <v>0</v>
      </c>
      <c r="M87" s="148">
        <f>SUM(L87:L90)</f>
        <v>42</v>
      </c>
      <c r="N87" s="144">
        <f>M87/H87</f>
        <v>1.4</v>
      </c>
      <c r="O87" s="149"/>
      <c r="P87" s="145"/>
    </row>
    <row r="88" spans="1:16" ht="15" customHeight="1" x14ac:dyDescent="0.25">
      <c r="A88" s="100">
        <v>86</v>
      </c>
      <c r="B88" s="8" t="s">
        <v>96</v>
      </c>
      <c r="C88" s="8" t="s">
        <v>85</v>
      </c>
      <c r="D88" s="99" t="s">
        <v>59</v>
      </c>
      <c r="E88" s="99" t="s">
        <v>47</v>
      </c>
      <c r="F88" s="123" t="s">
        <v>359</v>
      </c>
      <c r="G88" s="107">
        <v>8</v>
      </c>
      <c r="H88" s="154"/>
      <c r="I88" s="154"/>
      <c r="J88" s="113">
        <v>42.41</v>
      </c>
      <c r="K88" s="100">
        <f t="shared" ref="K88:K90" si="6">IF(J88&gt;80,4,IF(AND(J88&lt;=80,J88&gt;60),3,IF(AND(J88&lt;=60,J88&gt;40),2,IF(AND(J88&lt;=40,J88&gt;20),1,IF(J88&lt;=20,0)))))</f>
        <v>2</v>
      </c>
      <c r="L88" s="100">
        <f t="shared" si="2"/>
        <v>16</v>
      </c>
      <c r="M88" s="149"/>
      <c r="N88" s="145"/>
      <c r="O88" s="149"/>
      <c r="P88" s="145"/>
    </row>
    <row r="89" spans="1:16" ht="15" customHeight="1" x14ac:dyDescent="0.25">
      <c r="A89" s="100">
        <v>87</v>
      </c>
      <c r="B89" s="8" t="s">
        <v>96</v>
      </c>
      <c r="C89" s="8" t="s">
        <v>85</v>
      </c>
      <c r="D89" s="99" t="s">
        <v>59</v>
      </c>
      <c r="E89" s="99" t="s">
        <v>48</v>
      </c>
      <c r="F89" s="123" t="s">
        <v>360</v>
      </c>
      <c r="G89" s="107">
        <v>8</v>
      </c>
      <c r="H89" s="154"/>
      <c r="I89" s="154"/>
      <c r="J89" s="113">
        <v>51.2</v>
      </c>
      <c r="K89" s="100">
        <f t="shared" si="6"/>
        <v>2</v>
      </c>
      <c r="L89" s="100">
        <f t="shared" si="2"/>
        <v>16</v>
      </c>
      <c r="M89" s="149"/>
      <c r="N89" s="145"/>
      <c r="O89" s="149"/>
      <c r="P89" s="145"/>
    </row>
    <row r="90" spans="1:16" ht="15" customHeight="1" x14ac:dyDescent="0.25">
      <c r="A90" s="100">
        <v>88</v>
      </c>
      <c r="B90" s="8" t="s">
        <v>96</v>
      </c>
      <c r="C90" s="8" t="s">
        <v>85</v>
      </c>
      <c r="D90" s="99" t="s">
        <v>59</v>
      </c>
      <c r="E90" s="99" t="s">
        <v>361</v>
      </c>
      <c r="F90" s="123" t="s">
        <v>362</v>
      </c>
      <c r="G90" s="107">
        <v>10</v>
      </c>
      <c r="H90" s="154"/>
      <c r="I90" s="154"/>
      <c r="J90" s="113">
        <v>21.4</v>
      </c>
      <c r="K90" s="100">
        <f t="shared" si="6"/>
        <v>1</v>
      </c>
      <c r="L90" s="100">
        <f t="shared" si="2"/>
        <v>10</v>
      </c>
      <c r="M90" s="150"/>
      <c r="N90" s="146"/>
      <c r="O90" s="149"/>
      <c r="P90" s="145"/>
    </row>
    <row r="91" spans="1:16" ht="15" customHeight="1" x14ac:dyDescent="0.25">
      <c r="A91" s="100">
        <v>89</v>
      </c>
      <c r="B91" s="8" t="s">
        <v>96</v>
      </c>
      <c r="C91" s="8" t="s">
        <v>86</v>
      </c>
      <c r="D91" s="99" t="s">
        <v>58</v>
      </c>
      <c r="E91" s="99" t="s">
        <v>49</v>
      </c>
      <c r="F91" s="123" t="s">
        <v>363</v>
      </c>
      <c r="G91" s="107">
        <v>4</v>
      </c>
      <c r="H91" s="154">
        <v>20</v>
      </c>
      <c r="I91" s="154"/>
      <c r="J91" s="112"/>
      <c r="K91" s="100"/>
      <c r="L91" s="100">
        <f t="shared" si="2"/>
        <v>0</v>
      </c>
      <c r="M91" s="148">
        <f>SUM(L91:L93)</f>
        <v>0</v>
      </c>
      <c r="N91" s="144">
        <f>M91/H91</f>
        <v>0</v>
      </c>
      <c r="O91" s="149"/>
      <c r="P91" s="145"/>
    </row>
    <row r="92" spans="1:16" ht="15" customHeight="1" x14ac:dyDescent="0.25">
      <c r="A92" s="100">
        <v>90</v>
      </c>
      <c r="B92" s="8" t="s">
        <v>96</v>
      </c>
      <c r="C92" s="8" t="s">
        <v>86</v>
      </c>
      <c r="D92" s="99" t="s">
        <v>59</v>
      </c>
      <c r="E92" s="99" t="s">
        <v>364</v>
      </c>
      <c r="F92" s="123" t="s">
        <v>365</v>
      </c>
      <c r="G92" s="107">
        <v>10</v>
      </c>
      <c r="H92" s="154"/>
      <c r="I92" s="154"/>
      <c r="J92" s="113">
        <v>5.99</v>
      </c>
      <c r="K92" s="100">
        <f t="shared" ref="K92" si="7">IF(J92&gt;80,4,IF(AND(J92&lt;=80,J92&gt;60),3,IF(AND(J92&lt;=60,J92&gt;40),2,IF(AND(J92&lt;=40,J92&gt;20),1,IF(J92&lt;=20,0)))))</f>
        <v>0</v>
      </c>
      <c r="L92" s="100">
        <f t="shared" si="2"/>
        <v>0</v>
      </c>
      <c r="M92" s="149"/>
      <c r="N92" s="145"/>
      <c r="O92" s="149"/>
      <c r="P92" s="145"/>
    </row>
    <row r="93" spans="1:16" ht="15" customHeight="1" x14ac:dyDescent="0.25">
      <c r="A93" s="100">
        <v>91</v>
      </c>
      <c r="B93" s="8" t="s">
        <v>96</v>
      </c>
      <c r="C93" s="8" t="s">
        <v>86</v>
      </c>
      <c r="D93" s="99" t="s">
        <v>58</v>
      </c>
      <c r="E93" s="99" t="s">
        <v>366</v>
      </c>
      <c r="F93" s="123" t="s">
        <v>367</v>
      </c>
      <c r="G93" s="107">
        <v>6</v>
      </c>
      <c r="H93" s="154"/>
      <c r="I93" s="154"/>
      <c r="J93" s="112"/>
      <c r="K93" s="100"/>
      <c r="L93" s="100">
        <f t="shared" si="2"/>
        <v>0</v>
      </c>
      <c r="M93" s="150"/>
      <c r="N93" s="146"/>
      <c r="O93" s="149"/>
      <c r="P93" s="145"/>
    </row>
    <row r="94" spans="1:16" ht="15" customHeight="1" x14ac:dyDescent="0.25">
      <c r="A94" s="100">
        <v>92</v>
      </c>
      <c r="B94" s="8" t="s">
        <v>96</v>
      </c>
      <c r="C94" s="8" t="s">
        <v>87</v>
      </c>
      <c r="D94" s="99" t="s">
        <v>58</v>
      </c>
      <c r="E94" s="99" t="s">
        <v>50</v>
      </c>
      <c r="F94" s="123" t="s">
        <v>368</v>
      </c>
      <c r="G94" s="107">
        <v>10</v>
      </c>
      <c r="H94" s="154">
        <v>30</v>
      </c>
      <c r="I94" s="154"/>
      <c r="J94" s="112"/>
      <c r="K94" s="100"/>
      <c r="L94" s="100">
        <f t="shared" si="2"/>
        <v>0</v>
      </c>
      <c r="M94" s="148">
        <f>SUM(L94:L96)</f>
        <v>40</v>
      </c>
      <c r="N94" s="144">
        <f>M94/H94</f>
        <v>1.3333333333333333</v>
      </c>
      <c r="O94" s="149"/>
      <c r="P94" s="145"/>
    </row>
    <row r="95" spans="1:16" ht="15" customHeight="1" x14ac:dyDescent="0.25">
      <c r="A95" s="100">
        <v>93</v>
      </c>
      <c r="B95" s="8" t="s">
        <v>96</v>
      </c>
      <c r="C95" s="8" t="s">
        <v>87</v>
      </c>
      <c r="D95" s="99" t="s">
        <v>58</v>
      </c>
      <c r="E95" s="99" t="s">
        <v>51</v>
      </c>
      <c r="F95" s="123" t="s">
        <v>369</v>
      </c>
      <c r="G95" s="107">
        <v>10</v>
      </c>
      <c r="H95" s="154"/>
      <c r="I95" s="154"/>
      <c r="J95" s="112"/>
      <c r="K95" s="100"/>
      <c r="L95" s="100">
        <f t="shared" si="2"/>
        <v>0</v>
      </c>
      <c r="M95" s="149"/>
      <c r="N95" s="145"/>
      <c r="O95" s="149"/>
      <c r="P95" s="145"/>
    </row>
    <row r="96" spans="1:16" ht="15" customHeight="1" x14ac:dyDescent="0.25">
      <c r="A96" s="100">
        <v>94</v>
      </c>
      <c r="B96" s="8" t="s">
        <v>96</v>
      </c>
      <c r="C96" s="8" t="s">
        <v>87</v>
      </c>
      <c r="D96" s="99" t="s">
        <v>59</v>
      </c>
      <c r="E96" s="99" t="s">
        <v>370</v>
      </c>
      <c r="F96" s="123" t="s">
        <v>371</v>
      </c>
      <c r="G96" s="107">
        <v>10</v>
      </c>
      <c r="H96" s="154"/>
      <c r="I96" s="154"/>
      <c r="J96" s="113" t="s">
        <v>125</v>
      </c>
      <c r="K96" s="100">
        <f>IF(EXACT(J96,"A"),4,IF(EXACT(J96,"B"),3,IF(EXACT(J96,"C"),2,IF(EXACT(J96,"D"),1,0))))</f>
        <v>4</v>
      </c>
      <c r="L96" s="100">
        <f t="shared" si="2"/>
        <v>40</v>
      </c>
      <c r="M96" s="150"/>
      <c r="N96" s="146"/>
      <c r="O96" s="150"/>
      <c r="P96" s="146"/>
    </row>
    <row r="97" spans="1:16" ht="15" customHeight="1" x14ac:dyDescent="0.25">
      <c r="A97" s="100">
        <v>95</v>
      </c>
      <c r="B97" s="8" t="s">
        <v>97</v>
      </c>
      <c r="C97" s="8" t="s">
        <v>88</v>
      </c>
      <c r="D97" s="99" t="s">
        <v>58</v>
      </c>
      <c r="E97" s="99" t="s">
        <v>52</v>
      </c>
      <c r="F97" s="123" t="s">
        <v>372</v>
      </c>
      <c r="G97" s="107">
        <v>5</v>
      </c>
      <c r="H97" s="154">
        <v>50</v>
      </c>
      <c r="I97" s="154">
        <v>100</v>
      </c>
      <c r="J97" s="112"/>
      <c r="K97" s="100"/>
      <c r="L97" s="100">
        <f t="shared" si="2"/>
        <v>0</v>
      </c>
      <c r="M97" s="148">
        <f>SUM(L97:L107)</f>
        <v>59</v>
      </c>
      <c r="N97" s="144">
        <f>M97/H97</f>
        <v>1.18</v>
      </c>
      <c r="O97" s="148">
        <f>SUM(M97:M109)</f>
        <v>59</v>
      </c>
      <c r="P97" s="144">
        <f>O97/I97</f>
        <v>0.59</v>
      </c>
    </row>
    <row r="98" spans="1:16" ht="15" customHeight="1" x14ac:dyDescent="0.25">
      <c r="A98" s="100">
        <v>96</v>
      </c>
      <c r="B98" s="8" t="s">
        <v>97</v>
      </c>
      <c r="C98" s="8" t="s">
        <v>88</v>
      </c>
      <c r="D98" s="99" t="s">
        <v>59</v>
      </c>
      <c r="E98" s="99" t="s">
        <v>53</v>
      </c>
      <c r="F98" s="123" t="s">
        <v>373</v>
      </c>
      <c r="G98" s="107">
        <v>5</v>
      </c>
      <c r="H98" s="154"/>
      <c r="I98" s="154"/>
      <c r="J98" s="113" t="s">
        <v>125</v>
      </c>
      <c r="K98" s="100">
        <f>IF(EXACT(J98,"A"),4,IF(EXACT(J98,"B"),3,IF(EXACT(J98,"C"),2,IF(EXACT(J98,"D"),1,0))))</f>
        <v>4</v>
      </c>
      <c r="L98" s="100">
        <f t="shared" si="2"/>
        <v>20</v>
      </c>
      <c r="M98" s="149"/>
      <c r="N98" s="145"/>
      <c r="O98" s="149"/>
      <c r="P98" s="145"/>
    </row>
    <row r="99" spans="1:16" ht="15" customHeight="1" x14ac:dyDescent="0.25">
      <c r="A99" s="100">
        <v>97</v>
      </c>
      <c r="B99" s="8" t="s">
        <v>97</v>
      </c>
      <c r="C99" s="8" t="s">
        <v>88</v>
      </c>
      <c r="D99" s="99" t="s">
        <v>58</v>
      </c>
      <c r="E99" s="99" t="s">
        <v>54</v>
      </c>
      <c r="F99" s="123" t="s">
        <v>374</v>
      </c>
      <c r="G99" s="107">
        <v>4</v>
      </c>
      <c r="H99" s="154"/>
      <c r="I99" s="154"/>
      <c r="J99" s="112"/>
      <c r="K99" s="100"/>
      <c r="L99" s="100">
        <f t="shared" si="2"/>
        <v>0</v>
      </c>
      <c r="M99" s="149"/>
      <c r="N99" s="145"/>
      <c r="O99" s="149"/>
      <c r="P99" s="145"/>
    </row>
    <row r="100" spans="1:16" ht="15" customHeight="1" x14ac:dyDescent="0.25">
      <c r="A100" s="100">
        <v>98</v>
      </c>
      <c r="B100" s="8" t="s">
        <v>97</v>
      </c>
      <c r="C100" s="8" t="s">
        <v>88</v>
      </c>
      <c r="D100" s="99" t="s">
        <v>59</v>
      </c>
      <c r="E100" s="99" t="s">
        <v>55</v>
      </c>
      <c r="F100" s="123" t="s">
        <v>375</v>
      </c>
      <c r="G100" s="107">
        <v>4</v>
      </c>
      <c r="H100" s="154"/>
      <c r="I100" s="154"/>
      <c r="J100" s="113" t="s">
        <v>128</v>
      </c>
      <c r="K100" s="100">
        <f>IF(EXACT(J100,"A"),4,IF(EXACT(J100,"B"),3,IF(EXACT(J100,"C"),2,IF(EXACT(J100,"D"),1,0))))</f>
        <v>2</v>
      </c>
      <c r="L100" s="100">
        <f t="shared" si="2"/>
        <v>8</v>
      </c>
      <c r="M100" s="149"/>
      <c r="N100" s="145"/>
      <c r="O100" s="149"/>
      <c r="P100" s="145"/>
    </row>
    <row r="101" spans="1:16" ht="15" customHeight="1" x14ac:dyDescent="0.25">
      <c r="A101" s="100">
        <v>99</v>
      </c>
      <c r="B101" s="8" t="s">
        <v>97</v>
      </c>
      <c r="C101" s="8" t="s">
        <v>88</v>
      </c>
      <c r="D101" s="99" t="s">
        <v>59</v>
      </c>
      <c r="E101" s="99" t="s">
        <v>376</v>
      </c>
      <c r="F101" s="123" t="s">
        <v>377</v>
      </c>
      <c r="G101" s="107">
        <v>4</v>
      </c>
      <c r="H101" s="154"/>
      <c r="I101" s="154"/>
      <c r="J101" s="113" t="s">
        <v>126</v>
      </c>
      <c r="K101" s="100">
        <f>IF(EXACT(J101,"A"),4,IF(EXACT(J101,"B"),3,IF(EXACT(J101,"C"),2,IF(EXACT(J101,"D"),1,0))))</f>
        <v>3</v>
      </c>
      <c r="L101" s="100">
        <f t="shared" si="2"/>
        <v>12</v>
      </c>
      <c r="M101" s="149"/>
      <c r="N101" s="145"/>
      <c r="O101" s="149"/>
      <c r="P101" s="145"/>
    </row>
    <row r="102" spans="1:16" ht="15" customHeight="1" x14ac:dyDescent="0.25">
      <c r="A102" s="100">
        <v>100</v>
      </c>
      <c r="B102" s="8" t="s">
        <v>97</v>
      </c>
      <c r="C102" s="8" t="s">
        <v>88</v>
      </c>
      <c r="D102" s="99" t="s">
        <v>59</v>
      </c>
      <c r="E102" s="99" t="s">
        <v>378</v>
      </c>
      <c r="F102" s="123" t="s">
        <v>379</v>
      </c>
      <c r="G102" s="107">
        <v>5</v>
      </c>
      <c r="H102" s="154"/>
      <c r="I102" s="154"/>
      <c r="J102" s="113" t="s">
        <v>127</v>
      </c>
      <c r="K102" s="100">
        <f>IF(EXACT(J102,"A"),4,IF(EXACT(J102,"B"),3,IF(EXACT(J102,"C"),2,IF(EXACT(J102,"D"),1,0))))</f>
        <v>1</v>
      </c>
      <c r="L102" s="100">
        <f t="shared" si="2"/>
        <v>5</v>
      </c>
      <c r="M102" s="149"/>
      <c r="N102" s="145"/>
      <c r="O102" s="149"/>
      <c r="P102" s="145"/>
    </row>
    <row r="103" spans="1:16" ht="15" customHeight="1" x14ac:dyDescent="0.25">
      <c r="A103" s="100">
        <v>101</v>
      </c>
      <c r="B103" s="8" t="s">
        <v>97</v>
      </c>
      <c r="C103" s="8" t="s">
        <v>88</v>
      </c>
      <c r="D103" s="99" t="s">
        <v>59</v>
      </c>
      <c r="E103" s="99" t="s">
        <v>380</v>
      </c>
      <c r="F103" s="123" t="s">
        <v>381</v>
      </c>
      <c r="G103" s="107">
        <v>4</v>
      </c>
      <c r="H103" s="154"/>
      <c r="I103" s="154"/>
      <c r="J103" s="113" t="s">
        <v>127</v>
      </c>
      <c r="K103" s="100">
        <f>IF(EXACT(J103,"A"),4,IF(EXACT(J103,"B"),3,IF(EXACT(J103,"C"),2,IF(EXACT(J103,"D"),1,0))))</f>
        <v>1</v>
      </c>
      <c r="L103" s="100">
        <f t="shared" si="2"/>
        <v>4</v>
      </c>
      <c r="M103" s="149"/>
      <c r="N103" s="145"/>
      <c r="O103" s="149"/>
      <c r="P103" s="145"/>
    </row>
    <row r="104" spans="1:16" ht="15" customHeight="1" x14ac:dyDescent="0.25">
      <c r="A104" s="100">
        <v>102</v>
      </c>
      <c r="B104" s="8" t="s">
        <v>97</v>
      </c>
      <c r="C104" s="8" t="s">
        <v>88</v>
      </c>
      <c r="D104" s="99" t="s">
        <v>58</v>
      </c>
      <c r="E104" s="99" t="s">
        <v>382</v>
      </c>
      <c r="F104" s="123" t="s">
        <v>383</v>
      </c>
      <c r="G104" s="107">
        <v>5</v>
      </c>
      <c r="H104" s="154"/>
      <c r="I104" s="154"/>
      <c r="J104" s="112"/>
      <c r="K104" s="100"/>
      <c r="L104" s="100">
        <f t="shared" si="2"/>
        <v>0</v>
      </c>
      <c r="M104" s="149"/>
      <c r="N104" s="145"/>
      <c r="O104" s="149"/>
      <c r="P104" s="145"/>
    </row>
    <row r="105" spans="1:16" ht="15" customHeight="1" x14ac:dyDescent="0.25">
      <c r="A105" s="100">
        <v>103</v>
      </c>
      <c r="B105" s="8" t="s">
        <v>97</v>
      </c>
      <c r="C105" s="8" t="s">
        <v>88</v>
      </c>
      <c r="D105" s="99" t="s">
        <v>58</v>
      </c>
      <c r="E105" s="99" t="s">
        <v>384</v>
      </c>
      <c r="F105" s="123" t="s">
        <v>385</v>
      </c>
      <c r="G105" s="107">
        <v>4</v>
      </c>
      <c r="H105" s="154"/>
      <c r="I105" s="154"/>
      <c r="J105" s="112"/>
      <c r="K105" s="100"/>
      <c r="L105" s="100">
        <f t="shared" si="2"/>
        <v>0</v>
      </c>
      <c r="M105" s="149"/>
      <c r="N105" s="145"/>
      <c r="O105" s="149"/>
      <c r="P105" s="145"/>
    </row>
    <row r="106" spans="1:16" ht="15" customHeight="1" x14ac:dyDescent="0.25">
      <c r="A106" s="100">
        <v>104</v>
      </c>
      <c r="B106" s="8" t="s">
        <v>97</v>
      </c>
      <c r="C106" s="8" t="s">
        <v>88</v>
      </c>
      <c r="D106" s="99" t="s">
        <v>59</v>
      </c>
      <c r="E106" s="99" t="s">
        <v>386</v>
      </c>
      <c r="F106" s="123" t="s">
        <v>387</v>
      </c>
      <c r="G106" s="107">
        <v>5</v>
      </c>
      <c r="H106" s="154"/>
      <c r="I106" s="154"/>
      <c r="J106" s="113" t="s">
        <v>128</v>
      </c>
      <c r="K106" s="100">
        <f>IF(EXACT(J106,"A"),4,IF(EXACT(J106,"B"),3,IF(EXACT(J106,"C"),2,IF(EXACT(J106,"D"),1,0))))</f>
        <v>2</v>
      </c>
      <c r="L106" s="100">
        <f t="shared" si="2"/>
        <v>10</v>
      </c>
      <c r="M106" s="149"/>
      <c r="N106" s="145"/>
      <c r="O106" s="149"/>
      <c r="P106" s="145"/>
    </row>
    <row r="107" spans="1:16" ht="15" customHeight="1" x14ac:dyDescent="0.25">
      <c r="A107" s="100">
        <v>105</v>
      </c>
      <c r="B107" s="8" t="s">
        <v>97</v>
      </c>
      <c r="C107" s="8" t="s">
        <v>88</v>
      </c>
      <c r="D107" s="99" t="s">
        <v>58</v>
      </c>
      <c r="E107" s="99" t="s">
        <v>388</v>
      </c>
      <c r="F107" s="123" t="s">
        <v>389</v>
      </c>
      <c r="G107" s="107">
        <v>5</v>
      </c>
      <c r="H107" s="154"/>
      <c r="I107" s="154"/>
      <c r="J107" s="112"/>
      <c r="K107" s="100"/>
      <c r="L107" s="100">
        <f t="shared" si="2"/>
        <v>0</v>
      </c>
      <c r="M107" s="150"/>
      <c r="N107" s="146"/>
      <c r="O107" s="149"/>
      <c r="P107" s="145"/>
    </row>
    <row r="108" spans="1:16" ht="15" customHeight="1" x14ac:dyDescent="0.25">
      <c r="A108" s="100">
        <v>106</v>
      </c>
      <c r="B108" s="8" t="s">
        <v>97</v>
      </c>
      <c r="C108" s="8" t="s">
        <v>89</v>
      </c>
      <c r="D108" s="99" t="s">
        <v>58</v>
      </c>
      <c r="E108" s="99" t="s">
        <v>56</v>
      </c>
      <c r="F108" s="123" t="s">
        <v>390</v>
      </c>
      <c r="G108" s="107">
        <v>30</v>
      </c>
      <c r="H108" s="107">
        <v>30</v>
      </c>
      <c r="I108" s="154"/>
      <c r="J108" s="112"/>
      <c r="K108" s="100"/>
      <c r="L108" s="100">
        <f t="shared" si="2"/>
        <v>0</v>
      </c>
      <c r="M108" s="62">
        <f>L108</f>
        <v>0</v>
      </c>
      <c r="N108" s="110">
        <f>M108/H108</f>
        <v>0</v>
      </c>
      <c r="O108" s="149"/>
      <c r="P108" s="145"/>
    </row>
    <row r="109" spans="1:16" ht="15" customHeight="1" x14ac:dyDescent="0.25">
      <c r="A109" s="100">
        <v>107</v>
      </c>
      <c r="B109" s="8" t="s">
        <v>97</v>
      </c>
      <c r="C109" s="8" t="s">
        <v>90</v>
      </c>
      <c r="D109" s="99" t="s">
        <v>58</v>
      </c>
      <c r="E109" s="99" t="s">
        <v>57</v>
      </c>
      <c r="F109" s="123" t="s">
        <v>391</v>
      </c>
      <c r="G109" s="107">
        <v>20</v>
      </c>
      <c r="H109" s="107">
        <v>20</v>
      </c>
      <c r="I109" s="154"/>
      <c r="J109" s="112"/>
      <c r="K109" s="100"/>
      <c r="L109" s="100">
        <f t="shared" si="2"/>
        <v>0</v>
      </c>
      <c r="M109" s="62">
        <f>L109</f>
        <v>0</v>
      </c>
      <c r="N109" s="110">
        <f>M109/H109</f>
        <v>0</v>
      </c>
      <c r="O109" s="150"/>
      <c r="P109" s="146"/>
    </row>
    <row r="110" spans="1:16" x14ac:dyDescent="0.25">
      <c r="A110" s="45"/>
      <c r="B110" s="104"/>
      <c r="C110" s="104"/>
      <c r="D110" s="105"/>
      <c r="E110" s="105"/>
      <c r="F110" s="137"/>
      <c r="G110" s="105"/>
      <c r="H110" s="45"/>
      <c r="I110" s="106"/>
      <c r="J110" s="111"/>
      <c r="K110" s="45"/>
      <c r="L110" s="45"/>
      <c r="M110" s="45"/>
      <c r="N110" s="45"/>
      <c r="O110" s="45"/>
      <c r="P110" s="45"/>
    </row>
    <row r="111" spans="1:16" x14ac:dyDescent="0.25">
      <c r="A111" s="45"/>
      <c r="B111" s="104"/>
      <c r="C111" s="104"/>
      <c r="D111" s="105"/>
      <c r="E111" s="105"/>
      <c r="F111" s="137"/>
      <c r="G111" s="105"/>
      <c r="H111" s="45"/>
      <c r="I111" s="106"/>
      <c r="J111" s="111"/>
      <c r="K111" s="45"/>
      <c r="L111" s="45"/>
      <c r="M111" s="45"/>
      <c r="N111" s="45"/>
      <c r="O111" s="45"/>
      <c r="P111" s="45"/>
    </row>
    <row r="112" spans="1:16" x14ac:dyDescent="0.25">
      <c r="A112" s="45"/>
      <c r="B112" s="104"/>
      <c r="C112" s="104"/>
      <c r="D112" s="105"/>
      <c r="E112" s="105"/>
      <c r="F112" s="137"/>
      <c r="G112" s="105"/>
      <c r="H112" s="45"/>
      <c r="I112" s="106"/>
      <c r="J112" s="111"/>
      <c r="K112" s="45"/>
      <c r="L112" s="45"/>
      <c r="M112" s="45"/>
      <c r="N112" s="45"/>
      <c r="O112" s="45"/>
      <c r="P112" s="45"/>
    </row>
    <row r="113" spans="1:18" x14ac:dyDescent="0.25">
      <c r="A113" s="45"/>
      <c r="B113" s="104"/>
      <c r="C113" s="104"/>
      <c r="D113" s="105"/>
      <c r="E113" s="105"/>
      <c r="F113" s="137"/>
      <c r="G113" s="105"/>
      <c r="H113" s="45"/>
      <c r="I113" s="106"/>
      <c r="J113" s="111"/>
      <c r="K113" s="45"/>
      <c r="L113" s="45"/>
      <c r="M113" s="45"/>
      <c r="N113" s="45"/>
      <c r="O113" s="45"/>
      <c r="P113" s="45"/>
    </row>
    <row r="114" spans="1:18" x14ac:dyDescent="0.25">
      <c r="A114" s="45"/>
      <c r="B114" s="104"/>
      <c r="C114" s="104"/>
      <c r="D114" s="105"/>
      <c r="E114" s="105"/>
      <c r="F114" s="137"/>
      <c r="G114" s="105"/>
      <c r="H114" s="45"/>
      <c r="I114" s="106"/>
      <c r="J114" s="111"/>
      <c r="K114" s="45"/>
      <c r="L114" s="45"/>
      <c r="M114" s="45"/>
      <c r="N114" s="45"/>
      <c r="O114" s="45"/>
      <c r="P114" s="45"/>
    </row>
    <row r="115" spans="1:18" x14ac:dyDescent="0.25">
      <c r="A115" s="45"/>
      <c r="B115" s="104"/>
      <c r="C115" s="104"/>
      <c r="D115" s="105"/>
      <c r="E115" s="105"/>
      <c r="F115" s="137"/>
      <c r="G115" s="105"/>
      <c r="H115" s="45"/>
      <c r="I115" s="106"/>
      <c r="J115" s="111"/>
      <c r="K115" s="45"/>
      <c r="L115" s="45"/>
      <c r="M115" s="45"/>
      <c r="N115" s="45"/>
      <c r="O115" s="45"/>
      <c r="P115" s="45"/>
    </row>
    <row r="117" spans="1:18" ht="15.75" thickBot="1" x14ac:dyDescent="0.3"/>
    <row r="118" spans="1:18" ht="23.25" thickBot="1" x14ac:dyDescent="0.3">
      <c r="J118" s="160" t="s">
        <v>222</v>
      </c>
      <c r="K118" s="161"/>
      <c r="L118" s="161"/>
      <c r="M118" s="161"/>
      <c r="N118" s="161"/>
      <c r="O118" s="161"/>
      <c r="P118" s="161"/>
      <c r="Q118" s="161"/>
      <c r="R118" s="162"/>
    </row>
    <row r="120" spans="1:18" ht="15.75" thickBot="1" x14ac:dyDescent="0.3"/>
    <row r="121" spans="1:18" ht="19.5" thickBot="1" x14ac:dyDescent="0.35">
      <c r="F121" s="136" t="s">
        <v>220</v>
      </c>
      <c r="G121" t="s">
        <v>221</v>
      </c>
      <c r="J121" s="155" t="s">
        <v>229</v>
      </c>
      <c r="K121" s="156"/>
      <c r="L121" s="156"/>
      <c r="M121" s="156"/>
      <c r="N121" s="156"/>
      <c r="O121" s="156"/>
      <c r="P121" s="156"/>
      <c r="Q121" s="156"/>
      <c r="R121" s="157"/>
    </row>
    <row r="122" spans="1:18" x14ac:dyDescent="0.25">
      <c r="F122" s="90" t="s">
        <v>91</v>
      </c>
      <c r="G122" s="92">
        <v>2.5555555555555554</v>
      </c>
    </row>
    <row r="123" spans="1:18" x14ac:dyDescent="0.25">
      <c r="F123" s="90" t="s">
        <v>92</v>
      </c>
      <c r="G123" s="92">
        <v>1.5454545454545454</v>
      </c>
    </row>
    <row r="124" spans="1:18" x14ac:dyDescent="0.25">
      <c r="F124" s="90" t="s">
        <v>93</v>
      </c>
      <c r="G124" s="92">
        <v>0.8</v>
      </c>
    </row>
    <row r="125" spans="1:18" x14ac:dyDescent="0.25">
      <c r="F125" s="90" t="s">
        <v>94</v>
      </c>
      <c r="G125" s="92">
        <v>1</v>
      </c>
    </row>
    <row r="126" spans="1:18" x14ac:dyDescent="0.25">
      <c r="F126" s="90" t="s">
        <v>95</v>
      </c>
      <c r="G126" s="92">
        <v>1.4545454545454546</v>
      </c>
    </row>
    <row r="127" spans="1:18" x14ac:dyDescent="0.25">
      <c r="F127" s="90" t="s">
        <v>96</v>
      </c>
      <c r="G127" s="92">
        <v>2</v>
      </c>
    </row>
    <row r="128" spans="1:18" x14ac:dyDescent="0.25">
      <c r="F128" s="90" t="s">
        <v>97</v>
      </c>
      <c r="G128" s="115">
        <v>3</v>
      </c>
    </row>
    <row r="129" spans="4:18" x14ac:dyDescent="0.25">
      <c r="D129" s="1"/>
      <c r="E129" s="1"/>
      <c r="F129" s="90" t="s">
        <v>216</v>
      </c>
      <c r="G129" s="91">
        <v>1.5416666666666667</v>
      </c>
    </row>
    <row r="130" spans="4:18" x14ac:dyDescent="0.25">
      <c r="D130" s="1"/>
      <c r="E130" s="1"/>
    </row>
    <row r="131" spans="4:18" x14ac:dyDescent="0.25">
      <c r="D131" s="1"/>
      <c r="E131" s="1"/>
    </row>
    <row r="132" spans="4:18" x14ac:dyDescent="0.25">
      <c r="D132" s="1"/>
      <c r="E132" s="1"/>
    </row>
    <row r="141" spans="4:18" ht="15.75" thickBot="1" x14ac:dyDescent="0.3"/>
    <row r="142" spans="4:18" ht="19.5" thickBot="1" x14ac:dyDescent="0.35">
      <c r="F142" s="136" t="s">
        <v>220</v>
      </c>
      <c r="G142" t="s">
        <v>221</v>
      </c>
      <c r="J142" s="155" t="s">
        <v>230</v>
      </c>
      <c r="K142" s="156"/>
      <c r="L142" s="156"/>
      <c r="M142" s="156"/>
      <c r="N142" s="156"/>
      <c r="O142" s="156"/>
      <c r="P142" s="156"/>
      <c r="Q142" s="156"/>
      <c r="R142" s="157"/>
    </row>
    <row r="143" spans="4:18" x14ac:dyDescent="0.25">
      <c r="F143" s="90" t="s">
        <v>60</v>
      </c>
      <c r="G143" s="92">
        <v>4</v>
      </c>
    </row>
    <row r="144" spans="4:18" x14ac:dyDescent="0.25">
      <c r="F144" s="90" t="s">
        <v>61</v>
      </c>
      <c r="G144" s="92">
        <v>2.5</v>
      </c>
    </row>
    <row r="145" spans="6:7" x14ac:dyDescent="0.25">
      <c r="F145" s="90" t="s">
        <v>62</v>
      </c>
      <c r="G145" s="92">
        <v>1.6666666666666667</v>
      </c>
    </row>
    <row r="146" spans="6:7" x14ac:dyDescent="0.25">
      <c r="F146" s="90" t="s">
        <v>63</v>
      </c>
      <c r="G146" s="92">
        <v>2.5</v>
      </c>
    </row>
    <row r="147" spans="6:7" x14ac:dyDescent="0.25">
      <c r="F147" s="90" t="s">
        <v>64</v>
      </c>
      <c r="G147" s="92">
        <v>4</v>
      </c>
    </row>
    <row r="148" spans="6:7" x14ac:dyDescent="0.25">
      <c r="F148" s="90" t="s">
        <v>431</v>
      </c>
      <c r="G148" s="92">
        <v>0</v>
      </c>
    </row>
    <row r="149" spans="6:7" x14ac:dyDescent="0.25">
      <c r="F149" s="90" t="s">
        <v>432</v>
      </c>
      <c r="G149" s="92">
        <v>0</v>
      </c>
    </row>
    <row r="150" spans="6:7" x14ac:dyDescent="0.25">
      <c r="F150" s="90" t="s">
        <v>66</v>
      </c>
      <c r="G150" s="92">
        <v>1.3333333333333333</v>
      </c>
    </row>
    <row r="151" spans="6:7" x14ac:dyDescent="0.25">
      <c r="F151" s="90" t="s">
        <v>67</v>
      </c>
      <c r="G151" s="92">
        <v>0.5</v>
      </c>
    </row>
    <row r="152" spans="6:7" x14ac:dyDescent="0.25">
      <c r="F152" s="90" t="s">
        <v>68</v>
      </c>
      <c r="G152" s="92">
        <v>4</v>
      </c>
    </row>
    <row r="153" spans="6:7" x14ac:dyDescent="0.25">
      <c r="F153" s="90" t="s">
        <v>69</v>
      </c>
      <c r="G153" s="92">
        <v>0</v>
      </c>
    </row>
    <row r="154" spans="6:7" x14ac:dyDescent="0.25">
      <c r="F154" s="90" t="s">
        <v>433</v>
      </c>
      <c r="G154" s="92">
        <v>0</v>
      </c>
    </row>
    <row r="155" spans="6:7" x14ac:dyDescent="0.25">
      <c r="F155" s="90" t="s">
        <v>434</v>
      </c>
      <c r="G155" s="92">
        <v>1.5</v>
      </c>
    </row>
    <row r="156" spans="6:7" x14ac:dyDescent="0.25">
      <c r="F156" s="90" t="s">
        <v>435</v>
      </c>
      <c r="G156" s="92">
        <v>2</v>
      </c>
    </row>
    <row r="157" spans="6:7" x14ac:dyDescent="0.25">
      <c r="F157" s="90" t="s">
        <v>436</v>
      </c>
      <c r="G157" s="92">
        <v>0.33333333333333331</v>
      </c>
    </row>
    <row r="158" spans="6:7" x14ac:dyDescent="0.25">
      <c r="F158" s="90" t="s">
        <v>437</v>
      </c>
      <c r="G158" s="92">
        <v>0</v>
      </c>
    </row>
    <row r="159" spans="6:7" x14ac:dyDescent="0.25">
      <c r="F159" s="90" t="s">
        <v>438</v>
      </c>
      <c r="G159" s="92">
        <v>1.3333333333333333</v>
      </c>
    </row>
    <row r="160" spans="6:7" x14ac:dyDescent="0.25">
      <c r="F160" s="90" t="s">
        <v>439</v>
      </c>
      <c r="G160" s="92">
        <v>1</v>
      </c>
    </row>
    <row r="161" spans="6:18" x14ac:dyDescent="0.25">
      <c r="F161" s="90" t="s">
        <v>75</v>
      </c>
      <c r="G161" s="92">
        <v>0</v>
      </c>
    </row>
    <row r="162" spans="6:18" x14ac:dyDescent="0.25">
      <c r="F162" s="90" t="s">
        <v>76</v>
      </c>
      <c r="G162" s="92">
        <v>1.3333333333333333</v>
      </c>
    </row>
    <row r="163" spans="6:18" x14ac:dyDescent="0.25">
      <c r="F163" s="90" t="s">
        <v>77</v>
      </c>
      <c r="G163" s="92">
        <v>1.6666666666666667</v>
      </c>
    </row>
    <row r="164" spans="6:18" x14ac:dyDescent="0.25">
      <c r="F164" s="90" t="s">
        <v>78</v>
      </c>
      <c r="G164" s="92">
        <v>0</v>
      </c>
    </row>
    <row r="165" spans="6:18" x14ac:dyDescent="0.25">
      <c r="F165" s="90" t="s">
        <v>79</v>
      </c>
      <c r="G165" s="92">
        <v>1.2</v>
      </c>
    </row>
    <row r="166" spans="6:18" ht="15.75" thickBot="1" x14ac:dyDescent="0.3">
      <c r="F166" s="90" t="s">
        <v>80</v>
      </c>
      <c r="G166" s="92">
        <v>1.3333333333333333</v>
      </c>
    </row>
    <row r="167" spans="6:18" ht="19.5" thickBot="1" x14ac:dyDescent="0.35">
      <c r="F167" s="90" t="s">
        <v>81</v>
      </c>
      <c r="G167" s="92">
        <v>1</v>
      </c>
      <c r="J167" s="155" t="s">
        <v>232</v>
      </c>
      <c r="K167" s="156"/>
      <c r="L167" s="156"/>
      <c r="M167" s="156"/>
      <c r="N167" s="156"/>
      <c r="O167" s="156"/>
      <c r="P167" s="156"/>
      <c r="Q167" s="156"/>
      <c r="R167" s="157"/>
    </row>
    <row r="168" spans="6:18" x14ac:dyDescent="0.25">
      <c r="F168" s="90" t="s">
        <v>82</v>
      </c>
      <c r="G168" s="92">
        <v>4</v>
      </c>
    </row>
    <row r="169" spans="6:18" x14ac:dyDescent="0.25">
      <c r="F169" s="90" t="s">
        <v>83</v>
      </c>
      <c r="G169" s="92"/>
    </row>
    <row r="170" spans="6:18" x14ac:dyDescent="0.25">
      <c r="F170" s="90" t="s">
        <v>84</v>
      </c>
      <c r="G170" s="92">
        <v>3</v>
      </c>
    </row>
    <row r="171" spans="6:18" x14ac:dyDescent="0.25">
      <c r="F171" s="90" t="s">
        <v>85</v>
      </c>
      <c r="G171" s="92">
        <v>1.6666666666666667</v>
      </c>
    </row>
    <row r="172" spans="6:18" x14ac:dyDescent="0.25">
      <c r="F172" s="90" t="s">
        <v>86</v>
      </c>
      <c r="G172" s="92">
        <v>0</v>
      </c>
    </row>
    <row r="173" spans="6:18" x14ac:dyDescent="0.25">
      <c r="F173" s="90" t="s">
        <v>87</v>
      </c>
      <c r="G173" s="92">
        <v>4</v>
      </c>
    </row>
    <row r="174" spans="6:18" x14ac:dyDescent="0.25">
      <c r="F174" s="90" t="s">
        <v>88</v>
      </c>
      <c r="G174" s="92">
        <v>3</v>
      </c>
    </row>
    <row r="175" spans="6:18" x14ac:dyDescent="0.25">
      <c r="F175" s="90" t="s">
        <v>89</v>
      </c>
      <c r="G175" s="92"/>
    </row>
    <row r="176" spans="6:18" x14ac:dyDescent="0.25">
      <c r="F176" s="90" t="s">
        <v>90</v>
      </c>
      <c r="G176" s="92"/>
    </row>
    <row r="177" spans="6:18" x14ac:dyDescent="0.25">
      <c r="F177" s="90" t="s">
        <v>216</v>
      </c>
      <c r="G177" s="91">
        <v>1.5416666666666667</v>
      </c>
    </row>
    <row r="178" spans="6:18" x14ac:dyDescent="0.25">
      <c r="F178" s="136" t="s">
        <v>220</v>
      </c>
      <c r="G178" t="s">
        <v>221</v>
      </c>
    </row>
    <row r="179" spans="6:18" x14ac:dyDescent="0.25">
      <c r="F179" s="90" t="s">
        <v>58</v>
      </c>
      <c r="G179" s="91">
        <v>0</v>
      </c>
    </row>
    <row r="180" spans="6:18" x14ac:dyDescent="0.25">
      <c r="F180" s="90" t="s">
        <v>59</v>
      </c>
      <c r="G180" s="92">
        <v>1.9705882352941178</v>
      </c>
    </row>
    <row r="181" spans="6:18" x14ac:dyDescent="0.25">
      <c r="F181" s="90" t="s">
        <v>216</v>
      </c>
      <c r="G181" s="91">
        <v>1.2181818181818183</v>
      </c>
    </row>
    <row r="184" spans="6:18" ht="15.75" thickBot="1" x14ac:dyDescent="0.3">
      <c r="F184" s="136" t="s">
        <v>220</v>
      </c>
      <c r="G184" t="s">
        <v>221</v>
      </c>
    </row>
    <row r="185" spans="6:18" ht="19.5" thickBot="1" x14ac:dyDescent="0.35">
      <c r="F185" s="90" t="s">
        <v>3</v>
      </c>
      <c r="G185" s="91"/>
      <c r="J185" s="155" t="s">
        <v>231</v>
      </c>
      <c r="K185" s="156"/>
      <c r="L185" s="156"/>
      <c r="M185" s="156"/>
      <c r="N185" s="156"/>
      <c r="O185" s="156"/>
      <c r="P185" s="156"/>
      <c r="Q185" s="156"/>
      <c r="R185" s="157"/>
    </row>
    <row r="186" spans="6:18" x14ac:dyDescent="0.25">
      <c r="F186" s="90" t="s">
        <v>234</v>
      </c>
      <c r="G186" s="91">
        <v>4</v>
      </c>
    </row>
    <row r="187" spans="6:18" x14ac:dyDescent="0.25">
      <c r="F187" s="90" t="s">
        <v>236</v>
      </c>
      <c r="G187" s="91">
        <v>4</v>
      </c>
    </row>
    <row r="188" spans="6:18" x14ac:dyDescent="0.25">
      <c r="F188" s="90" t="s">
        <v>4</v>
      </c>
      <c r="G188" s="91">
        <v>1</v>
      </c>
    </row>
    <row r="189" spans="6:18" x14ac:dyDescent="0.25">
      <c r="F189" s="90" t="s">
        <v>5</v>
      </c>
      <c r="G189" s="91">
        <v>4</v>
      </c>
    </row>
    <row r="190" spans="6:18" x14ac:dyDescent="0.25">
      <c r="F190" s="90" t="s">
        <v>6</v>
      </c>
      <c r="G190" s="91"/>
    </row>
    <row r="191" spans="6:18" x14ac:dyDescent="0.25">
      <c r="F191" s="90" t="s">
        <v>7</v>
      </c>
      <c r="G191" s="91">
        <v>4</v>
      </c>
    </row>
    <row r="192" spans="6:18" x14ac:dyDescent="0.25">
      <c r="F192" s="90" t="s">
        <v>242</v>
      </c>
      <c r="G192" s="91">
        <v>1</v>
      </c>
    </row>
    <row r="193" spans="6:7" x14ac:dyDescent="0.25">
      <c r="F193" s="90" t="s">
        <v>244</v>
      </c>
      <c r="G193" s="91">
        <v>0</v>
      </c>
    </row>
    <row r="194" spans="6:7" x14ac:dyDescent="0.25">
      <c r="F194" s="90" t="s">
        <v>8</v>
      </c>
      <c r="G194" s="91">
        <v>3</v>
      </c>
    </row>
    <row r="195" spans="6:7" x14ac:dyDescent="0.25">
      <c r="F195" s="90" t="s">
        <v>247</v>
      </c>
      <c r="G195" s="91">
        <v>2</v>
      </c>
    </row>
    <row r="196" spans="6:7" x14ac:dyDescent="0.25">
      <c r="F196" s="90" t="s">
        <v>9</v>
      </c>
      <c r="G196" s="91">
        <v>4</v>
      </c>
    </row>
    <row r="197" spans="6:7" x14ac:dyDescent="0.25">
      <c r="F197" s="90" t="s">
        <v>10</v>
      </c>
      <c r="G197" s="91">
        <v>4</v>
      </c>
    </row>
    <row r="198" spans="6:7" x14ac:dyDescent="0.25">
      <c r="F198" s="90" t="s">
        <v>11</v>
      </c>
      <c r="G198" s="91"/>
    </row>
    <row r="199" spans="6:7" x14ac:dyDescent="0.25">
      <c r="F199" s="90" t="s">
        <v>252</v>
      </c>
      <c r="G199" s="91">
        <v>0</v>
      </c>
    </row>
    <row r="200" spans="6:7" x14ac:dyDescent="0.25">
      <c r="F200" s="90" t="s">
        <v>12</v>
      </c>
      <c r="G200" s="91"/>
    </row>
    <row r="201" spans="6:7" x14ac:dyDescent="0.25">
      <c r="F201" s="90" t="s">
        <v>255</v>
      </c>
      <c r="G201" s="91"/>
    </row>
    <row r="202" spans="6:7" x14ac:dyDescent="0.25">
      <c r="F202" s="90" t="s">
        <v>257</v>
      </c>
      <c r="G202" s="91">
        <v>0</v>
      </c>
    </row>
    <row r="203" spans="6:7" x14ac:dyDescent="0.25">
      <c r="F203" s="90" t="s">
        <v>259</v>
      </c>
      <c r="G203" s="91"/>
    </row>
    <row r="204" spans="6:7" x14ac:dyDescent="0.25">
      <c r="F204" s="90" t="s">
        <v>13</v>
      </c>
      <c r="G204" s="91">
        <v>4</v>
      </c>
    </row>
    <row r="205" spans="6:7" x14ac:dyDescent="0.25">
      <c r="F205" s="90" t="s">
        <v>14</v>
      </c>
      <c r="G205" s="91">
        <v>0</v>
      </c>
    </row>
    <row r="206" spans="6:7" x14ac:dyDescent="0.25">
      <c r="F206" s="90" t="s">
        <v>263</v>
      </c>
      <c r="G206" s="91">
        <v>0</v>
      </c>
    </row>
    <row r="207" spans="6:7" x14ac:dyDescent="0.25">
      <c r="F207" s="90" t="s">
        <v>15</v>
      </c>
      <c r="G207" s="91">
        <v>1</v>
      </c>
    </row>
    <row r="208" spans="6:7" x14ac:dyDescent="0.25">
      <c r="F208" s="90" t="s">
        <v>266</v>
      </c>
      <c r="G208" s="91">
        <v>0</v>
      </c>
    </row>
    <row r="209" spans="6:7" x14ac:dyDescent="0.25">
      <c r="F209" s="90" t="s">
        <v>268</v>
      </c>
      <c r="G209" s="91"/>
    </row>
    <row r="210" spans="6:7" x14ac:dyDescent="0.25">
      <c r="F210" s="90" t="s">
        <v>16</v>
      </c>
      <c r="G210" s="91"/>
    </row>
    <row r="211" spans="6:7" x14ac:dyDescent="0.25">
      <c r="F211" s="90" t="s">
        <v>17</v>
      </c>
      <c r="G211" s="91"/>
    </row>
    <row r="212" spans="6:7" x14ac:dyDescent="0.25">
      <c r="F212" s="90" t="s">
        <v>272</v>
      </c>
      <c r="G212" s="91">
        <v>4</v>
      </c>
    </row>
    <row r="213" spans="6:7" x14ac:dyDescent="0.25">
      <c r="F213" s="90" t="s">
        <v>18</v>
      </c>
      <c r="G213" s="91">
        <v>0</v>
      </c>
    </row>
    <row r="214" spans="6:7" x14ac:dyDescent="0.25">
      <c r="F214" s="90" t="s">
        <v>19</v>
      </c>
      <c r="G214" s="91"/>
    </row>
    <row r="215" spans="6:7" x14ac:dyDescent="0.25">
      <c r="F215" s="90" t="s">
        <v>276</v>
      </c>
      <c r="G215" s="91">
        <v>0</v>
      </c>
    </row>
    <row r="216" spans="6:7" x14ac:dyDescent="0.25">
      <c r="F216" s="90" t="s">
        <v>278</v>
      </c>
      <c r="G216" s="91">
        <v>0</v>
      </c>
    </row>
    <row r="217" spans="6:7" x14ac:dyDescent="0.25">
      <c r="F217" s="90" t="s">
        <v>20</v>
      </c>
      <c r="G217" s="91">
        <v>4</v>
      </c>
    </row>
    <row r="218" spans="6:7" x14ac:dyDescent="0.25">
      <c r="F218" s="90" t="s">
        <v>21</v>
      </c>
      <c r="G218" s="91">
        <v>0</v>
      </c>
    </row>
    <row r="219" spans="6:7" x14ac:dyDescent="0.25">
      <c r="F219" s="90" t="s">
        <v>282</v>
      </c>
      <c r="G219" s="91">
        <v>0</v>
      </c>
    </row>
    <row r="220" spans="6:7" x14ac:dyDescent="0.25">
      <c r="F220" s="90" t="s">
        <v>284</v>
      </c>
      <c r="G220" s="91">
        <v>2</v>
      </c>
    </row>
    <row r="221" spans="6:7" x14ac:dyDescent="0.25">
      <c r="F221" s="90" t="s">
        <v>22</v>
      </c>
      <c r="G221" s="91"/>
    </row>
    <row r="222" spans="6:7" x14ac:dyDescent="0.25">
      <c r="F222" s="90" t="s">
        <v>23</v>
      </c>
      <c r="G222" s="91">
        <v>2</v>
      </c>
    </row>
    <row r="223" spans="6:7" x14ac:dyDescent="0.25">
      <c r="F223" s="90" t="s">
        <v>24</v>
      </c>
      <c r="G223" s="91">
        <v>2</v>
      </c>
    </row>
    <row r="224" spans="6:7" x14ac:dyDescent="0.25">
      <c r="F224" s="90" t="s">
        <v>25</v>
      </c>
      <c r="G224" s="91">
        <v>0</v>
      </c>
    </row>
    <row r="225" spans="6:7" x14ac:dyDescent="0.25">
      <c r="F225" s="90" t="s">
        <v>26</v>
      </c>
      <c r="G225" s="91">
        <v>0</v>
      </c>
    </row>
    <row r="226" spans="6:7" x14ac:dyDescent="0.25">
      <c r="F226" s="90" t="s">
        <v>291</v>
      </c>
      <c r="G226" s="91">
        <v>0</v>
      </c>
    </row>
    <row r="227" spans="6:7" x14ac:dyDescent="0.25">
      <c r="F227" s="90" t="s">
        <v>293</v>
      </c>
      <c r="G227" s="91">
        <v>0</v>
      </c>
    </row>
    <row r="228" spans="6:7" x14ac:dyDescent="0.25">
      <c r="F228" s="90" t="s">
        <v>295</v>
      </c>
      <c r="G228" s="91">
        <v>0</v>
      </c>
    </row>
    <row r="229" spans="6:7" x14ac:dyDescent="0.25">
      <c r="F229" s="90" t="s">
        <v>27</v>
      </c>
      <c r="G229" s="91">
        <v>0</v>
      </c>
    </row>
    <row r="230" spans="6:7" x14ac:dyDescent="0.25">
      <c r="F230" s="90" t="s">
        <v>298</v>
      </c>
      <c r="G230" s="91">
        <v>0</v>
      </c>
    </row>
    <row r="231" spans="6:7" x14ac:dyDescent="0.25">
      <c r="F231" s="90" t="s">
        <v>300</v>
      </c>
      <c r="G231" s="91"/>
    </row>
    <row r="232" spans="6:7" x14ac:dyDescent="0.25">
      <c r="F232" s="90" t="s">
        <v>302</v>
      </c>
      <c r="G232" s="91">
        <v>0</v>
      </c>
    </row>
    <row r="233" spans="6:7" x14ac:dyDescent="0.25">
      <c r="F233" s="90" t="s">
        <v>304</v>
      </c>
      <c r="G233" s="91">
        <v>0</v>
      </c>
    </row>
    <row r="234" spans="6:7" x14ac:dyDescent="0.25">
      <c r="F234" s="90" t="s">
        <v>306</v>
      </c>
      <c r="G234" s="91">
        <v>4</v>
      </c>
    </row>
    <row r="235" spans="6:7" x14ac:dyDescent="0.25">
      <c r="F235" s="90" t="s">
        <v>308</v>
      </c>
      <c r="G235" s="91">
        <v>0</v>
      </c>
    </row>
    <row r="236" spans="6:7" x14ac:dyDescent="0.25">
      <c r="F236" s="90" t="s">
        <v>310</v>
      </c>
      <c r="G236" s="91">
        <v>2</v>
      </c>
    </row>
    <row r="237" spans="6:7" x14ac:dyDescent="0.25">
      <c r="F237" s="90" t="s">
        <v>28</v>
      </c>
      <c r="G237" s="91"/>
    </row>
    <row r="238" spans="6:7" x14ac:dyDescent="0.25">
      <c r="F238" s="90" t="s">
        <v>29</v>
      </c>
      <c r="G238" s="91"/>
    </row>
    <row r="239" spans="6:7" x14ac:dyDescent="0.25">
      <c r="F239" s="90" t="s">
        <v>314</v>
      </c>
      <c r="G239" s="91">
        <v>0</v>
      </c>
    </row>
    <row r="240" spans="6:7" x14ac:dyDescent="0.25">
      <c r="F240" s="90" t="s">
        <v>316</v>
      </c>
      <c r="G240" s="91">
        <v>0</v>
      </c>
    </row>
    <row r="241" spans="6:7" x14ac:dyDescent="0.25">
      <c r="F241" s="90" t="s">
        <v>30</v>
      </c>
      <c r="G241" s="91"/>
    </row>
    <row r="242" spans="6:7" x14ac:dyDescent="0.25">
      <c r="F242" s="90" t="s">
        <v>319</v>
      </c>
      <c r="G242" s="91">
        <v>4</v>
      </c>
    </row>
    <row r="243" spans="6:7" x14ac:dyDescent="0.25">
      <c r="F243" s="90" t="s">
        <v>321</v>
      </c>
      <c r="G243" s="91">
        <v>0</v>
      </c>
    </row>
    <row r="244" spans="6:7" x14ac:dyDescent="0.25">
      <c r="F244" s="90" t="s">
        <v>323</v>
      </c>
      <c r="G244" s="91">
        <v>0</v>
      </c>
    </row>
    <row r="245" spans="6:7" x14ac:dyDescent="0.25">
      <c r="F245" s="90" t="s">
        <v>31</v>
      </c>
      <c r="G245" s="91"/>
    </row>
    <row r="246" spans="6:7" x14ac:dyDescent="0.25">
      <c r="F246" s="90" t="s">
        <v>32</v>
      </c>
      <c r="G246" s="91">
        <v>0</v>
      </c>
    </row>
    <row r="247" spans="6:7" x14ac:dyDescent="0.25">
      <c r="F247" s="90" t="s">
        <v>327</v>
      </c>
      <c r="G247" s="91">
        <v>4</v>
      </c>
    </row>
    <row r="248" spans="6:7" x14ac:dyDescent="0.25">
      <c r="F248" s="90" t="s">
        <v>329</v>
      </c>
      <c r="G248" s="91">
        <v>1</v>
      </c>
    </row>
    <row r="249" spans="6:7" x14ac:dyDescent="0.25">
      <c r="F249" s="90" t="s">
        <v>33</v>
      </c>
      <c r="G249" s="91">
        <v>0</v>
      </c>
    </row>
    <row r="250" spans="6:7" x14ac:dyDescent="0.25">
      <c r="F250" s="90" t="s">
        <v>332</v>
      </c>
      <c r="G250" s="91"/>
    </row>
    <row r="251" spans="6:7" x14ac:dyDescent="0.25">
      <c r="F251" s="90" t="s">
        <v>34</v>
      </c>
      <c r="G251" s="91">
        <v>0</v>
      </c>
    </row>
    <row r="252" spans="6:7" x14ac:dyDescent="0.25">
      <c r="F252" s="90" t="s">
        <v>35</v>
      </c>
      <c r="G252" s="91">
        <v>0</v>
      </c>
    </row>
    <row r="253" spans="6:7" x14ac:dyDescent="0.25">
      <c r="F253" s="90" t="s">
        <v>36</v>
      </c>
      <c r="G253" s="91">
        <v>3</v>
      </c>
    </row>
    <row r="254" spans="6:7" x14ac:dyDescent="0.25">
      <c r="F254" s="90" t="s">
        <v>37</v>
      </c>
      <c r="G254" s="91">
        <v>0</v>
      </c>
    </row>
    <row r="255" spans="6:7" x14ac:dyDescent="0.25">
      <c r="F255" s="90" t="s">
        <v>338</v>
      </c>
      <c r="G255" s="91">
        <v>3</v>
      </c>
    </row>
    <row r="256" spans="6:7" x14ac:dyDescent="0.25">
      <c r="F256" s="90" t="s">
        <v>38</v>
      </c>
      <c r="G256" s="91">
        <v>0</v>
      </c>
    </row>
    <row r="257" spans="6:7" x14ac:dyDescent="0.25">
      <c r="F257" s="90" t="s">
        <v>39</v>
      </c>
      <c r="G257" s="91">
        <v>0</v>
      </c>
    </row>
    <row r="258" spans="6:7" x14ac:dyDescent="0.25">
      <c r="F258" s="90" t="s">
        <v>342</v>
      </c>
      <c r="G258" s="91">
        <v>4</v>
      </c>
    </row>
    <row r="259" spans="6:7" x14ac:dyDescent="0.25">
      <c r="F259" s="90" t="s">
        <v>40</v>
      </c>
      <c r="G259" s="91">
        <v>1</v>
      </c>
    </row>
    <row r="260" spans="6:7" x14ac:dyDescent="0.25">
      <c r="F260" s="90" t="s">
        <v>41</v>
      </c>
      <c r="G260" s="91"/>
    </row>
    <row r="261" spans="6:7" x14ac:dyDescent="0.25">
      <c r="F261" s="90" t="s">
        <v>346</v>
      </c>
      <c r="G261" s="91">
        <v>1</v>
      </c>
    </row>
    <row r="262" spans="6:7" x14ac:dyDescent="0.25">
      <c r="F262" s="90" t="s">
        <v>42</v>
      </c>
      <c r="G262" s="91"/>
    </row>
    <row r="263" spans="6:7" x14ac:dyDescent="0.25">
      <c r="F263" s="90" t="s">
        <v>349</v>
      </c>
      <c r="G263" s="91">
        <v>4</v>
      </c>
    </row>
    <row r="264" spans="6:7" x14ac:dyDescent="0.25">
      <c r="F264" s="90" t="s">
        <v>43</v>
      </c>
      <c r="G264" s="91"/>
    </row>
    <row r="265" spans="6:7" x14ac:dyDescent="0.25">
      <c r="F265" s="90" t="s">
        <v>352</v>
      </c>
      <c r="G265" s="91"/>
    </row>
    <row r="266" spans="6:7" x14ac:dyDescent="0.25">
      <c r="F266" s="90" t="s">
        <v>44</v>
      </c>
      <c r="G266" s="91"/>
    </row>
    <row r="267" spans="6:7" x14ac:dyDescent="0.25">
      <c r="F267" s="90" t="s">
        <v>45</v>
      </c>
      <c r="G267" s="91"/>
    </row>
    <row r="268" spans="6:7" x14ac:dyDescent="0.25">
      <c r="F268" s="90" t="s">
        <v>356</v>
      </c>
      <c r="G268" s="91">
        <v>3</v>
      </c>
    </row>
    <row r="269" spans="6:7" x14ac:dyDescent="0.25">
      <c r="F269" s="90" t="s">
        <v>46</v>
      </c>
      <c r="G269" s="91"/>
    </row>
    <row r="270" spans="6:7" x14ac:dyDescent="0.25">
      <c r="F270" s="90" t="s">
        <v>47</v>
      </c>
      <c r="G270" s="91">
        <v>2</v>
      </c>
    </row>
    <row r="271" spans="6:7" x14ac:dyDescent="0.25">
      <c r="F271" s="90" t="s">
        <v>48</v>
      </c>
      <c r="G271" s="91">
        <v>2</v>
      </c>
    </row>
    <row r="272" spans="6:7" x14ac:dyDescent="0.25">
      <c r="F272" s="90" t="s">
        <v>361</v>
      </c>
      <c r="G272" s="91">
        <v>1</v>
      </c>
    </row>
    <row r="273" spans="6:7" x14ac:dyDescent="0.25">
      <c r="F273" s="90" t="s">
        <v>49</v>
      </c>
      <c r="G273" s="91"/>
    </row>
    <row r="274" spans="6:7" x14ac:dyDescent="0.25">
      <c r="F274" s="90" t="s">
        <v>364</v>
      </c>
      <c r="G274" s="91">
        <v>0</v>
      </c>
    </row>
    <row r="275" spans="6:7" x14ac:dyDescent="0.25">
      <c r="F275" s="90" t="s">
        <v>366</v>
      </c>
      <c r="G275" s="91"/>
    </row>
    <row r="276" spans="6:7" x14ac:dyDescent="0.25">
      <c r="F276" s="90" t="s">
        <v>50</v>
      </c>
      <c r="G276" s="91"/>
    </row>
    <row r="277" spans="6:7" x14ac:dyDescent="0.25">
      <c r="F277" s="90" t="s">
        <v>51</v>
      </c>
      <c r="G277" s="91"/>
    </row>
    <row r="278" spans="6:7" x14ac:dyDescent="0.25">
      <c r="F278" s="90" t="s">
        <v>370</v>
      </c>
      <c r="G278" s="91">
        <v>4</v>
      </c>
    </row>
    <row r="279" spans="6:7" x14ac:dyDescent="0.25">
      <c r="F279" s="90" t="s">
        <v>52</v>
      </c>
      <c r="G279" s="91"/>
    </row>
    <row r="280" spans="6:7" x14ac:dyDescent="0.25">
      <c r="F280" s="90" t="s">
        <v>386</v>
      </c>
      <c r="G280" s="91">
        <v>2</v>
      </c>
    </row>
    <row r="281" spans="6:7" x14ac:dyDescent="0.25">
      <c r="F281" s="90" t="s">
        <v>388</v>
      </c>
      <c r="G281" s="91"/>
    </row>
    <row r="282" spans="6:7" x14ac:dyDescent="0.25">
      <c r="F282" s="90" t="s">
        <v>53</v>
      </c>
      <c r="G282" s="91">
        <v>4</v>
      </c>
    </row>
    <row r="283" spans="6:7" x14ac:dyDescent="0.25">
      <c r="F283" s="90" t="s">
        <v>54</v>
      </c>
      <c r="G283" s="91"/>
    </row>
    <row r="284" spans="6:7" x14ac:dyDescent="0.25">
      <c r="F284" s="90" t="s">
        <v>55</v>
      </c>
      <c r="G284" s="91">
        <v>4</v>
      </c>
    </row>
    <row r="285" spans="6:7" x14ac:dyDescent="0.25">
      <c r="F285" s="90" t="s">
        <v>376</v>
      </c>
      <c r="G285" s="91">
        <v>3</v>
      </c>
    </row>
    <row r="286" spans="6:7" x14ac:dyDescent="0.25">
      <c r="F286" s="90" t="s">
        <v>378</v>
      </c>
      <c r="G286" s="91">
        <v>4</v>
      </c>
    </row>
    <row r="287" spans="6:7" x14ac:dyDescent="0.25">
      <c r="F287" s="90" t="s">
        <v>380</v>
      </c>
      <c r="G287" s="91">
        <v>1</v>
      </c>
    </row>
    <row r="288" spans="6:7" x14ac:dyDescent="0.25">
      <c r="F288" s="90" t="s">
        <v>382</v>
      </c>
      <c r="G288" s="91"/>
    </row>
    <row r="289" spans="6:7" x14ac:dyDescent="0.25">
      <c r="F289" s="90" t="s">
        <v>384</v>
      </c>
      <c r="G289" s="91"/>
    </row>
    <row r="290" spans="6:7" x14ac:dyDescent="0.25">
      <c r="F290" s="90" t="s">
        <v>56</v>
      </c>
      <c r="G290" s="91"/>
    </row>
    <row r="291" spans="6:7" x14ac:dyDescent="0.25">
      <c r="F291" s="90" t="s">
        <v>57</v>
      </c>
      <c r="G291" s="91"/>
    </row>
    <row r="292" spans="6:7" x14ac:dyDescent="0.25">
      <c r="F292" s="90" t="s">
        <v>216</v>
      </c>
      <c r="G292" s="91">
        <v>1.5416666666666667</v>
      </c>
    </row>
  </sheetData>
  <mergeCells count="119">
    <mergeCell ref="J118:R118"/>
    <mergeCell ref="M35:M38"/>
    <mergeCell ref="M39:M40"/>
    <mergeCell ref="M41:M46"/>
    <mergeCell ref="M47:M48"/>
    <mergeCell ref="M49:M52"/>
    <mergeCell ref="M84:M86"/>
    <mergeCell ref="M87:M90"/>
    <mergeCell ref="M69:M73"/>
    <mergeCell ref="M74:M76"/>
    <mergeCell ref="O32:O54"/>
    <mergeCell ref="N35:N38"/>
    <mergeCell ref="P97:P109"/>
    <mergeCell ref="P69:P81"/>
    <mergeCell ref="P82:P96"/>
    <mergeCell ref="P14:P31"/>
    <mergeCell ref="H25:H27"/>
    <mergeCell ref="P32:P54"/>
    <mergeCell ref="N41:N46"/>
    <mergeCell ref="N47:N48"/>
    <mergeCell ref="N49:N52"/>
    <mergeCell ref="N53:N54"/>
    <mergeCell ref="N55:N58"/>
    <mergeCell ref="O55:O68"/>
    <mergeCell ref="P55:P68"/>
    <mergeCell ref="N32:N34"/>
    <mergeCell ref="H49:H52"/>
    <mergeCell ref="H53:H54"/>
    <mergeCell ref="J121:R121"/>
    <mergeCell ref="J142:R142"/>
    <mergeCell ref="J167:R167"/>
    <mergeCell ref="J185:R185"/>
    <mergeCell ref="H6:H7"/>
    <mergeCell ref="H16:H17"/>
    <mergeCell ref="H3:H5"/>
    <mergeCell ref="H8:H11"/>
    <mergeCell ref="H12:H13"/>
    <mergeCell ref="H14:H15"/>
    <mergeCell ref="H18:H21"/>
    <mergeCell ref="H22:H24"/>
    <mergeCell ref="I3:I13"/>
    <mergeCell ref="I14:I31"/>
    <mergeCell ref="M6:M7"/>
    <mergeCell ref="M16:M17"/>
    <mergeCell ref="N39:N40"/>
    <mergeCell ref="N6:N7"/>
    <mergeCell ref="N16:N17"/>
    <mergeCell ref="M53:M54"/>
    <mergeCell ref="M55:M58"/>
    <mergeCell ref="P3:P13"/>
    <mergeCell ref="H82:H83"/>
    <mergeCell ref="I82:I96"/>
    <mergeCell ref="H84:H86"/>
    <mergeCell ref="H87:H90"/>
    <mergeCell ref="H91:H93"/>
    <mergeCell ref="H94:H96"/>
    <mergeCell ref="H69:H73"/>
    <mergeCell ref="I69:I81"/>
    <mergeCell ref="H74:H76"/>
    <mergeCell ref="H77:H79"/>
    <mergeCell ref="H80:H81"/>
    <mergeCell ref="H55:H58"/>
    <mergeCell ref="I55:I68"/>
    <mergeCell ref="H59:H62"/>
    <mergeCell ref="H63:H66"/>
    <mergeCell ref="H67:H68"/>
    <mergeCell ref="M3:M5"/>
    <mergeCell ref="M8:M11"/>
    <mergeCell ref="M12:M13"/>
    <mergeCell ref="M14:M15"/>
    <mergeCell ref="M18:M21"/>
    <mergeCell ref="M22:M24"/>
    <mergeCell ref="M25:M27"/>
    <mergeCell ref="M28:M30"/>
    <mergeCell ref="M32:M34"/>
    <mergeCell ref="M59:M62"/>
    <mergeCell ref="M63:M66"/>
    <mergeCell ref="M67:M68"/>
    <mergeCell ref="H28:H30"/>
    <mergeCell ref="H32:H34"/>
    <mergeCell ref="I32:I54"/>
    <mergeCell ref="H35:H38"/>
    <mergeCell ref="H39:H40"/>
    <mergeCell ref="H41:H46"/>
    <mergeCell ref="H47:H48"/>
    <mergeCell ref="H97:H107"/>
    <mergeCell ref="I97:I109"/>
    <mergeCell ref="N59:N62"/>
    <mergeCell ref="N63:N66"/>
    <mergeCell ref="N67:N68"/>
    <mergeCell ref="N69:N73"/>
    <mergeCell ref="O69:O81"/>
    <mergeCell ref="M91:M93"/>
    <mergeCell ref="M94:M96"/>
    <mergeCell ref="M97:M107"/>
    <mergeCell ref="M77:M79"/>
    <mergeCell ref="M80:M81"/>
    <mergeCell ref="M82:M83"/>
    <mergeCell ref="N97:N107"/>
    <mergeCell ref="O97:O109"/>
    <mergeCell ref="N74:N76"/>
    <mergeCell ref="N77:N79"/>
    <mergeCell ref="N80:N81"/>
    <mergeCell ref="N82:N83"/>
    <mergeCell ref="O82:O96"/>
    <mergeCell ref="N84:N86"/>
    <mergeCell ref="N87:N90"/>
    <mergeCell ref="N91:N93"/>
    <mergeCell ref="N94:N96"/>
    <mergeCell ref="N3:N5"/>
    <mergeCell ref="O3:O13"/>
    <mergeCell ref="N8:N11"/>
    <mergeCell ref="N12:N13"/>
    <mergeCell ref="N14:N15"/>
    <mergeCell ref="O14:O31"/>
    <mergeCell ref="N18:N21"/>
    <mergeCell ref="N22:N24"/>
    <mergeCell ref="N25:N27"/>
    <mergeCell ref="N28:N30"/>
  </mergeCells>
  <pageMargins left="0.7" right="0.7" top="0.75" bottom="0.75" header="0.3" footer="0.3"/>
  <pageSetup paperSize="9" orientation="portrait" verticalDpi="0"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view="pageBreakPreview" topLeftCell="A76" zoomScaleNormal="100" zoomScaleSheetLayoutView="100" zoomScalePageLayoutView="80" workbookViewId="0">
      <selection activeCell="A82" sqref="A82:E82"/>
    </sheetView>
  </sheetViews>
  <sheetFormatPr defaultColWidth="9.140625" defaultRowHeight="18" x14ac:dyDescent="0.25"/>
  <cols>
    <col min="1" max="1" width="6" style="65" bestFit="1" customWidth="1"/>
    <col min="2" max="2" width="62.28515625" style="66" bestFit="1" customWidth="1"/>
    <col min="3" max="3" width="17.7109375" style="65" customWidth="1"/>
    <col min="4" max="4" width="19.7109375" style="65" customWidth="1"/>
    <col min="5" max="5" width="17.28515625" style="65" customWidth="1"/>
    <col min="6" max="6" width="1.5703125" style="66" customWidth="1"/>
    <col min="7" max="7" width="20.28515625" style="66" hidden="1" customWidth="1"/>
    <col min="8" max="8" width="0" style="66" hidden="1" customWidth="1"/>
    <col min="9" max="9" width="14.42578125" style="66" hidden="1" customWidth="1"/>
    <col min="10" max="16384" width="9.140625" style="66"/>
  </cols>
  <sheetData>
    <row r="1" spans="1:9" ht="34.5" customHeight="1" x14ac:dyDescent="0.25">
      <c r="A1" s="217" t="s">
        <v>218</v>
      </c>
      <c r="B1" s="217"/>
      <c r="C1" s="217"/>
      <c r="D1" s="217"/>
      <c r="E1" s="217"/>
    </row>
    <row r="2" spans="1:9" ht="20.100000000000001" customHeight="1" x14ac:dyDescent="0.25">
      <c r="A2" s="212" t="s">
        <v>203</v>
      </c>
      <c r="B2" s="212"/>
      <c r="C2" s="212" t="str">
        <f>'Autonomous 107m'!$J$2</f>
        <v>Institute
Name</v>
      </c>
      <c r="D2" s="212"/>
      <c r="E2" s="212"/>
    </row>
    <row r="3" spans="1:9" ht="20.100000000000001" customHeight="1" x14ac:dyDescent="0.25">
      <c r="A3" s="212" t="s">
        <v>204</v>
      </c>
      <c r="B3" s="212"/>
      <c r="C3" s="212" t="str">
        <f>'Autonomous 107m'!K$1</f>
        <v>Autonomous</v>
      </c>
      <c r="D3" s="212"/>
      <c r="E3" s="212"/>
    </row>
    <row r="4" spans="1:9" ht="20.100000000000001" customHeight="1" x14ac:dyDescent="0.25">
      <c r="A4" s="213" t="s">
        <v>205</v>
      </c>
      <c r="B4" s="213"/>
      <c r="C4" s="214"/>
      <c r="D4" s="214"/>
      <c r="E4" s="214"/>
    </row>
    <row r="5" spans="1:9" s="65" customFormat="1" ht="96" customHeight="1" x14ac:dyDescent="0.25">
      <c r="A5" s="83" t="s">
        <v>163</v>
      </c>
      <c r="B5" s="83" t="s">
        <v>108</v>
      </c>
      <c r="C5" s="84" t="s">
        <v>130</v>
      </c>
      <c r="D5" s="84" t="s">
        <v>160</v>
      </c>
      <c r="E5" s="84" t="s">
        <v>214</v>
      </c>
      <c r="G5" s="85" t="s">
        <v>153</v>
      </c>
      <c r="H5" s="85" t="s">
        <v>154</v>
      </c>
      <c r="I5" s="86" t="s">
        <v>138</v>
      </c>
    </row>
    <row r="6" spans="1:9" s="87" customFormat="1" ht="50.1" customHeight="1" x14ac:dyDescent="0.25">
      <c r="A6" s="75">
        <v>1</v>
      </c>
      <c r="B6" s="76" t="s">
        <v>131</v>
      </c>
      <c r="C6" s="75">
        <v>150</v>
      </c>
      <c r="D6" s="75">
        <f>SUM('Autonomous 107m'!O3:O13)</f>
        <v>320</v>
      </c>
      <c r="E6" s="77">
        <f>D6/C6</f>
        <v>2.1333333333333333</v>
      </c>
      <c r="G6" s="75" t="s">
        <v>139</v>
      </c>
      <c r="H6" s="75" t="s">
        <v>140</v>
      </c>
      <c r="I6" s="75" t="s">
        <v>141</v>
      </c>
    </row>
    <row r="7" spans="1:9" s="87" customFormat="1" ht="50.1" customHeight="1" x14ac:dyDescent="0.25">
      <c r="A7" s="75">
        <v>2</v>
      </c>
      <c r="B7" s="76" t="s">
        <v>132</v>
      </c>
      <c r="C7" s="75">
        <v>300</v>
      </c>
      <c r="D7" s="75">
        <f>SUM('Autonomous 107m'!O14:O31)</f>
        <v>240</v>
      </c>
      <c r="E7" s="77">
        <f t="shared" ref="E7:E12" si="0">D7/C7</f>
        <v>0.8</v>
      </c>
      <c r="G7" s="75" t="s">
        <v>142</v>
      </c>
      <c r="H7" s="75" t="s">
        <v>149</v>
      </c>
      <c r="I7" s="75" t="s">
        <v>141</v>
      </c>
    </row>
    <row r="8" spans="1:9" s="87" customFormat="1" ht="50.1" customHeight="1" x14ac:dyDescent="0.25">
      <c r="A8" s="75">
        <v>3</v>
      </c>
      <c r="B8" s="76" t="s">
        <v>133</v>
      </c>
      <c r="C8" s="75">
        <v>150</v>
      </c>
      <c r="D8" s="75">
        <f>SUM('Autonomous 107m'!O32:O54)</f>
        <v>114</v>
      </c>
      <c r="E8" s="77">
        <f t="shared" si="0"/>
        <v>0.76</v>
      </c>
      <c r="G8" s="75" t="s">
        <v>143</v>
      </c>
      <c r="H8" s="75" t="s">
        <v>125</v>
      </c>
      <c r="I8" s="75" t="s">
        <v>141</v>
      </c>
    </row>
    <row r="9" spans="1:9" s="87" customFormat="1" ht="50.1" customHeight="1" x14ac:dyDescent="0.25">
      <c r="A9" s="75">
        <v>4</v>
      </c>
      <c r="B9" s="76" t="s">
        <v>134</v>
      </c>
      <c r="C9" s="75">
        <v>100</v>
      </c>
      <c r="D9" s="75">
        <f>SUM('Autonomous 107m'!O55:O68)</f>
        <v>64</v>
      </c>
      <c r="E9" s="77">
        <f t="shared" si="0"/>
        <v>0.64</v>
      </c>
      <c r="G9" s="75" t="s">
        <v>144</v>
      </c>
      <c r="H9" s="75" t="s">
        <v>150</v>
      </c>
      <c r="I9" s="75" t="s">
        <v>141</v>
      </c>
    </row>
    <row r="10" spans="1:9" s="87" customFormat="1" ht="50.1" customHeight="1" x14ac:dyDescent="0.25">
      <c r="A10" s="75">
        <v>5</v>
      </c>
      <c r="B10" s="76" t="s">
        <v>135</v>
      </c>
      <c r="C10" s="75">
        <v>100</v>
      </c>
      <c r="D10" s="75">
        <f>SUM('Autonomous 107m'!O69:O81)</f>
        <v>104</v>
      </c>
      <c r="E10" s="77">
        <f t="shared" si="0"/>
        <v>1.04</v>
      </c>
      <c r="G10" s="75" t="s">
        <v>145</v>
      </c>
      <c r="H10" s="75" t="s">
        <v>151</v>
      </c>
      <c r="I10" s="75" t="s">
        <v>141</v>
      </c>
    </row>
    <row r="11" spans="1:9" s="87" customFormat="1" ht="50.1" customHeight="1" x14ac:dyDescent="0.25">
      <c r="A11" s="75">
        <v>6</v>
      </c>
      <c r="B11" s="76" t="s">
        <v>136</v>
      </c>
      <c r="C11" s="75">
        <v>100</v>
      </c>
      <c r="D11" s="75">
        <f>SUM('Autonomous 107m'!O82:O96)</f>
        <v>94</v>
      </c>
      <c r="E11" s="77">
        <f t="shared" si="0"/>
        <v>0.94</v>
      </c>
      <c r="G11" s="75" t="s">
        <v>146</v>
      </c>
      <c r="H11" s="75" t="s">
        <v>126</v>
      </c>
      <c r="I11" s="75" t="s">
        <v>141</v>
      </c>
    </row>
    <row r="12" spans="1:9" s="87" customFormat="1" ht="50.1" customHeight="1" x14ac:dyDescent="0.25">
      <c r="A12" s="75">
        <v>7</v>
      </c>
      <c r="B12" s="76" t="s">
        <v>137</v>
      </c>
      <c r="C12" s="75">
        <v>100</v>
      </c>
      <c r="D12" s="75">
        <f>SUM('Autonomous 107m'!O97:O109)</f>
        <v>59</v>
      </c>
      <c r="E12" s="77">
        <f t="shared" si="0"/>
        <v>0.59</v>
      </c>
      <c r="G12" s="75" t="s">
        <v>148</v>
      </c>
      <c r="H12" s="75" t="s">
        <v>128</v>
      </c>
      <c r="I12" s="75" t="s">
        <v>141</v>
      </c>
    </row>
    <row r="13" spans="1:9" ht="66" customHeight="1" x14ac:dyDescent="0.25">
      <c r="A13" s="204" t="s">
        <v>215</v>
      </c>
      <c r="B13" s="204"/>
      <c r="C13" s="78">
        <f>SUM(C6:C12)</f>
        <v>1000</v>
      </c>
      <c r="D13" s="78">
        <f>SUM(D6:D12)</f>
        <v>995</v>
      </c>
      <c r="E13" s="77">
        <f>D13/C13</f>
        <v>0.995</v>
      </c>
      <c r="G13" s="62" t="s">
        <v>147</v>
      </c>
      <c r="H13" s="62" t="s">
        <v>127</v>
      </c>
      <c r="I13" s="62" t="s">
        <v>152</v>
      </c>
    </row>
    <row r="14" spans="1:9" s="80" customFormat="1" ht="24.95" customHeight="1" thickBot="1" x14ac:dyDescent="0.3">
      <c r="A14" s="79"/>
      <c r="C14" s="79"/>
      <c r="D14" s="79"/>
      <c r="E14" s="81"/>
    </row>
    <row r="15" spans="1:9" ht="73.5" customHeight="1" thickBot="1" x14ac:dyDescent="0.3">
      <c r="A15" s="205">
        <f>D13/C13</f>
        <v>0.995</v>
      </c>
      <c r="B15" s="206"/>
      <c r="C15" s="206"/>
      <c r="D15" s="206"/>
      <c r="E15" s="207"/>
    </row>
    <row r="16" spans="1:9" ht="18.75" thickBot="1" x14ac:dyDescent="0.3">
      <c r="D16" s="82"/>
      <c r="E16" s="79"/>
    </row>
    <row r="17" spans="1:5" ht="33.75" customHeight="1" thickBot="1" x14ac:dyDescent="0.3">
      <c r="A17" s="208" t="str">
        <f>IF(AND($A$15&lt;=4,$A$15&gt;=3.51),"A++",IF(AND($A$15&lt;=3.5,$A$15&gt;=3.26),"A+",IF(AND($A$15&lt;=3.25,$A$15&gt;3.01),"A",IF(AND($A$15&lt;=3,$A$15&gt;=2.76),"B++",IF(AND($A$15&lt;=2.75,$A$15&gt;=2.51),"B+",IF(AND($A$15&lt;=2.5,$A$15&gt;=2.01),"B",IF(AND($A$15&lt;=2,$A$15&gt;=1.51),"C","D")))))))</f>
        <v>D</v>
      </c>
      <c r="B17" s="209"/>
      <c r="C17" s="209"/>
      <c r="D17" s="209"/>
      <c r="E17" s="210"/>
    </row>
    <row r="18" spans="1:5" x14ac:dyDescent="0.25">
      <c r="D18" s="82"/>
      <c r="E18" s="79"/>
    </row>
    <row r="19" spans="1:5" ht="22.5" customHeight="1" x14ac:dyDescent="0.25">
      <c r="A19" s="211" t="s">
        <v>219</v>
      </c>
      <c r="B19" s="211"/>
      <c r="C19" s="211"/>
      <c r="D19" s="211"/>
      <c r="E19" s="211"/>
    </row>
    <row r="20" spans="1:5" ht="22.5" customHeight="1" x14ac:dyDescent="0.25">
      <c r="A20" s="212" t="s">
        <v>203</v>
      </c>
      <c r="B20" s="212"/>
      <c r="C20" s="212" t="str">
        <f>'Autonomous 107m'!$J$2</f>
        <v>Institute
Name</v>
      </c>
      <c r="D20" s="212"/>
      <c r="E20" s="212"/>
    </row>
    <row r="21" spans="1:5" ht="22.5" customHeight="1" x14ac:dyDescent="0.25">
      <c r="A21" s="212" t="s">
        <v>204</v>
      </c>
      <c r="B21" s="212"/>
      <c r="C21" s="212" t="str">
        <f>'Autonomous 107m'!$K$1</f>
        <v>Autonomous</v>
      </c>
      <c r="D21" s="212"/>
      <c r="E21" s="212"/>
    </row>
    <row r="22" spans="1:5" ht="22.5" customHeight="1" x14ac:dyDescent="0.25">
      <c r="A22" s="213" t="s">
        <v>205</v>
      </c>
      <c r="B22" s="213"/>
      <c r="C22" s="214"/>
      <c r="D22" s="214"/>
      <c r="E22" s="214"/>
    </row>
    <row r="23" spans="1:5" s="65" customFormat="1" ht="72" x14ac:dyDescent="0.25">
      <c r="A23" s="60" t="s">
        <v>163</v>
      </c>
      <c r="B23" s="60" t="s">
        <v>155</v>
      </c>
      <c r="C23" s="61" t="s">
        <v>207</v>
      </c>
      <c r="D23" s="215" t="s">
        <v>208</v>
      </c>
      <c r="E23" s="216"/>
    </row>
    <row r="24" spans="1:5" s="65" customFormat="1" ht="27.95" customHeight="1" x14ac:dyDescent="0.25">
      <c r="A24" s="178" t="s">
        <v>161</v>
      </c>
      <c r="B24" s="178"/>
      <c r="C24" s="178"/>
      <c r="D24" s="178"/>
      <c r="E24" s="178"/>
    </row>
    <row r="25" spans="1:5" ht="27" customHeight="1" x14ac:dyDescent="0.25">
      <c r="A25" s="62">
        <v>1.1000000000000001</v>
      </c>
      <c r="B25" s="88" t="s">
        <v>201</v>
      </c>
      <c r="C25" s="62">
        <v>50</v>
      </c>
      <c r="D25" s="173">
        <f>SUM('Autonomous 107m'!M3:M5)</f>
        <v>120</v>
      </c>
      <c r="E25" s="174"/>
    </row>
    <row r="26" spans="1:5" ht="27" customHeight="1" x14ac:dyDescent="0.25">
      <c r="A26" s="62">
        <v>1.2</v>
      </c>
      <c r="B26" s="88" t="s">
        <v>198</v>
      </c>
      <c r="C26" s="62">
        <v>40</v>
      </c>
      <c r="D26" s="173">
        <f>SUM('Autonomous 107m'!M6:M7)</f>
        <v>100</v>
      </c>
      <c r="E26" s="174"/>
    </row>
    <row r="27" spans="1:5" ht="27" customHeight="1" x14ac:dyDescent="0.25">
      <c r="A27" s="62">
        <v>1.3</v>
      </c>
      <c r="B27" s="88" t="s">
        <v>199</v>
      </c>
      <c r="C27" s="62">
        <v>40</v>
      </c>
      <c r="D27" s="173">
        <f>SUM('Autonomous 107m'!M8:M11)</f>
        <v>50</v>
      </c>
      <c r="E27" s="174"/>
    </row>
    <row r="28" spans="1:5" ht="27" customHeight="1" x14ac:dyDescent="0.25">
      <c r="A28" s="62">
        <v>1.4</v>
      </c>
      <c r="B28" s="88" t="s">
        <v>200</v>
      </c>
      <c r="C28" s="62">
        <v>20</v>
      </c>
      <c r="D28" s="173">
        <f>SUM('Autonomous 107m'!M12:M13)</f>
        <v>50</v>
      </c>
      <c r="E28" s="174"/>
    </row>
    <row r="29" spans="1:5" ht="30" customHeight="1" thickBot="1" x14ac:dyDescent="0.3">
      <c r="A29" s="179" t="s">
        <v>215</v>
      </c>
      <c r="B29" s="180"/>
      <c r="C29" s="64">
        <f>SUM(C25:C28)</f>
        <v>150</v>
      </c>
      <c r="D29" s="198">
        <f>SUM(D25:D28)</f>
        <v>320</v>
      </c>
      <c r="E29" s="199"/>
    </row>
    <row r="30" spans="1:5" ht="27.95" hidden="1" customHeight="1" thickBot="1" x14ac:dyDescent="0.3">
      <c r="D30" s="67" t="s">
        <v>110</v>
      </c>
      <c r="E30" s="68" t="str">
        <f>IF(AND($E$29&lt;=4,$E$29&gt;=3.51),"A++",IF(AND($E$29&lt;=3.5,$E$29&gt;=3.26),"A+",IF(AND($E$29&lt;=3.25,$E$29&gt;3.01),"A",IF(AND($E$29&lt;=3,$E$29&gt;=2.76),"B++",IF(AND($E$29&lt;=2.75,$E$29&gt;=2.51),"B+",IF(AND($E$29&lt;=2.5,$E$29&gt;=2.01),"B",IF(AND($E$29&lt;=2,$E$29&gt;=1.51),"C","D")))))))</f>
        <v>D</v>
      </c>
    </row>
    <row r="31" spans="1:5" ht="30.75" customHeight="1" thickBot="1" x14ac:dyDescent="0.3">
      <c r="A31" s="200">
        <f>80/70</f>
        <v>1.1428571428571428</v>
      </c>
      <c r="B31" s="201"/>
      <c r="C31" s="201"/>
      <c r="D31" s="201"/>
      <c r="E31" s="202"/>
    </row>
    <row r="32" spans="1:5" ht="27.95" customHeight="1" x14ac:dyDescent="0.25">
      <c r="A32" s="203" t="s">
        <v>162</v>
      </c>
      <c r="B32" s="203"/>
      <c r="C32" s="203"/>
      <c r="D32" s="203"/>
      <c r="E32" s="203"/>
    </row>
    <row r="33" spans="1:5" ht="27" customHeight="1" x14ac:dyDescent="0.25">
      <c r="A33" s="62">
        <v>2.1</v>
      </c>
      <c r="B33" s="63" t="s">
        <v>168</v>
      </c>
      <c r="C33" s="62">
        <v>20</v>
      </c>
      <c r="D33" s="173">
        <f>SUM('Autonomous 107m'!M14:M15)</f>
        <v>80</v>
      </c>
      <c r="E33" s="174"/>
    </row>
    <row r="34" spans="1:5" ht="27" customHeight="1" x14ac:dyDescent="0.25">
      <c r="A34" s="62">
        <v>2.2000000000000002</v>
      </c>
      <c r="B34" s="63" t="s">
        <v>169</v>
      </c>
      <c r="C34" s="62">
        <v>30</v>
      </c>
      <c r="D34" s="173">
        <f>SUM('Autonomous 107m'!M16:M17)</f>
        <v>0</v>
      </c>
      <c r="E34" s="174"/>
    </row>
    <row r="35" spans="1:5" ht="27" customHeight="1" x14ac:dyDescent="0.25">
      <c r="A35" s="62">
        <v>2.2999999999999998</v>
      </c>
      <c r="B35" s="63" t="s">
        <v>170</v>
      </c>
      <c r="C35" s="62">
        <v>50</v>
      </c>
      <c r="D35" s="173">
        <f>SUM('Autonomous 107m'!M18:M21)</f>
        <v>0</v>
      </c>
      <c r="E35" s="174"/>
    </row>
    <row r="36" spans="1:5" ht="27" customHeight="1" x14ac:dyDescent="0.25">
      <c r="A36" s="62">
        <v>2.4</v>
      </c>
      <c r="B36" s="63" t="s">
        <v>164</v>
      </c>
      <c r="C36" s="62">
        <v>50</v>
      </c>
      <c r="D36" s="173">
        <f>SUM('Autonomous 107m'!M22:M24)</f>
        <v>60</v>
      </c>
      <c r="E36" s="174"/>
    </row>
    <row r="37" spans="1:5" ht="27" customHeight="1" x14ac:dyDescent="0.25">
      <c r="A37" s="62">
        <v>2.5</v>
      </c>
      <c r="B37" s="63" t="s">
        <v>165</v>
      </c>
      <c r="C37" s="62">
        <v>50</v>
      </c>
      <c r="D37" s="173">
        <f>SUM('Autonomous 107m'!M25:M27)</f>
        <v>20</v>
      </c>
      <c r="E37" s="174"/>
    </row>
    <row r="38" spans="1:5" ht="27" customHeight="1" x14ac:dyDescent="0.25">
      <c r="A38" s="62">
        <v>2.6</v>
      </c>
      <c r="B38" s="63" t="s">
        <v>166</v>
      </c>
      <c r="C38" s="62">
        <v>50</v>
      </c>
      <c r="D38" s="173">
        <f>SUM('Autonomous 107m'!M28:M30)</f>
        <v>80</v>
      </c>
      <c r="E38" s="174"/>
    </row>
    <row r="39" spans="1:5" ht="27" customHeight="1" x14ac:dyDescent="0.25">
      <c r="A39" s="62">
        <v>2.7</v>
      </c>
      <c r="B39" s="63" t="s">
        <v>167</v>
      </c>
      <c r="C39" s="62">
        <v>50</v>
      </c>
      <c r="D39" s="173">
        <f>SUM('Autonomous 107m'!M31)</f>
        <v>0</v>
      </c>
      <c r="E39" s="174"/>
    </row>
    <row r="40" spans="1:5" ht="29.25" customHeight="1" x14ac:dyDescent="0.25">
      <c r="A40" s="195" t="s">
        <v>215</v>
      </c>
      <c r="B40" s="195"/>
      <c r="C40" s="69">
        <f>SUM(C33:C39)</f>
        <v>300</v>
      </c>
      <c r="D40" s="196">
        <f>SUM(D33:D39)</f>
        <v>240</v>
      </c>
      <c r="E40" s="196"/>
    </row>
    <row r="41" spans="1:5" ht="33.75" customHeight="1" x14ac:dyDescent="0.25">
      <c r="A41" s="197">
        <f>D40/C40</f>
        <v>0.8</v>
      </c>
      <c r="B41" s="197"/>
      <c r="C41" s="197"/>
      <c r="D41" s="197"/>
      <c r="E41" s="197"/>
    </row>
    <row r="42" spans="1:5" ht="27.95" customHeight="1" x14ac:dyDescent="0.25">
      <c r="A42" s="178" t="s">
        <v>171</v>
      </c>
      <c r="B42" s="178"/>
      <c r="C42" s="178"/>
      <c r="D42" s="178"/>
      <c r="E42" s="178"/>
    </row>
    <row r="43" spans="1:5" ht="27" customHeight="1" x14ac:dyDescent="0.25">
      <c r="A43" s="62">
        <v>3.1</v>
      </c>
      <c r="B43" s="63" t="s">
        <v>444</v>
      </c>
      <c r="C43" s="62">
        <v>20</v>
      </c>
      <c r="D43" s="173">
        <f>SUM('Autonomous 107m'!M32:M34)</f>
        <v>0</v>
      </c>
      <c r="E43" s="174"/>
    </row>
    <row r="44" spans="1:5" ht="27" customHeight="1" x14ac:dyDescent="0.25">
      <c r="A44" s="62">
        <v>3.2</v>
      </c>
      <c r="B44" s="63" t="s">
        <v>172</v>
      </c>
      <c r="C44" s="62">
        <v>10</v>
      </c>
      <c r="D44" s="173">
        <f>SUM('Autonomous 107m'!M35:M38)</f>
        <v>14</v>
      </c>
      <c r="E44" s="174"/>
    </row>
    <row r="45" spans="1:5" ht="27" customHeight="1" x14ac:dyDescent="0.25">
      <c r="A45" s="62">
        <v>3.3</v>
      </c>
      <c r="B45" s="63" t="s">
        <v>173</v>
      </c>
      <c r="C45" s="62">
        <v>10</v>
      </c>
      <c r="D45" s="173">
        <f>SUM('Autonomous 107m'!M39:M40)</f>
        <v>10</v>
      </c>
      <c r="E45" s="174"/>
    </row>
    <row r="46" spans="1:5" ht="27" customHeight="1" x14ac:dyDescent="0.25">
      <c r="A46" s="62">
        <v>3.4</v>
      </c>
      <c r="B46" s="63" t="s">
        <v>174</v>
      </c>
      <c r="C46" s="62">
        <v>30</v>
      </c>
      <c r="D46" s="173">
        <f>SUM('Autonomous 107m'!M41:M46)</f>
        <v>10</v>
      </c>
      <c r="E46" s="174"/>
    </row>
    <row r="47" spans="1:5" ht="27" customHeight="1" x14ac:dyDescent="0.25">
      <c r="A47" s="62">
        <v>3.5</v>
      </c>
      <c r="B47" s="63" t="s">
        <v>445</v>
      </c>
      <c r="C47" s="62">
        <v>10</v>
      </c>
      <c r="D47" s="173">
        <f>SUM('Autonomous 107m'!M47:M48)</f>
        <v>0</v>
      </c>
      <c r="E47" s="174"/>
    </row>
    <row r="48" spans="1:5" ht="27" customHeight="1" x14ac:dyDescent="0.25">
      <c r="A48" s="62">
        <v>3.6</v>
      </c>
      <c r="B48" s="63" t="s">
        <v>175</v>
      </c>
      <c r="C48" s="62">
        <v>50</v>
      </c>
      <c r="D48" s="173">
        <f>SUM('Autonomous 107m'!M49:M52)</f>
        <v>60</v>
      </c>
      <c r="E48" s="174"/>
    </row>
    <row r="49" spans="1:5" ht="27" customHeight="1" x14ac:dyDescent="0.25">
      <c r="A49" s="62">
        <v>3.7</v>
      </c>
      <c r="B49" s="63" t="s">
        <v>176</v>
      </c>
      <c r="C49" s="62">
        <v>20</v>
      </c>
      <c r="D49" s="173">
        <f>SUM('Autonomous 107m'!M53:M54)</f>
        <v>20</v>
      </c>
      <c r="E49" s="174"/>
    </row>
    <row r="50" spans="1:5" ht="30" customHeight="1" x14ac:dyDescent="0.25">
      <c r="A50" s="195" t="s">
        <v>215</v>
      </c>
      <c r="B50" s="195"/>
      <c r="C50" s="69">
        <f>SUM(C43:C49)</f>
        <v>150</v>
      </c>
      <c r="D50" s="196">
        <f>SUM(D43:D49)</f>
        <v>114</v>
      </c>
      <c r="E50" s="196"/>
    </row>
    <row r="51" spans="1:5" ht="34.5" customHeight="1" x14ac:dyDescent="0.25">
      <c r="A51" s="194">
        <f>D50/C50</f>
        <v>0.76</v>
      </c>
      <c r="B51" s="194"/>
      <c r="C51" s="194"/>
      <c r="D51" s="194"/>
      <c r="E51" s="194"/>
    </row>
    <row r="52" spans="1:5" ht="27.95" customHeight="1" x14ac:dyDescent="0.25">
      <c r="A52" s="178" t="s">
        <v>177</v>
      </c>
      <c r="B52" s="178"/>
      <c r="C52" s="178"/>
      <c r="D52" s="178"/>
      <c r="E52" s="178"/>
    </row>
    <row r="53" spans="1:5" ht="27" customHeight="1" x14ac:dyDescent="0.25">
      <c r="A53" s="62">
        <v>4.0999999999999996</v>
      </c>
      <c r="B53" s="63" t="s">
        <v>178</v>
      </c>
      <c r="C53" s="62">
        <v>30</v>
      </c>
      <c r="D53" s="173">
        <f>SUM('Autonomous 107m'!M55:M58)</f>
        <v>0</v>
      </c>
      <c r="E53" s="174"/>
    </row>
    <row r="54" spans="1:5" ht="27" customHeight="1" x14ac:dyDescent="0.25">
      <c r="A54" s="62">
        <v>4.2</v>
      </c>
      <c r="B54" s="63" t="s">
        <v>179</v>
      </c>
      <c r="C54" s="62">
        <v>20</v>
      </c>
      <c r="D54" s="173">
        <f>SUM('Autonomous 107m'!M59:M62)</f>
        <v>20</v>
      </c>
      <c r="E54" s="174"/>
    </row>
    <row r="55" spans="1:5" ht="27" customHeight="1" x14ac:dyDescent="0.25">
      <c r="A55" s="62">
        <v>4.3</v>
      </c>
      <c r="B55" s="63" t="s">
        <v>180</v>
      </c>
      <c r="C55" s="62">
        <v>30</v>
      </c>
      <c r="D55" s="173">
        <f>SUM('Autonomous 107m'!M63:M66)</f>
        <v>44</v>
      </c>
      <c r="E55" s="174"/>
    </row>
    <row r="56" spans="1:5" ht="27" customHeight="1" x14ac:dyDescent="0.25">
      <c r="A56" s="62">
        <v>4.4000000000000004</v>
      </c>
      <c r="B56" s="63" t="s">
        <v>181</v>
      </c>
      <c r="C56" s="62">
        <v>20</v>
      </c>
      <c r="D56" s="173">
        <f>SUM('Autonomous 107m'!M67:M68)</f>
        <v>0</v>
      </c>
      <c r="E56" s="174"/>
    </row>
    <row r="57" spans="1:5" ht="27.95" customHeight="1" thickBot="1" x14ac:dyDescent="0.3">
      <c r="A57" s="179" t="s">
        <v>215</v>
      </c>
      <c r="B57" s="180"/>
      <c r="C57" s="70">
        <f>SUM(C53:C56)</f>
        <v>100</v>
      </c>
      <c r="D57" s="191">
        <f>SUM(D53:D56)</f>
        <v>64</v>
      </c>
      <c r="E57" s="192"/>
    </row>
    <row r="58" spans="1:5" ht="37.5" customHeight="1" x14ac:dyDescent="0.25">
      <c r="A58" s="193">
        <f>D57/C57</f>
        <v>0.64</v>
      </c>
      <c r="B58" s="193"/>
      <c r="C58" s="193"/>
      <c r="D58" s="193"/>
      <c r="E58" s="193"/>
    </row>
    <row r="59" spans="1:5" ht="27.95" customHeight="1" x14ac:dyDescent="0.25">
      <c r="A59" s="178" t="s">
        <v>182</v>
      </c>
      <c r="B59" s="178"/>
      <c r="C59" s="178"/>
      <c r="D59" s="178"/>
      <c r="E59" s="178"/>
    </row>
    <row r="60" spans="1:5" ht="27.95" customHeight="1" x14ac:dyDescent="0.25">
      <c r="A60" s="62">
        <v>5.0999999999999996</v>
      </c>
      <c r="B60" s="63" t="s">
        <v>183</v>
      </c>
      <c r="C60" s="62">
        <v>30</v>
      </c>
      <c r="D60" s="173">
        <f>SUM('Autonomous 107m'!M69:M73)</f>
        <v>39</v>
      </c>
      <c r="E60" s="174"/>
    </row>
    <row r="61" spans="1:5" ht="27.95" customHeight="1" x14ac:dyDescent="0.25">
      <c r="A61" s="62">
        <v>5.2</v>
      </c>
      <c r="B61" s="63" t="s">
        <v>184</v>
      </c>
      <c r="C61" s="62">
        <v>30</v>
      </c>
      <c r="D61" s="173">
        <f>SUM('Autonomous 107m'!M74:M76)</f>
        <v>40</v>
      </c>
      <c r="E61" s="174"/>
    </row>
    <row r="62" spans="1:5" ht="27.95" customHeight="1" x14ac:dyDescent="0.25">
      <c r="A62" s="62">
        <v>5.3</v>
      </c>
      <c r="B62" s="63" t="s">
        <v>185</v>
      </c>
      <c r="C62" s="62">
        <v>30</v>
      </c>
      <c r="D62" s="173">
        <f>SUM('Autonomous 107m'!M77:M79)</f>
        <v>20</v>
      </c>
      <c r="E62" s="174"/>
    </row>
    <row r="63" spans="1:5" ht="27.95" customHeight="1" x14ac:dyDescent="0.25">
      <c r="A63" s="62">
        <v>5.4</v>
      </c>
      <c r="B63" s="63" t="s">
        <v>186</v>
      </c>
      <c r="C63" s="62">
        <v>10</v>
      </c>
      <c r="D63" s="173">
        <f>SUM('Autonomous 107m'!M80:M81)</f>
        <v>5</v>
      </c>
      <c r="E63" s="174"/>
    </row>
    <row r="64" spans="1:5" ht="30" customHeight="1" x14ac:dyDescent="0.25">
      <c r="A64" s="179" t="s">
        <v>215</v>
      </c>
      <c r="B64" s="180"/>
      <c r="C64" s="71">
        <f>SUM(C60:C63)</f>
        <v>100</v>
      </c>
      <c r="D64" s="189">
        <f>SUM(D60:D63)</f>
        <v>104</v>
      </c>
      <c r="E64" s="190"/>
    </row>
    <row r="65" spans="1:5" ht="35.25" customHeight="1" x14ac:dyDescent="0.25">
      <c r="A65" s="184">
        <f>D64/C64</f>
        <v>1.04</v>
      </c>
      <c r="B65" s="184"/>
      <c r="C65" s="184"/>
      <c r="D65" s="184"/>
      <c r="E65" s="184"/>
    </row>
    <row r="66" spans="1:5" ht="27.95" customHeight="1" x14ac:dyDescent="0.25">
      <c r="A66" s="178" t="s">
        <v>187</v>
      </c>
      <c r="B66" s="178"/>
      <c r="C66" s="178"/>
      <c r="D66" s="178"/>
      <c r="E66" s="178"/>
    </row>
    <row r="67" spans="1:5" ht="27.95" customHeight="1" x14ac:dyDescent="0.25">
      <c r="A67" s="62">
        <v>6.1</v>
      </c>
      <c r="B67" s="88" t="s">
        <v>188</v>
      </c>
      <c r="C67" s="62">
        <v>10</v>
      </c>
      <c r="D67" s="173">
        <f>SUM('Autonomous 107m'!M82:M83)</f>
        <v>0</v>
      </c>
      <c r="E67" s="174"/>
    </row>
    <row r="68" spans="1:5" ht="27.95" customHeight="1" x14ac:dyDescent="0.25">
      <c r="A68" s="62">
        <v>6.2</v>
      </c>
      <c r="B68" s="88" t="s">
        <v>189</v>
      </c>
      <c r="C68" s="62">
        <v>10</v>
      </c>
      <c r="D68" s="173">
        <f>SUM('Autonomous 107m'!M84:M86)</f>
        <v>12</v>
      </c>
      <c r="E68" s="174"/>
    </row>
    <row r="69" spans="1:5" ht="27.95" customHeight="1" x14ac:dyDescent="0.25">
      <c r="A69" s="62">
        <v>6.3</v>
      </c>
      <c r="B69" s="88" t="s">
        <v>190</v>
      </c>
      <c r="C69" s="62">
        <v>30</v>
      </c>
      <c r="D69" s="173">
        <f>SUM('Autonomous 107m'!M87:M90)</f>
        <v>42</v>
      </c>
      <c r="E69" s="174"/>
    </row>
    <row r="70" spans="1:5" ht="27.95" customHeight="1" x14ac:dyDescent="0.25">
      <c r="A70" s="62">
        <v>6.4</v>
      </c>
      <c r="B70" s="88" t="s">
        <v>191</v>
      </c>
      <c r="C70" s="62">
        <v>20</v>
      </c>
      <c r="D70" s="173">
        <f>SUM('Autonomous 107m'!M91:M93)</f>
        <v>0</v>
      </c>
      <c r="E70" s="174"/>
    </row>
    <row r="71" spans="1:5" ht="27.95" customHeight="1" x14ac:dyDescent="0.25">
      <c r="A71" s="62">
        <v>6.5</v>
      </c>
      <c r="B71" s="88" t="s">
        <v>192</v>
      </c>
      <c r="C71" s="62">
        <v>30</v>
      </c>
      <c r="D71" s="173">
        <f>SUM('Autonomous 107m'!M94:M96)</f>
        <v>40</v>
      </c>
      <c r="E71" s="174"/>
    </row>
    <row r="72" spans="1:5" ht="31.5" customHeight="1" thickBot="1" x14ac:dyDescent="0.3">
      <c r="A72" s="185" t="s">
        <v>215</v>
      </c>
      <c r="B72" s="186"/>
      <c r="C72" s="72">
        <f>SUM(C67:C71)</f>
        <v>100</v>
      </c>
      <c r="D72" s="187">
        <f>SUM(D67:D71)</f>
        <v>94</v>
      </c>
      <c r="E72" s="188"/>
    </row>
    <row r="73" spans="1:5" ht="34.5" customHeight="1" thickBot="1" x14ac:dyDescent="0.3">
      <c r="A73" s="175">
        <f>D72/C72</f>
        <v>0.94</v>
      </c>
      <c r="B73" s="176"/>
      <c r="C73" s="176"/>
      <c r="D73" s="176"/>
      <c r="E73" s="177"/>
    </row>
    <row r="74" spans="1:5" ht="27.95" customHeight="1" x14ac:dyDescent="0.25">
      <c r="A74" s="178" t="s">
        <v>193</v>
      </c>
      <c r="B74" s="178"/>
      <c r="C74" s="178"/>
      <c r="D74" s="178"/>
      <c r="E74" s="178"/>
    </row>
    <row r="75" spans="1:5" ht="27.95" customHeight="1" x14ac:dyDescent="0.25">
      <c r="A75" s="88">
        <v>7.1</v>
      </c>
      <c r="B75" s="88" t="s">
        <v>194</v>
      </c>
      <c r="C75" s="62">
        <v>50</v>
      </c>
      <c r="D75" s="173">
        <f>SUM('Autonomous 107m'!M97:M107)</f>
        <v>59</v>
      </c>
      <c r="E75" s="174"/>
    </row>
    <row r="76" spans="1:5" ht="27.95" customHeight="1" x14ac:dyDescent="0.25">
      <c r="A76" s="88">
        <v>7.2</v>
      </c>
      <c r="B76" s="88" t="s">
        <v>129</v>
      </c>
      <c r="C76" s="62">
        <v>30</v>
      </c>
      <c r="D76" s="173">
        <f>SUM('Autonomous 107m'!M108)</f>
        <v>0</v>
      </c>
      <c r="E76" s="174"/>
    </row>
    <row r="77" spans="1:5" ht="27.95" customHeight="1" x14ac:dyDescent="0.25">
      <c r="A77" s="88">
        <v>7.3</v>
      </c>
      <c r="B77" s="88" t="s">
        <v>195</v>
      </c>
      <c r="C77" s="62">
        <v>20</v>
      </c>
      <c r="D77" s="173">
        <f>SUM('Autonomous 107m'!M109)</f>
        <v>0</v>
      </c>
      <c r="E77" s="174"/>
    </row>
    <row r="78" spans="1:5" ht="29.25" customHeight="1" x14ac:dyDescent="0.25">
      <c r="A78" s="179" t="s">
        <v>215</v>
      </c>
      <c r="B78" s="180"/>
      <c r="C78" s="73">
        <f>SUM(C75:C77)</f>
        <v>100</v>
      </c>
      <c r="D78" s="181">
        <f>SUM(D75:D77)</f>
        <v>59</v>
      </c>
      <c r="E78" s="182"/>
    </row>
    <row r="79" spans="1:5" ht="34.5" customHeight="1" x14ac:dyDescent="0.25">
      <c r="A79" s="183">
        <f>D78/C78</f>
        <v>0.59</v>
      </c>
      <c r="B79" s="183"/>
      <c r="C79" s="183"/>
      <c r="D79" s="183"/>
      <c r="E79" s="183"/>
    </row>
    <row r="80" spans="1:5" ht="27.95" customHeight="1" thickBot="1" x14ac:dyDescent="0.3">
      <c r="A80" s="166" t="s">
        <v>216</v>
      </c>
      <c r="B80" s="167"/>
      <c r="C80" s="116">
        <f>SUM(C29,C40,C50,C57,C64,C72,C78)</f>
        <v>1000</v>
      </c>
      <c r="D80" s="168">
        <f>SUM(D29,D40,D50,D57,D64,D72,D78)</f>
        <v>995</v>
      </c>
      <c r="E80" s="169"/>
    </row>
    <row r="81" spans="1:5" ht="71.25" customHeight="1" thickBot="1" x14ac:dyDescent="0.3">
      <c r="A81" s="170">
        <f>D80/C80</f>
        <v>0.995</v>
      </c>
      <c r="B81" s="171"/>
      <c r="C81" s="171"/>
      <c r="D81" s="171"/>
      <c r="E81" s="172"/>
    </row>
    <row r="82" spans="1:5" ht="39.75" customHeight="1" thickBot="1" x14ac:dyDescent="0.3">
      <c r="A82" s="163" t="str">
        <f>IF(AND($A$81&lt;=4,$A$81&gt;=3.51),"A++",IF(AND($A$81&lt;=3.5,$A$81&gt;=3.26),"A+",IF(AND($A$81&lt;=3.25,$A$81&gt;3.01),"A",IF(AND($A$81&lt;=3,$A$81&gt;=2.76),"B++",IF(AND($A$81&lt;=2.75,$A$81&gt;=2.51),"B+",IF(AND($A$81&lt;=2.5,$A$81&gt;=2.01),"B",IF(AND($A$81&lt;=2,$A$81&gt;=1.51),"C","D")))))))</f>
        <v>D</v>
      </c>
      <c r="B82" s="164"/>
      <c r="C82" s="164"/>
      <c r="D82" s="164"/>
      <c r="E82" s="165"/>
    </row>
  </sheetData>
  <mergeCells count="84">
    <mergeCell ref="A4:B4"/>
    <mergeCell ref="C4:E4"/>
    <mergeCell ref="A1:E1"/>
    <mergeCell ref="A2:B2"/>
    <mergeCell ref="C2:E2"/>
    <mergeCell ref="A3:B3"/>
    <mergeCell ref="C3:E3"/>
    <mergeCell ref="A24:E24"/>
    <mergeCell ref="A13:B13"/>
    <mergeCell ref="A15:E15"/>
    <mergeCell ref="A17:E17"/>
    <mergeCell ref="A19:E19"/>
    <mergeCell ref="A20:B20"/>
    <mergeCell ref="C20:E20"/>
    <mergeCell ref="A21:B21"/>
    <mergeCell ref="C21:E21"/>
    <mergeCell ref="A22:B22"/>
    <mergeCell ref="C22:E22"/>
    <mergeCell ref="D23:E23"/>
    <mergeCell ref="D39:E39"/>
    <mergeCell ref="D25:E25"/>
    <mergeCell ref="D27:E27"/>
    <mergeCell ref="D28:E28"/>
    <mergeCell ref="A29:B29"/>
    <mergeCell ref="D29:E29"/>
    <mergeCell ref="A31:E31"/>
    <mergeCell ref="A32:E32"/>
    <mergeCell ref="D33:E33"/>
    <mergeCell ref="D34:E34"/>
    <mergeCell ref="D36:E36"/>
    <mergeCell ref="D38:E38"/>
    <mergeCell ref="A51:E51"/>
    <mergeCell ref="A40:B40"/>
    <mergeCell ref="D40:E40"/>
    <mergeCell ref="A41:E41"/>
    <mergeCell ref="A42:E42"/>
    <mergeCell ref="D43:E43"/>
    <mergeCell ref="D45:E45"/>
    <mergeCell ref="D46:E46"/>
    <mergeCell ref="D48:E48"/>
    <mergeCell ref="A50:B50"/>
    <mergeCell ref="D50:E50"/>
    <mergeCell ref="D44:E44"/>
    <mergeCell ref="D47:E47"/>
    <mergeCell ref="D49:E49"/>
    <mergeCell ref="A64:B64"/>
    <mergeCell ref="D64:E64"/>
    <mergeCell ref="A52:E52"/>
    <mergeCell ref="D53:E53"/>
    <mergeCell ref="D55:E55"/>
    <mergeCell ref="D56:E56"/>
    <mergeCell ref="A57:B57"/>
    <mergeCell ref="D57:E57"/>
    <mergeCell ref="A58:E58"/>
    <mergeCell ref="A59:E59"/>
    <mergeCell ref="D60:E60"/>
    <mergeCell ref="D61:E61"/>
    <mergeCell ref="D62:E62"/>
    <mergeCell ref="A79:E79"/>
    <mergeCell ref="D76:E76"/>
    <mergeCell ref="D77:E77"/>
    <mergeCell ref="A65:E65"/>
    <mergeCell ref="A66:E66"/>
    <mergeCell ref="D68:E68"/>
    <mergeCell ref="D69:E69"/>
    <mergeCell ref="D71:E71"/>
    <mergeCell ref="A72:B72"/>
    <mergeCell ref="D72:E72"/>
    <mergeCell ref="A82:E82"/>
    <mergeCell ref="A80:B80"/>
    <mergeCell ref="D80:E80"/>
    <mergeCell ref="A81:E81"/>
    <mergeCell ref="D26:E26"/>
    <mergeCell ref="D35:E35"/>
    <mergeCell ref="D37:E37"/>
    <mergeCell ref="D54:E54"/>
    <mergeCell ref="D63:E63"/>
    <mergeCell ref="D67:E67"/>
    <mergeCell ref="D70:E70"/>
    <mergeCell ref="A73:E73"/>
    <mergeCell ref="A74:E74"/>
    <mergeCell ref="D75:E75"/>
    <mergeCell ref="A78:B78"/>
    <mergeCell ref="D78:E78"/>
  </mergeCells>
  <printOptions horizontalCentered="1"/>
  <pageMargins left="0.19685039370078741" right="0.19685039370078741" top="0.70866141732283472" bottom="0.39370078740157483" header="0.31496062992125984" footer="0.31496062992125984"/>
  <pageSetup paperSize="9" scale="69" fitToHeight="0" orientation="portrait" r:id="rId1"/>
  <headerFooter>
    <oddHeader>&amp;C
&amp;G</oddHeader>
  </headerFooter>
  <rowBreaks count="2" manualBreakCount="2">
    <brk id="18" max="16383" man="1"/>
    <brk id="58" max="16383" man="1"/>
  </rowBreaks>
  <colBreaks count="1" manualBreakCount="1">
    <brk id="5" max="1048575" man="1"/>
  </colBreaks>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I69"/>
  <sheetViews>
    <sheetView view="pageBreakPreview" topLeftCell="A52" zoomScaleNormal="100" zoomScaleSheetLayoutView="100" workbookViewId="0">
      <selection activeCell="A65" sqref="A65:C67"/>
    </sheetView>
  </sheetViews>
  <sheetFormatPr defaultRowHeight="15" x14ac:dyDescent="0.25"/>
  <cols>
    <col min="1" max="1" width="4" style="7" bestFit="1" customWidth="1"/>
    <col min="2" max="2" width="46" bestFit="1" customWidth="1"/>
    <col min="3" max="3" width="10.5703125" style="7" bestFit="1" customWidth="1"/>
    <col min="4" max="4" width="15.28515625" style="7" bestFit="1" customWidth="1"/>
    <col min="5" max="5" width="17.42578125" style="7" bestFit="1" customWidth="1"/>
    <col min="6" max="6" width="1.5703125" customWidth="1"/>
    <col min="7" max="7" width="20.28515625" bestFit="1" customWidth="1"/>
    <col min="9" max="9" width="14.42578125" bestFit="1" customWidth="1"/>
  </cols>
  <sheetData>
    <row r="5" spans="1:9" s="1" customFormat="1" ht="60" x14ac:dyDescent="0.25">
      <c r="A5" s="27" t="s">
        <v>163</v>
      </c>
      <c r="B5" s="27" t="s">
        <v>108</v>
      </c>
      <c r="C5" s="28" t="s">
        <v>130</v>
      </c>
      <c r="D5" s="28" t="s">
        <v>160</v>
      </c>
      <c r="E5" s="28" t="s">
        <v>159</v>
      </c>
      <c r="G5" s="25" t="s">
        <v>153</v>
      </c>
      <c r="H5" s="25" t="s">
        <v>154</v>
      </c>
      <c r="I5" s="26" t="s">
        <v>138</v>
      </c>
    </row>
    <row r="6" spans="1:9" x14ac:dyDescent="0.25">
      <c r="A6" s="19">
        <v>1</v>
      </c>
      <c r="B6" s="11" t="s">
        <v>131</v>
      </c>
      <c r="C6" s="19">
        <v>100</v>
      </c>
      <c r="D6" s="19">
        <f>SUM('Autonomous 107m'!M3:M8)</f>
        <v>270</v>
      </c>
      <c r="E6" s="32">
        <f>D6/C6</f>
        <v>2.7</v>
      </c>
      <c r="G6" s="21" t="s">
        <v>139</v>
      </c>
      <c r="H6" s="21" t="s">
        <v>140</v>
      </c>
      <c r="I6" s="21" t="s">
        <v>141</v>
      </c>
    </row>
    <row r="7" spans="1:9" x14ac:dyDescent="0.25">
      <c r="A7" s="19">
        <v>2</v>
      </c>
      <c r="B7" s="20" t="s">
        <v>132</v>
      </c>
      <c r="C7" s="19">
        <v>350</v>
      </c>
      <c r="D7" s="19">
        <f>SUM('Autonomous 107m'!M9:M18)</f>
        <v>130</v>
      </c>
      <c r="E7" s="32">
        <f t="shared" ref="E7:E12" si="0">D7/C7</f>
        <v>0.37142857142857144</v>
      </c>
      <c r="G7" s="21" t="s">
        <v>142</v>
      </c>
      <c r="H7" s="21" t="s">
        <v>149</v>
      </c>
      <c r="I7" s="21" t="s">
        <v>141</v>
      </c>
    </row>
    <row r="8" spans="1:9" x14ac:dyDescent="0.25">
      <c r="A8" s="19">
        <v>3</v>
      </c>
      <c r="B8" s="20" t="s">
        <v>133</v>
      </c>
      <c r="C8" s="19">
        <v>110</v>
      </c>
      <c r="D8" s="19">
        <f>SUM('Autonomous 107m'!M19:M27)</f>
        <v>80</v>
      </c>
      <c r="E8" s="32">
        <f t="shared" si="0"/>
        <v>0.72727272727272729</v>
      </c>
      <c r="G8" s="21" t="s">
        <v>143</v>
      </c>
      <c r="H8" s="21" t="s">
        <v>125</v>
      </c>
      <c r="I8" s="21" t="s">
        <v>141</v>
      </c>
    </row>
    <row r="9" spans="1:9" x14ac:dyDescent="0.25">
      <c r="A9" s="19">
        <v>4</v>
      </c>
      <c r="B9" s="20" t="s">
        <v>134</v>
      </c>
      <c r="C9" s="19">
        <v>100</v>
      </c>
      <c r="D9" s="19">
        <f>SUM('Autonomous 107m'!M28:M33)</f>
        <v>80</v>
      </c>
      <c r="E9" s="32">
        <f t="shared" si="0"/>
        <v>0.8</v>
      </c>
      <c r="G9" s="21" t="s">
        <v>144</v>
      </c>
      <c r="H9" s="21" t="s">
        <v>150</v>
      </c>
      <c r="I9" s="21" t="s">
        <v>141</v>
      </c>
    </row>
    <row r="10" spans="1:9" x14ac:dyDescent="0.25">
      <c r="A10" s="19">
        <v>5</v>
      </c>
      <c r="B10" s="20" t="s">
        <v>135</v>
      </c>
      <c r="C10" s="19">
        <v>140</v>
      </c>
      <c r="D10" s="19">
        <f>SUM('Autonomous 107m'!M34:M42)</f>
        <v>34</v>
      </c>
      <c r="E10" s="32">
        <f t="shared" si="0"/>
        <v>0.24285714285714285</v>
      </c>
      <c r="G10" s="21" t="s">
        <v>145</v>
      </c>
      <c r="H10" s="21" t="s">
        <v>151</v>
      </c>
      <c r="I10" s="21" t="s">
        <v>141</v>
      </c>
    </row>
    <row r="11" spans="1:9" x14ac:dyDescent="0.25">
      <c r="A11" s="19">
        <v>6</v>
      </c>
      <c r="B11" s="20" t="s">
        <v>136</v>
      </c>
      <c r="C11" s="19">
        <v>100</v>
      </c>
      <c r="D11" s="19">
        <f>SUM('Autonomous 107m'!M43:M51)</f>
        <v>60</v>
      </c>
      <c r="E11" s="32">
        <f t="shared" si="0"/>
        <v>0.6</v>
      </c>
      <c r="G11" s="21" t="s">
        <v>146</v>
      </c>
      <c r="H11" s="21" t="s">
        <v>126</v>
      </c>
      <c r="I11" s="21" t="s">
        <v>141</v>
      </c>
    </row>
    <row r="12" spans="1:9" x14ac:dyDescent="0.25">
      <c r="A12" s="19">
        <v>7</v>
      </c>
      <c r="B12" s="20" t="s">
        <v>137</v>
      </c>
      <c r="C12" s="19">
        <v>100</v>
      </c>
      <c r="D12" s="19">
        <f>SUM('Autonomous 107m'!M52:M57)</f>
        <v>20</v>
      </c>
      <c r="E12" s="32">
        <f t="shared" si="0"/>
        <v>0.2</v>
      </c>
      <c r="G12" s="21" t="s">
        <v>148</v>
      </c>
      <c r="H12" s="21" t="s">
        <v>128</v>
      </c>
      <c r="I12" s="21" t="s">
        <v>141</v>
      </c>
    </row>
    <row r="13" spans="1:9" ht="15.75" thickBot="1" x14ac:dyDescent="0.3">
      <c r="C13" s="21">
        <f>SUM(C6:C12)</f>
        <v>1000</v>
      </c>
      <c r="D13" s="33">
        <f>SUM(D6:D12)</f>
        <v>674</v>
      </c>
      <c r="E13" s="34">
        <f>D13/C13</f>
        <v>0.67400000000000004</v>
      </c>
      <c r="G13" s="21" t="s">
        <v>147</v>
      </c>
      <c r="H13" s="21" t="s">
        <v>127</v>
      </c>
      <c r="I13" s="21" t="s">
        <v>152</v>
      </c>
    </row>
    <row r="14" spans="1:9" ht="15.75" thickBot="1" x14ac:dyDescent="0.3">
      <c r="D14" s="35" t="s">
        <v>110</v>
      </c>
      <c r="E14" s="36" t="str">
        <f>IF(AND($E$13&lt;=4,$E$13&gt;=3.51),"A++",IF(AND($E$13&lt;=3.5,$E$13&gt;=3.26),"A+",IF(AND($E$13&lt;=3.25,$E$13&gt;3.01),"A",IF(AND($E$13&lt;=3,$E$13&gt;=2.76),"B++",IF(AND($E$13&lt;=2.75,$E$13&gt;=2.51),"B+",IF(AND($E$13&lt;=2.5,$E$13&gt;=2.01),"B",IF(AND($E$13&lt;=2,$E$13&gt;=1.51),"C","D")))))))</f>
        <v>D</v>
      </c>
    </row>
    <row r="15" spans="1:9" x14ac:dyDescent="0.25">
      <c r="D15" s="30"/>
      <c r="E15" s="29"/>
    </row>
    <row r="16" spans="1:9" s="1" customFormat="1" ht="75" x14ac:dyDescent="0.25">
      <c r="A16" s="27" t="s">
        <v>163</v>
      </c>
      <c r="B16" s="27" t="s">
        <v>155</v>
      </c>
      <c r="C16" s="28" t="s">
        <v>156</v>
      </c>
      <c r="D16" s="28" t="s">
        <v>157</v>
      </c>
      <c r="E16" s="28" t="s">
        <v>158</v>
      </c>
    </row>
    <row r="17" spans="1:5" s="1" customFormat="1" x14ac:dyDescent="0.25">
      <c r="A17" s="222" t="s">
        <v>161</v>
      </c>
      <c r="B17" s="222"/>
      <c r="C17" s="222"/>
      <c r="D17" s="222"/>
      <c r="E17" s="222"/>
    </row>
    <row r="18" spans="1:5" x14ac:dyDescent="0.25">
      <c r="A18" s="19">
        <v>1.1000000000000001</v>
      </c>
      <c r="B18" s="11" t="s">
        <v>209</v>
      </c>
      <c r="C18" s="21">
        <v>20</v>
      </c>
      <c r="D18" s="218">
        <f>SUM('Autonomous 107m'!L3)</f>
        <v>0</v>
      </c>
      <c r="E18" s="219"/>
    </row>
    <row r="19" spans="1:5" x14ac:dyDescent="0.25">
      <c r="A19" s="19">
        <v>1.2</v>
      </c>
      <c r="B19" s="11" t="s">
        <v>210</v>
      </c>
      <c r="C19" s="21">
        <v>30</v>
      </c>
      <c r="D19" s="218">
        <f>SUM('Autonomous 107m'!L4:L5)</f>
        <v>120</v>
      </c>
      <c r="E19" s="219"/>
    </row>
    <row r="20" spans="1:5" x14ac:dyDescent="0.25">
      <c r="A20" s="19">
        <v>1.3</v>
      </c>
      <c r="B20" s="11" t="s">
        <v>62</v>
      </c>
      <c r="C20" s="21">
        <v>30</v>
      </c>
      <c r="D20" s="218">
        <f>SUM('Autonomous 107m'!L6:L7)</f>
        <v>100</v>
      </c>
      <c r="E20" s="219"/>
    </row>
    <row r="21" spans="1:5" x14ac:dyDescent="0.25">
      <c r="A21" s="19">
        <v>1.4</v>
      </c>
      <c r="B21" s="11" t="s">
        <v>63</v>
      </c>
      <c r="C21" s="21">
        <v>20</v>
      </c>
      <c r="D21" s="218">
        <f>SUM('Autonomous 107m'!L8)</f>
        <v>0</v>
      </c>
      <c r="E21" s="219"/>
    </row>
    <row r="22" spans="1:5" ht="15.75" thickBot="1" x14ac:dyDescent="0.3">
      <c r="C22" s="21">
        <f>SUM(C18:C21)</f>
        <v>100</v>
      </c>
      <c r="D22" s="220">
        <f>SUM(D18:D21)</f>
        <v>220</v>
      </c>
      <c r="E22" s="221"/>
    </row>
    <row r="23" spans="1:5" ht="15.75" thickBot="1" x14ac:dyDescent="0.3">
      <c r="D23" s="35" t="s">
        <v>110</v>
      </c>
      <c r="E23" s="36" t="s">
        <v>211</v>
      </c>
    </row>
    <row r="24" spans="1:5" x14ac:dyDescent="0.25">
      <c r="A24" s="222" t="s">
        <v>162</v>
      </c>
      <c r="B24" s="222"/>
      <c r="C24" s="222"/>
      <c r="D24" s="222"/>
      <c r="E24" s="222"/>
    </row>
    <row r="25" spans="1:5" x14ac:dyDescent="0.25">
      <c r="A25" s="21">
        <v>2.1</v>
      </c>
      <c r="B25" s="11" t="s">
        <v>168</v>
      </c>
      <c r="C25" s="21">
        <v>40</v>
      </c>
      <c r="D25" s="218">
        <f>SUM('Autonomous 107m'!L9:L10)</f>
        <v>50</v>
      </c>
      <c r="E25" s="219"/>
    </row>
    <row r="26" spans="1:5" x14ac:dyDescent="0.25">
      <c r="A26" s="21">
        <v>2.2000000000000002</v>
      </c>
      <c r="B26" s="11" t="s">
        <v>169</v>
      </c>
      <c r="C26" s="21">
        <v>40</v>
      </c>
      <c r="D26" s="218">
        <f>SUM('Autonomous 107m'!L11)</f>
        <v>0</v>
      </c>
      <c r="E26" s="219"/>
    </row>
    <row r="27" spans="1:5" x14ac:dyDescent="0.25">
      <c r="A27" s="21">
        <v>2.2999999999999998</v>
      </c>
      <c r="B27" s="11" t="s">
        <v>170</v>
      </c>
      <c r="C27" s="21">
        <v>40</v>
      </c>
      <c r="D27" s="218">
        <f>SUM('Autonomous 107m'!L12)</f>
        <v>30</v>
      </c>
      <c r="E27" s="219"/>
    </row>
    <row r="28" spans="1:5" x14ac:dyDescent="0.25">
      <c r="A28" s="21">
        <v>2.4</v>
      </c>
      <c r="B28" s="11" t="s">
        <v>164</v>
      </c>
      <c r="C28" s="21">
        <v>40</v>
      </c>
      <c r="D28" s="218">
        <f>SUM('Autonomous 107m'!L13:L14)</f>
        <v>60</v>
      </c>
      <c r="E28" s="219"/>
    </row>
    <row r="29" spans="1:5" x14ac:dyDescent="0.25">
      <c r="A29" s="21">
        <v>2.5</v>
      </c>
      <c r="B29" s="11" t="s">
        <v>165</v>
      </c>
      <c r="C29" s="21">
        <v>40</v>
      </c>
      <c r="D29" s="218">
        <f>SUM('Autonomous 107m'!L15)</f>
        <v>40</v>
      </c>
      <c r="E29" s="219"/>
    </row>
    <row r="30" spans="1:5" x14ac:dyDescent="0.25">
      <c r="A30" s="21">
        <v>2.6</v>
      </c>
      <c r="B30" s="11" t="s">
        <v>166</v>
      </c>
      <c r="C30" s="21">
        <v>90</v>
      </c>
      <c r="D30" s="218">
        <f>SUM('Autonomous 107m'!L16:L17)</f>
        <v>0</v>
      </c>
      <c r="E30" s="219"/>
    </row>
    <row r="31" spans="1:5" x14ac:dyDescent="0.25">
      <c r="A31" s="21">
        <v>2.7</v>
      </c>
      <c r="B31" s="11" t="s">
        <v>167</v>
      </c>
      <c r="C31" s="21">
        <v>60</v>
      </c>
      <c r="D31" s="218">
        <f>SUM('Autonomous 107m'!L18)</f>
        <v>0</v>
      </c>
      <c r="E31" s="219"/>
    </row>
    <row r="32" spans="1:5" ht="15.75" thickBot="1" x14ac:dyDescent="0.3">
      <c r="C32" s="31">
        <f>SUM(C25:C31)</f>
        <v>350</v>
      </c>
      <c r="D32" s="220">
        <f>SUM(D25:D31)</f>
        <v>180</v>
      </c>
      <c r="E32" s="221"/>
    </row>
    <row r="33" spans="1:5" ht="15.75" thickBot="1" x14ac:dyDescent="0.3">
      <c r="D33" s="35" t="s">
        <v>110</v>
      </c>
      <c r="E33" s="36" t="str">
        <f>IF(AND($E$32&lt;=4,$E$32&gt;=3.51),"A++",IF(AND($E$32&lt;=3.5,$E$32&gt;=3.26),"A+",IF(AND($E$32&lt;=3.25,$E$32&gt;3.01),"A",IF(AND($E$32&lt;=3,$E$32&gt;=2.76),"B++",IF(AND($E$32&lt;=2.75,$E$32&gt;=2.51),"B+",IF(AND($E$32&lt;=2.5,$E$32&gt;=2.01),"B",IF(AND($E$32&lt;=2,$E$32&gt;=1.51),"C","D")))))))</f>
        <v>D</v>
      </c>
    </row>
    <row r="34" spans="1:5" x14ac:dyDescent="0.25">
      <c r="A34" s="222" t="s">
        <v>171</v>
      </c>
      <c r="B34" s="222"/>
      <c r="C34" s="222"/>
      <c r="D34" s="222"/>
      <c r="E34" s="222"/>
    </row>
    <row r="35" spans="1:5" x14ac:dyDescent="0.25">
      <c r="A35" s="21">
        <v>3.1</v>
      </c>
      <c r="B35" s="11" t="s">
        <v>172</v>
      </c>
      <c r="C35" s="21">
        <v>10</v>
      </c>
      <c r="D35" s="218">
        <f>SUM('Autonomous 107m'!L19)</f>
        <v>0</v>
      </c>
      <c r="E35" s="219"/>
    </row>
    <row r="36" spans="1:5" x14ac:dyDescent="0.25">
      <c r="A36" s="21">
        <v>3.2</v>
      </c>
      <c r="B36" s="11" t="s">
        <v>173</v>
      </c>
      <c r="C36" s="21">
        <v>15</v>
      </c>
      <c r="D36" s="218">
        <f>SUM('Autonomous 107m'!L20:L21)</f>
        <v>0</v>
      </c>
      <c r="E36" s="219"/>
    </row>
    <row r="37" spans="1:5" x14ac:dyDescent="0.25">
      <c r="A37" s="21">
        <v>3.3</v>
      </c>
      <c r="B37" s="11" t="s">
        <v>174</v>
      </c>
      <c r="C37" s="21">
        <v>25</v>
      </c>
      <c r="D37" s="218">
        <f>SUM('Autonomous 107m'!L22:L23)</f>
        <v>60</v>
      </c>
      <c r="E37" s="219"/>
    </row>
    <row r="38" spans="1:5" x14ac:dyDescent="0.25">
      <c r="A38" s="21">
        <v>3.4</v>
      </c>
      <c r="B38" s="11" t="s">
        <v>175</v>
      </c>
      <c r="C38" s="21">
        <v>40</v>
      </c>
      <c r="D38" s="218">
        <f>SUM('Autonomous 107m'!L24:L26)</f>
        <v>20</v>
      </c>
      <c r="E38" s="219"/>
    </row>
    <row r="39" spans="1:5" x14ac:dyDescent="0.25">
      <c r="A39" s="21">
        <v>3.5</v>
      </c>
      <c r="B39" s="11" t="s">
        <v>176</v>
      </c>
      <c r="C39" s="21">
        <v>20</v>
      </c>
      <c r="D39" s="218">
        <f>SUM('Autonomous 107m'!L27)</f>
        <v>0</v>
      </c>
      <c r="E39" s="219"/>
    </row>
    <row r="40" spans="1:5" ht="15.75" thickBot="1" x14ac:dyDescent="0.3">
      <c r="C40" s="31">
        <f>SUM(C35:C39)</f>
        <v>110</v>
      </c>
      <c r="D40" s="220">
        <f>SUM(D35:D39)</f>
        <v>80</v>
      </c>
      <c r="E40" s="221"/>
    </row>
    <row r="41" spans="1:5" ht="15.75" thickBot="1" x14ac:dyDescent="0.3">
      <c r="D41" s="35" t="s">
        <v>110</v>
      </c>
      <c r="E41" s="36" t="str">
        <f>IF(AND($E$47&lt;=4,$E$47&gt;=3.51),"A++",IF(AND($E$47&lt;=3.5,$E$47&gt;=3.26),"A+",IF(AND($E$47&lt;=3.25,$E$47&gt;3.01),"A",IF(AND($E$47&lt;=3,$E$47&gt;=2.76),"B++",IF(AND($E$47&lt;=2.75,$E$47&gt;=2.51),"B+",IF(AND($E$47&lt;=2.5,$E$47&gt;=2.01),"B",IF(AND($E$47&lt;=2,$E$47&gt;=1.51),"C","D")))))))</f>
        <v>D</v>
      </c>
    </row>
    <row r="42" spans="1:5" x14ac:dyDescent="0.25">
      <c r="A42" s="222" t="s">
        <v>177</v>
      </c>
      <c r="B42" s="222"/>
      <c r="C42" s="222"/>
      <c r="D42" s="222"/>
      <c r="E42" s="222"/>
    </row>
    <row r="43" spans="1:5" x14ac:dyDescent="0.25">
      <c r="A43" s="21">
        <v>4.0999999999999996</v>
      </c>
      <c r="B43" s="11" t="s">
        <v>178</v>
      </c>
      <c r="C43" s="21">
        <v>30</v>
      </c>
      <c r="D43" s="218">
        <f>SUM('Autonomous 107m'!L28:L29)</f>
        <v>0</v>
      </c>
      <c r="E43" s="219"/>
    </row>
    <row r="44" spans="1:5" x14ac:dyDescent="0.25">
      <c r="A44" s="21">
        <v>4.2</v>
      </c>
      <c r="B44" s="11" t="s">
        <v>179</v>
      </c>
      <c r="C44" s="21">
        <v>20</v>
      </c>
      <c r="D44" s="218">
        <f>SUM('Autonomous 107m'!L30)</f>
        <v>80</v>
      </c>
      <c r="E44" s="219"/>
    </row>
    <row r="45" spans="1:5" x14ac:dyDescent="0.25">
      <c r="A45" s="21">
        <v>4.3</v>
      </c>
      <c r="B45" s="11" t="s">
        <v>180</v>
      </c>
      <c r="C45" s="21">
        <v>30</v>
      </c>
      <c r="D45" s="218">
        <f>SUM('Autonomous 107m'!L31:L32)</f>
        <v>0</v>
      </c>
      <c r="E45" s="219"/>
    </row>
    <row r="46" spans="1:5" x14ac:dyDescent="0.25">
      <c r="A46" s="21">
        <v>4.4000000000000004</v>
      </c>
      <c r="B46" s="11" t="s">
        <v>181</v>
      </c>
      <c r="C46" s="21">
        <v>20</v>
      </c>
      <c r="D46" s="218">
        <f>SUM('Autonomous 107m'!L33)</f>
        <v>0</v>
      </c>
      <c r="E46" s="219"/>
    </row>
    <row r="47" spans="1:5" ht="15.75" thickBot="1" x14ac:dyDescent="0.3">
      <c r="C47" s="31">
        <f>SUM(C43:C46)</f>
        <v>100</v>
      </c>
      <c r="D47" s="220">
        <f>SUM(D43:D46)</f>
        <v>80</v>
      </c>
      <c r="E47" s="221"/>
    </row>
    <row r="48" spans="1:5" ht="15.75" thickBot="1" x14ac:dyDescent="0.3">
      <c r="D48" s="35" t="s">
        <v>110</v>
      </c>
      <c r="E48" s="36" t="str">
        <f>IF(AND($E$47&lt;=4,$E$47&gt;=3.51),"A++",IF(AND($E$47&lt;=3.5,$E$47&gt;=3.26),"A+",IF(AND($E$47&lt;=3.25,$E$47&gt;3.01),"A",IF(AND($E$47&lt;=3,$E$47&gt;=2.76),"B++",IF(AND($E$47&lt;=2.75,$E$47&gt;=2.51),"B+",IF(AND($E$47&lt;=2.5,$E$47&gt;=2.01),"B",IF(AND($E$47&lt;=2,$E$47&gt;=1.51),"C","D")))))))</f>
        <v>D</v>
      </c>
    </row>
    <row r="49" spans="1:5" x14ac:dyDescent="0.25">
      <c r="A49" s="222" t="s">
        <v>182</v>
      </c>
      <c r="B49" s="222"/>
      <c r="C49" s="222"/>
      <c r="D49" s="222"/>
      <c r="E49" s="222"/>
    </row>
    <row r="50" spans="1:5" x14ac:dyDescent="0.25">
      <c r="A50" s="21">
        <v>5.0999999999999996</v>
      </c>
      <c r="B50" s="11" t="s">
        <v>183</v>
      </c>
      <c r="C50" s="21">
        <v>50</v>
      </c>
      <c r="D50" s="218">
        <f>SUM('Autonomous 107m'!L34:L37)</f>
        <v>8</v>
      </c>
      <c r="E50" s="219"/>
    </row>
    <row r="51" spans="1:5" x14ac:dyDescent="0.25">
      <c r="A51" s="21">
        <v>5.2</v>
      </c>
      <c r="B51" s="11" t="s">
        <v>184</v>
      </c>
      <c r="C51" s="21">
        <v>30</v>
      </c>
      <c r="D51" s="218">
        <f>SUM('Autonomous 107m'!L38:L39)</f>
        <v>6</v>
      </c>
      <c r="E51" s="219"/>
    </row>
    <row r="52" spans="1:5" x14ac:dyDescent="0.25">
      <c r="A52" s="21">
        <v>5.3</v>
      </c>
      <c r="B52" s="11" t="s">
        <v>185</v>
      </c>
      <c r="C52" s="21">
        <v>50</v>
      </c>
      <c r="D52" s="218">
        <f>SUM('Autonomous 107m'!L40:L41)</f>
        <v>20</v>
      </c>
      <c r="E52" s="219"/>
    </row>
    <row r="53" spans="1:5" x14ac:dyDescent="0.25">
      <c r="A53" s="21">
        <v>5.4</v>
      </c>
      <c r="B53" s="11" t="s">
        <v>186</v>
      </c>
      <c r="C53" s="21">
        <v>10</v>
      </c>
      <c r="D53" s="218">
        <f>SUM('Autonomous 107m'!L42)</f>
        <v>0</v>
      </c>
      <c r="E53" s="219"/>
    </row>
    <row r="54" spans="1:5" ht="15.75" thickBot="1" x14ac:dyDescent="0.3">
      <c r="C54" s="31">
        <f>SUM(C50:C53)</f>
        <v>140</v>
      </c>
      <c r="D54" s="220">
        <f>SUM(D50:D53)</f>
        <v>34</v>
      </c>
      <c r="E54" s="221"/>
    </row>
    <row r="55" spans="1:5" ht="15.75" thickBot="1" x14ac:dyDescent="0.3">
      <c r="D55" s="35" t="s">
        <v>110</v>
      </c>
      <c r="E55" s="36" t="str">
        <f>IF(AND($E$54&lt;=4,$E$54&gt;=3.51),"A++",IF(AND($E$54&lt;=3.5,$E$54&gt;=3.26),"A+",IF(AND($E$54&lt;=3.25,$E$54&gt;3.01),"A",IF(AND($E$54&lt;=3,$E$54&gt;=2.76),"B++",IF(AND($E$54&lt;=2.75,$E$54&gt;=2.51),"B+",IF(AND($E$54&lt;=2.5,$E$54&gt;=2.01),"B",IF(AND($E$54&lt;=2,$E$54&gt;=1.51),"C","D")))))))</f>
        <v>D</v>
      </c>
    </row>
    <row r="56" spans="1:5" x14ac:dyDescent="0.25">
      <c r="A56" s="222" t="s">
        <v>187</v>
      </c>
      <c r="B56" s="222"/>
      <c r="C56" s="222"/>
      <c r="D56" s="222"/>
      <c r="E56" s="222"/>
    </row>
    <row r="57" spans="1:5" x14ac:dyDescent="0.25">
      <c r="A57" s="21">
        <v>6.1</v>
      </c>
      <c r="B57" s="11" t="s">
        <v>188</v>
      </c>
      <c r="C57" s="21">
        <v>10</v>
      </c>
      <c r="D57" s="218">
        <f>SUM('Autonomous 107m'!L43)</f>
        <v>0</v>
      </c>
      <c r="E57" s="219"/>
    </row>
    <row r="58" spans="1:5" x14ac:dyDescent="0.25">
      <c r="A58" s="21">
        <v>6.2</v>
      </c>
      <c r="B58" s="11" t="s">
        <v>189</v>
      </c>
      <c r="C58" s="21">
        <v>10</v>
      </c>
      <c r="D58" s="218">
        <f>SUM('Autonomous 107m'!L44:L45)</f>
        <v>0</v>
      </c>
      <c r="E58" s="219"/>
    </row>
    <row r="59" spans="1:5" x14ac:dyDescent="0.25">
      <c r="A59" s="21">
        <v>6.3</v>
      </c>
      <c r="B59" s="11" t="s">
        <v>190</v>
      </c>
      <c r="C59" s="21">
        <v>35</v>
      </c>
      <c r="D59" s="218">
        <f>SUM('Autonomous 107m'!L46:L48)</f>
        <v>0</v>
      </c>
      <c r="E59" s="219"/>
    </row>
    <row r="60" spans="1:5" x14ac:dyDescent="0.25">
      <c r="A60" s="21">
        <v>6.4</v>
      </c>
      <c r="B60" s="11" t="s">
        <v>191</v>
      </c>
      <c r="C60" s="21">
        <v>15</v>
      </c>
      <c r="D60" s="218">
        <f>SUM('Autonomous 107m'!L49)</f>
        <v>0</v>
      </c>
      <c r="E60" s="219"/>
    </row>
    <row r="61" spans="1:5" x14ac:dyDescent="0.25">
      <c r="A61" s="21">
        <v>6.5</v>
      </c>
      <c r="B61" s="11" t="s">
        <v>192</v>
      </c>
      <c r="C61" s="21">
        <v>30</v>
      </c>
      <c r="D61" s="218">
        <f>SUM('Autonomous 107m'!L50:L51)</f>
        <v>0</v>
      </c>
      <c r="E61" s="219"/>
    </row>
    <row r="62" spans="1:5" ht="15.75" thickBot="1" x14ac:dyDescent="0.3">
      <c r="C62" s="31">
        <f>SUM(C57:C61)</f>
        <v>100</v>
      </c>
      <c r="D62" s="220">
        <f>SUM(D57:D61)</f>
        <v>0</v>
      </c>
      <c r="E62" s="221"/>
    </row>
    <row r="63" spans="1:5" ht="15.75" thickBot="1" x14ac:dyDescent="0.3">
      <c r="D63" s="35" t="s">
        <v>110</v>
      </c>
      <c r="E63" s="36" t="str">
        <f>IF(AND($E$62&lt;=4,$E$62&gt;=3.51),"A++",IF(AND($E$62&lt;=3.5,$E$62&gt;=3.26),"A+",IF(AND($E$62&lt;=3.25,$E$62&gt;3.01),"A",IF(AND($E$62&lt;=3,$E$62&gt;=2.76),"B++",IF(AND($E$62&lt;=2.75,$E$62&gt;=2.51),"B+",IF(AND($E$62&lt;=2.5,$E$62&gt;=2.01),"B",IF(AND($E$62&lt;=2,$E$62&gt;=1.51),"C","D")))))))</f>
        <v>D</v>
      </c>
    </row>
    <row r="64" spans="1:5" x14ac:dyDescent="0.25">
      <c r="A64" s="222" t="s">
        <v>193</v>
      </c>
      <c r="B64" s="222"/>
      <c r="C64" s="222"/>
      <c r="D64" s="222"/>
      <c r="E64" s="222"/>
    </row>
    <row r="65" spans="1:5" x14ac:dyDescent="0.25">
      <c r="A65" s="21">
        <v>7.1</v>
      </c>
      <c r="B65" s="11" t="s">
        <v>194</v>
      </c>
      <c r="C65" s="21">
        <v>50</v>
      </c>
      <c r="D65" s="218">
        <f>SUM('Autonomous 107m'!L52:L55)</f>
        <v>80</v>
      </c>
      <c r="E65" s="219"/>
    </row>
    <row r="66" spans="1:5" x14ac:dyDescent="0.25">
      <c r="A66" s="21">
        <v>7.2</v>
      </c>
      <c r="B66" s="11" t="s">
        <v>129</v>
      </c>
      <c r="C66" s="21">
        <v>30</v>
      </c>
      <c r="D66" s="218">
        <f>SUM('Autonomous 107m'!L56)</f>
        <v>0</v>
      </c>
      <c r="E66" s="219"/>
    </row>
    <row r="67" spans="1:5" x14ac:dyDescent="0.25">
      <c r="A67" s="21">
        <v>7.3</v>
      </c>
      <c r="B67" s="11" t="s">
        <v>195</v>
      </c>
      <c r="C67" s="21">
        <v>20</v>
      </c>
      <c r="D67" s="218">
        <f>SUM('Autonomous 107m'!L57)</f>
        <v>0</v>
      </c>
      <c r="E67" s="219"/>
    </row>
    <row r="68" spans="1:5" ht="15.75" thickBot="1" x14ac:dyDescent="0.3">
      <c r="C68" s="31">
        <f>SUM(C65:C67)</f>
        <v>100</v>
      </c>
      <c r="D68" s="220">
        <f>SUM(D65:D67)</f>
        <v>80</v>
      </c>
      <c r="E68" s="221"/>
    </row>
    <row r="69" spans="1:5" ht="15.75" thickBot="1" x14ac:dyDescent="0.3">
      <c r="D69" s="35" t="s">
        <v>110</v>
      </c>
      <c r="E69" s="36" t="str">
        <f>IF(AND($E$68&lt;=4,$E$68&gt;=3.51),"A++",IF(AND($E$68&lt;=3.5,$E$68&gt;=3.26),"A+",IF(AND($E$68&lt;=3.25,$E$68&gt;3.01),"A",IF(AND($E$68&lt;=3,$E$68&gt;=2.76),"B++",IF(AND($E$68&lt;=2.75,$E$68&gt;=2.51),"B+",IF(AND($E$68&lt;=2.5,$E$68&gt;=2.01),"B",IF(AND($E$68&lt;=2,$E$68&gt;=1.51),"C","D")))))))</f>
        <v>D</v>
      </c>
    </row>
  </sheetData>
  <mergeCells count="46">
    <mergeCell ref="A17:E17"/>
    <mergeCell ref="A24:E24"/>
    <mergeCell ref="A34:E34"/>
    <mergeCell ref="A42:E42"/>
    <mergeCell ref="D18:E18"/>
    <mergeCell ref="D19:E19"/>
    <mergeCell ref="D20:E20"/>
    <mergeCell ref="D21:E21"/>
    <mergeCell ref="D22:E22"/>
    <mergeCell ref="D25:E25"/>
    <mergeCell ref="D26:E26"/>
    <mergeCell ref="D27:E27"/>
    <mergeCell ref="D28:E28"/>
    <mergeCell ref="D29:E29"/>
    <mergeCell ref="D30:E30"/>
    <mergeCell ref="D31:E31"/>
    <mergeCell ref="D32:E32"/>
    <mergeCell ref="D35:E35"/>
    <mergeCell ref="D36:E36"/>
    <mergeCell ref="D37:E37"/>
    <mergeCell ref="D38:E38"/>
    <mergeCell ref="D39:E39"/>
    <mergeCell ref="D40:E40"/>
    <mergeCell ref="D43:E43"/>
    <mergeCell ref="D44:E44"/>
    <mergeCell ref="D45:E45"/>
    <mergeCell ref="D46:E46"/>
    <mergeCell ref="D47:E47"/>
    <mergeCell ref="D50:E50"/>
    <mergeCell ref="A49:E49"/>
    <mergeCell ref="D51:E51"/>
    <mergeCell ref="D52:E52"/>
    <mergeCell ref="D53:E53"/>
    <mergeCell ref="D54:E54"/>
    <mergeCell ref="D57:E57"/>
    <mergeCell ref="A56:E56"/>
    <mergeCell ref="D58:E58"/>
    <mergeCell ref="D59:E59"/>
    <mergeCell ref="D60:E60"/>
    <mergeCell ref="D61:E61"/>
    <mergeCell ref="D62:E62"/>
    <mergeCell ref="D65:E65"/>
    <mergeCell ref="D66:E66"/>
    <mergeCell ref="D67:E67"/>
    <mergeCell ref="D68:E68"/>
    <mergeCell ref="A64:E64"/>
  </mergeCells>
  <pageMargins left="0.70866141732283472" right="0.70866141732283472" top="0.74803149606299213" bottom="0.74803149606299213" header="0.31496062992125984" footer="0.31496062992125984"/>
  <pageSetup scale="96" orientation="portrait" verticalDpi="0" r:id="rId1"/>
  <rowBreaks count="2" manualBreakCount="2">
    <brk id="15" max="16383" man="1"/>
    <brk id="55" max="16383" man="1"/>
  </rowBreaks>
  <colBreaks count="1" manualBreakCount="1">
    <brk id="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3"/>
  <sheetViews>
    <sheetView topLeftCell="A113" zoomScaleNormal="100" workbookViewId="0">
      <selection activeCell="I118" sqref="I118"/>
    </sheetView>
  </sheetViews>
  <sheetFormatPr defaultRowHeight="15" x14ac:dyDescent="0.25"/>
  <cols>
    <col min="1" max="1" width="3.5703125" style="1" bestFit="1" customWidth="1"/>
    <col min="2" max="3" width="16.28515625" style="6" hidden="1" customWidth="1"/>
    <col min="4" max="5" width="6.7109375" bestFit="1" customWidth="1"/>
    <col min="6" max="6" width="57.7109375" style="96" customWidth="1"/>
    <col min="7" max="7" width="17" customWidth="1"/>
    <col min="8" max="8" width="3.5703125" bestFit="1" customWidth="1"/>
    <col min="9" max="9" width="4.42578125" bestFit="1" customWidth="1"/>
    <col min="10" max="10" width="10.85546875" style="40" bestFit="1" customWidth="1"/>
    <col min="11" max="11" width="8.85546875" style="1" bestFit="1" customWidth="1"/>
    <col min="12" max="12" width="9.28515625" style="1" bestFit="1" customWidth="1"/>
    <col min="13" max="13" width="7.7109375" style="1" customWidth="1"/>
    <col min="14" max="14" width="9.28515625" style="40" customWidth="1"/>
    <col min="15" max="15" width="8.42578125" style="1" customWidth="1"/>
    <col min="16" max="16" width="8" style="40" customWidth="1"/>
  </cols>
  <sheetData>
    <row r="1" spans="1:16" x14ac:dyDescent="0.25">
      <c r="J1" s="40" t="s">
        <v>109</v>
      </c>
      <c r="K1" s="1" t="s">
        <v>443</v>
      </c>
    </row>
    <row r="2" spans="1:16" s="1" customFormat="1" ht="66" x14ac:dyDescent="0.25">
      <c r="A2" s="12" t="s">
        <v>1</v>
      </c>
      <c r="B2" s="12" t="s">
        <v>112</v>
      </c>
      <c r="C2" s="12" t="s">
        <v>114</v>
      </c>
      <c r="D2" s="12" t="s">
        <v>113</v>
      </c>
      <c r="E2" s="12" t="s">
        <v>115</v>
      </c>
      <c r="F2" s="134" t="s">
        <v>124</v>
      </c>
      <c r="G2" s="12" t="s">
        <v>122</v>
      </c>
      <c r="H2" s="12" t="s">
        <v>123</v>
      </c>
      <c r="I2" s="12" t="s">
        <v>111</v>
      </c>
      <c r="J2" s="48" t="s">
        <v>213</v>
      </c>
      <c r="K2" s="16" t="s">
        <v>121</v>
      </c>
      <c r="L2" s="17" t="s">
        <v>120</v>
      </c>
      <c r="M2" s="16" t="s">
        <v>116</v>
      </c>
      <c r="N2" s="18" t="s">
        <v>117</v>
      </c>
      <c r="O2" s="16" t="s">
        <v>119</v>
      </c>
      <c r="P2" s="18" t="s">
        <v>118</v>
      </c>
    </row>
    <row r="3" spans="1:16" ht="15" customHeight="1" x14ac:dyDescent="0.25">
      <c r="A3" s="38">
        <v>1</v>
      </c>
      <c r="B3" s="8" t="s">
        <v>91</v>
      </c>
      <c r="C3" s="8" t="s">
        <v>61</v>
      </c>
      <c r="D3" s="37" t="s">
        <v>59</v>
      </c>
      <c r="E3" s="108" t="s">
        <v>234</v>
      </c>
      <c r="F3" s="123" t="s">
        <v>235</v>
      </c>
      <c r="G3" s="108">
        <v>20</v>
      </c>
      <c r="H3" s="154">
        <v>30</v>
      </c>
      <c r="I3" s="154">
        <v>120</v>
      </c>
      <c r="J3" s="101">
        <f>VLOOKUP(E3,'Autonomous 107m'!$E$3:$J$109,6,0)</f>
        <v>92.86</v>
      </c>
      <c r="K3" s="100">
        <f>IF(J3&gt;80,4,IF(AND(J3&lt;=80,J3&gt;60),3,IF(AND(J3&lt;=60,J3&gt;40),2,IF(AND(J3&lt;=40,J3&gt;20),1,IF(J3&lt;=20,0)))))</f>
        <v>4</v>
      </c>
      <c r="L3" s="100">
        <f t="shared" ref="L3:L36" si="0">K3*G3</f>
        <v>80</v>
      </c>
      <c r="M3" s="228">
        <v>120</v>
      </c>
      <c r="N3" s="231">
        <f>M3/H3</f>
        <v>4</v>
      </c>
      <c r="O3" s="227">
        <f>SUM(M3:M11)</f>
        <v>410</v>
      </c>
      <c r="P3" s="226">
        <f>O3/I3</f>
        <v>3.4166666666666665</v>
      </c>
    </row>
    <row r="4" spans="1:16" ht="15" customHeight="1" x14ac:dyDescent="0.25">
      <c r="A4" s="38">
        <v>2</v>
      </c>
      <c r="B4" s="8" t="s">
        <v>91</v>
      </c>
      <c r="C4" s="8" t="s">
        <v>61</v>
      </c>
      <c r="D4" s="37" t="s">
        <v>59</v>
      </c>
      <c r="E4" s="108" t="s">
        <v>236</v>
      </c>
      <c r="F4" s="123" t="s">
        <v>237</v>
      </c>
      <c r="G4" s="108">
        <v>10</v>
      </c>
      <c r="H4" s="154"/>
      <c r="I4" s="154"/>
      <c r="J4" s="101">
        <f>VLOOKUP(E4,'Autonomous 107m'!$E$3:$J$109,6,0)</f>
        <v>84.19</v>
      </c>
      <c r="K4" s="100">
        <f t="shared" ref="K4:K67" si="1">IF(J4&gt;80,4,IF(AND(J4&lt;=80,J4&gt;60),3,IF(AND(J4&lt;=60,J4&gt;40),2,IF(AND(J4&lt;=40,J4&gt;20),1,IF(J4&lt;=20,0)))))</f>
        <v>4</v>
      </c>
      <c r="L4" s="100">
        <f t="shared" si="0"/>
        <v>40</v>
      </c>
      <c r="M4" s="230"/>
      <c r="N4" s="231"/>
      <c r="O4" s="227"/>
      <c r="P4" s="226"/>
    </row>
    <row r="5" spans="1:16" ht="15" customHeight="1" x14ac:dyDescent="0.25">
      <c r="A5" s="100">
        <v>3</v>
      </c>
      <c r="B5" s="8" t="s">
        <v>91</v>
      </c>
      <c r="C5" s="8" t="s">
        <v>62</v>
      </c>
      <c r="D5" s="37" t="s">
        <v>59</v>
      </c>
      <c r="E5" s="108" t="s">
        <v>4</v>
      </c>
      <c r="F5" s="123" t="s">
        <v>238</v>
      </c>
      <c r="G5" s="108">
        <v>20</v>
      </c>
      <c r="H5" s="154">
        <v>40</v>
      </c>
      <c r="I5" s="154"/>
      <c r="J5" s="101">
        <f>VLOOKUP(E5,'Autonomous 107m'!$E$3:$J$109,6,0)</f>
        <v>38.71</v>
      </c>
      <c r="K5" s="100">
        <f t="shared" si="1"/>
        <v>1</v>
      </c>
      <c r="L5" s="100">
        <f t="shared" si="0"/>
        <v>20</v>
      </c>
      <c r="M5" s="228">
        <v>160</v>
      </c>
      <c r="N5" s="231">
        <f>M5/H5</f>
        <v>4</v>
      </c>
      <c r="O5" s="227"/>
      <c r="P5" s="226"/>
    </row>
    <row r="6" spans="1:16" ht="15" customHeight="1" x14ac:dyDescent="0.25">
      <c r="A6" s="100">
        <v>4</v>
      </c>
      <c r="B6" s="8" t="s">
        <v>91</v>
      </c>
      <c r="C6" s="8" t="s">
        <v>63</v>
      </c>
      <c r="D6" s="37" t="s">
        <v>59</v>
      </c>
      <c r="E6" s="108" t="s">
        <v>5</v>
      </c>
      <c r="F6" s="123" t="s">
        <v>239</v>
      </c>
      <c r="G6" s="108">
        <v>20</v>
      </c>
      <c r="H6" s="154"/>
      <c r="I6" s="154"/>
      <c r="J6" s="101">
        <f>VLOOKUP(E6,'Autonomous 107m'!$E$3:$J$109,6,0)</f>
        <v>81.25</v>
      </c>
      <c r="K6" s="100">
        <f t="shared" si="1"/>
        <v>4</v>
      </c>
      <c r="L6" s="100">
        <f t="shared" si="0"/>
        <v>80</v>
      </c>
      <c r="M6" s="230"/>
      <c r="N6" s="231"/>
      <c r="O6" s="227"/>
      <c r="P6" s="226"/>
    </row>
    <row r="7" spans="1:16" ht="15" customHeight="1" x14ac:dyDescent="0.25">
      <c r="A7" s="100">
        <v>5</v>
      </c>
      <c r="B7" s="8" t="s">
        <v>92</v>
      </c>
      <c r="C7" s="8" t="s">
        <v>64</v>
      </c>
      <c r="D7" s="37" t="s">
        <v>59</v>
      </c>
      <c r="E7" s="108" t="s">
        <v>7</v>
      </c>
      <c r="F7" s="123" t="s">
        <v>241</v>
      </c>
      <c r="G7" s="108">
        <v>10</v>
      </c>
      <c r="H7" s="154">
        <v>30</v>
      </c>
      <c r="I7" s="154"/>
      <c r="J7" s="101">
        <f>VLOOKUP(E7,'Autonomous 107m'!$E$3:$J$109,6,0)</f>
        <v>87</v>
      </c>
      <c r="K7" s="100">
        <f t="shared" si="1"/>
        <v>4</v>
      </c>
      <c r="L7" s="100">
        <f t="shared" si="0"/>
        <v>40</v>
      </c>
      <c r="M7" s="228">
        <v>80</v>
      </c>
      <c r="N7" s="231">
        <f>M7/H7</f>
        <v>2.6666666666666665</v>
      </c>
      <c r="O7" s="227"/>
      <c r="P7" s="226"/>
    </row>
    <row r="8" spans="1:16" ht="15" customHeight="1" x14ac:dyDescent="0.25">
      <c r="A8" s="100">
        <v>6</v>
      </c>
      <c r="B8" s="8" t="s">
        <v>92</v>
      </c>
      <c r="C8" s="8" t="s">
        <v>64</v>
      </c>
      <c r="D8" s="37" t="s">
        <v>59</v>
      </c>
      <c r="E8" s="108" t="s">
        <v>242</v>
      </c>
      <c r="F8" s="123" t="s">
        <v>243</v>
      </c>
      <c r="G8" s="108">
        <v>10</v>
      </c>
      <c r="H8" s="154"/>
      <c r="I8" s="154"/>
      <c r="J8" s="101">
        <f>VLOOKUP(E8,'Autonomous 107m'!$E$3:$J$109,6,0)</f>
        <v>32.64</v>
      </c>
      <c r="K8" s="100">
        <f t="shared" si="1"/>
        <v>1</v>
      </c>
      <c r="L8" s="100">
        <f t="shared" si="0"/>
        <v>10</v>
      </c>
      <c r="M8" s="229"/>
      <c r="N8" s="231"/>
      <c r="O8" s="227"/>
      <c r="P8" s="226"/>
    </row>
    <row r="9" spans="1:16" ht="15" customHeight="1" x14ac:dyDescent="0.25">
      <c r="A9" s="100">
        <v>7</v>
      </c>
      <c r="B9" s="8" t="s">
        <v>92</v>
      </c>
      <c r="C9" s="8" t="s">
        <v>65</v>
      </c>
      <c r="D9" s="37" t="s">
        <v>59</v>
      </c>
      <c r="E9" s="108" t="s">
        <v>244</v>
      </c>
      <c r="F9" s="123" t="s">
        <v>245</v>
      </c>
      <c r="G9" s="108">
        <v>10</v>
      </c>
      <c r="H9" s="154"/>
      <c r="I9" s="154"/>
      <c r="J9" s="101">
        <f>VLOOKUP(E9,'Autonomous 107m'!$E$3:$J$109,6,0)</f>
        <v>61.81</v>
      </c>
      <c r="K9" s="100">
        <f t="shared" si="1"/>
        <v>3</v>
      </c>
      <c r="L9" s="100">
        <f t="shared" si="0"/>
        <v>30</v>
      </c>
      <c r="M9" s="230"/>
      <c r="N9" s="231"/>
      <c r="O9" s="227"/>
      <c r="P9" s="226"/>
    </row>
    <row r="10" spans="1:16" ht="15" customHeight="1" x14ac:dyDescent="0.25">
      <c r="A10" s="100">
        <v>8</v>
      </c>
      <c r="B10" s="8" t="s">
        <v>92</v>
      </c>
      <c r="C10" s="8" t="s">
        <v>66</v>
      </c>
      <c r="D10" s="37" t="s">
        <v>59</v>
      </c>
      <c r="E10" s="108" t="s">
        <v>8</v>
      </c>
      <c r="F10" s="123" t="s">
        <v>246</v>
      </c>
      <c r="G10" s="108">
        <v>10</v>
      </c>
      <c r="H10" s="154">
        <v>20</v>
      </c>
      <c r="I10" s="154"/>
      <c r="J10" s="101" t="str">
        <f>VLOOKUP(E10,'Autonomous 107m'!$E$3:$J$109,6,0)</f>
        <v>B</v>
      </c>
      <c r="K10" s="100">
        <f>IF(EXACT(J10,"A"),4,IF(EXACT(J10,"B"),3,IF(EXACT(J10,"C"),2,IF(EXACT(J10,"D"),1,0))))</f>
        <v>3</v>
      </c>
      <c r="L10" s="100">
        <f t="shared" si="0"/>
        <v>30</v>
      </c>
      <c r="M10" s="228">
        <v>50</v>
      </c>
      <c r="N10" s="231">
        <f>M10/H10</f>
        <v>2.5</v>
      </c>
      <c r="O10" s="227"/>
      <c r="P10" s="226"/>
    </row>
    <row r="11" spans="1:16" ht="15" customHeight="1" x14ac:dyDescent="0.25">
      <c r="A11" s="100">
        <v>9</v>
      </c>
      <c r="B11" s="8" t="s">
        <v>92</v>
      </c>
      <c r="C11" s="8" t="s">
        <v>66</v>
      </c>
      <c r="D11" s="37" t="s">
        <v>59</v>
      </c>
      <c r="E11" s="108" t="s">
        <v>247</v>
      </c>
      <c r="F11" s="123" t="s">
        <v>447</v>
      </c>
      <c r="G11" s="108">
        <v>10</v>
      </c>
      <c r="H11" s="154"/>
      <c r="I11" s="154"/>
      <c r="J11" s="101" t="str">
        <f>VLOOKUP(E11,'Autonomous 107m'!$E$3:$J$109,6,0)</f>
        <v>C</v>
      </c>
      <c r="K11" s="100">
        <f>IF(EXACT(J11,"A"),4,IF(EXACT(J11,"B"),3,IF(EXACT(J11,"C"),2,IF(EXACT(J11,"D"),1,0))))</f>
        <v>2</v>
      </c>
      <c r="L11" s="100">
        <f t="shared" si="0"/>
        <v>20</v>
      </c>
      <c r="M11" s="230"/>
      <c r="N11" s="231"/>
      <c r="O11" s="227"/>
      <c r="P11" s="226"/>
    </row>
    <row r="12" spans="1:16" ht="15" customHeight="1" x14ac:dyDescent="0.25">
      <c r="A12" s="100">
        <v>10</v>
      </c>
      <c r="B12" s="8" t="s">
        <v>92</v>
      </c>
      <c r="C12" s="8" t="s">
        <v>68</v>
      </c>
      <c r="D12" s="37" t="s">
        <v>59</v>
      </c>
      <c r="E12" s="108" t="s">
        <v>9</v>
      </c>
      <c r="F12" s="123" t="s">
        <v>249</v>
      </c>
      <c r="G12" s="108">
        <v>10</v>
      </c>
      <c r="H12" s="154">
        <v>20</v>
      </c>
      <c r="I12" s="154">
        <v>200</v>
      </c>
      <c r="J12" s="101">
        <f>VLOOKUP(E12,'Autonomous 107m'!$E$3:$J$109,6,0)</f>
        <v>85.42</v>
      </c>
      <c r="K12" s="100">
        <f t="shared" si="1"/>
        <v>4</v>
      </c>
      <c r="L12" s="100">
        <f t="shared" si="0"/>
        <v>40</v>
      </c>
      <c r="M12" s="228">
        <v>80</v>
      </c>
      <c r="N12" s="231">
        <f>M12/H12</f>
        <v>4</v>
      </c>
      <c r="O12" s="227">
        <f>SUM(M12:M22)</f>
        <v>619</v>
      </c>
      <c r="P12" s="226">
        <f>O12/I12</f>
        <v>3.0950000000000002</v>
      </c>
    </row>
    <row r="13" spans="1:16" ht="15" customHeight="1" x14ac:dyDescent="0.25">
      <c r="A13" s="100">
        <v>11</v>
      </c>
      <c r="B13" s="8" t="s">
        <v>92</v>
      </c>
      <c r="C13" s="8" t="s">
        <v>69</v>
      </c>
      <c r="D13" s="37" t="s">
        <v>59</v>
      </c>
      <c r="E13" s="108" t="s">
        <v>10</v>
      </c>
      <c r="F13" s="123" t="s">
        <v>250</v>
      </c>
      <c r="G13" s="108">
        <v>10</v>
      </c>
      <c r="H13" s="154"/>
      <c r="I13" s="154"/>
      <c r="J13" s="101">
        <f>VLOOKUP(E13,'Autonomous 107m'!$E$3:$J$109,6,0)</f>
        <v>97.91</v>
      </c>
      <c r="K13" s="100">
        <f t="shared" si="1"/>
        <v>4</v>
      </c>
      <c r="L13" s="100">
        <f t="shared" si="0"/>
        <v>40</v>
      </c>
      <c r="M13" s="230"/>
      <c r="N13" s="231"/>
      <c r="O13" s="227"/>
      <c r="P13" s="226"/>
    </row>
    <row r="14" spans="1:16" ht="15" customHeight="1" x14ac:dyDescent="0.25">
      <c r="A14" s="100">
        <v>12</v>
      </c>
      <c r="B14" s="8" t="s">
        <v>93</v>
      </c>
      <c r="C14" s="8" t="s">
        <v>70</v>
      </c>
      <c r="D14" s="37" t="s">
        <v>59</v>
      </c>
      <c r="E14" s="108" t="s">
        <v>252</v>
      </c>
      <c r="F14" s="123" t="s">
        <v>253</v>
      </c>
      <c r="G14" s="108">
        <v>15</v>
      </c>
      <c r="H14" s="108">
        <v>15</v>
      </c>
      <c r="I14" s="154"/>
      <c r="J14" s="101">
        <f>VLOOKUP(E14,'Autonomous 107m'!$E$3:$J$109,6,0)</f>
        <v>16.13</v>
      </c>
      <c r="K14" s="100">
        <f t="shared" si="1"/>
        <v>0</v>
      </c>
      <c r="L14" s="100">
        <f t="shared" si="0"/>
        <v>0</v>
      </c>
      <c r="M14" s="108">
        <v>45</v>
      </c>
      <c r="N14" s="124">
        <f>M14/H14</f>
        <v>3</v>
      </c>
      <c r="O14" s="227"/>
      <c r="P14" s="226"/>
    </row>
    <row r="15" spans="1:16" ht="15" customHeight="1" x14ac:dyDescent="0.25">
      <c r="A15" s="100">
        <v>13</v>
      </c>
      <c r="B15" s="8" t="s">
        <v>93</v>
      </c>
      <c r="C15" s="8" t="s">
        <v>71</v>
      </c>
      <c r="D15" s="37" t="s">
        <v>59</v>
      </c>
      <c r="E15" s="108" t="s">
        <v>257</v>
      </c>
      <c r="F15" s="123" t="s">
        <v>258</v>
      </c>
      <c r="G15" s="108">
        <v>10</v>
      </c>
      <c r="H15" s="108">
        <v>10</v>
      </c>
      <c r="I15" s="154"/>
      <c r="J15" s="101">
        <f>VLOOKUP(E15,'Autonomous 107m'!$E$3:$J$109,6,0)</f>
        <v>0.79236111111111107</v>
      </c>
      <c r="K15" s="100">
        <f t="shared" si="1"/>
        <v>0</v>
      </c>
      <c r="L15" s="100">
        <f t="shared" si="0"/>
        <v>0</v>
      </c>
      <c r="M15" s="108">
        <v>30</v>
      </c>
      <c r="N15" s="124">
        <f>M15/H15</f>
        <v>3</v>
      </c>
      <c r="O15" s="227"/>
      <c r="P15" s="226"/>
    </row>
    <row r="16" spans="1:16" ht="15" customHeight="1" x14ac:dyDescent="0.25">
      <c r="A16" s="100">
        <v>14</v>
      </c>
      <c r="B16" s="8" t="s">
        <v>93</v>
      </c>
      <c r="C16" s="8" t="s">
        <v>72</v>
      </c>
      <c r="D16" s="37" t="s">
        <v>59</v>
      </c>
      <c r="E16" s="108" t="s">
        <v>13</v>
      </c>
      <c r="F16" s="123" t="s">
        <v>261</v>
      </c>
      <c r="G16" s="108">
        <v>15</v>
      </c>
      <c r="H16" s="154">
        <v>50</v>
      </c>
      <c r="I16" s="154"/>
      <c r="J16" s="101">
        <f>VLOOKUP(E16,'Autonomous 107m'!$E$3:$J$109,6,0)</f>
        <v>99.34</v>
      </c>
      <c r="K16" s="100">
        <f t="shared" si="1"/>
        <v>4</v>
      </c>
      <c r="L16" s="100">
        <f t="shared" si="0"/>
        <v>60</v>
      </c>
      <c r="M16" s="228">
        <v>110</v>
      </c>
      <c r="N16" s="231">
        <f>M16/H16</f>
        <v>2.2000000000000002</v>
      </c>
      <c r="O16" s="227"/>
      <c r="P16" s="226"/>
    </row>
    <row r="17" spans="1:16" ht="15" customHeight="1" x14ac:dyDescent="0.25">
      <c r="A17" s="100">
        <v>15</v>
      </c>
      <c r="B17" s="8" t="s">
        <v>93</v>
      </c>
      <c r="C17" s="8" t="s">
        <v>72</v>
      </c>
      <c r="D17" s="37" t="s">
        <v>59</v>
      </c>
      <c r="E17" s="108" t="s">
        <v>14</v>
      </c>
      <c r="F17" s="123" t="s">
        <v>262</v>
      </c>
      <c r="G17" s="108">
        <v>20</v>
      </c>
      <c r="H17" s="154"/>
      <c r="I17" s="154"/>
      <c r="J17" s="101">
        <f>VLOOKUP(E17,'Autonomous 107m'!$E$3:$J$109,6,0)</f>
        <v>11.09</v>
      </c>
      <c r="K17" s="100">
        <f t="shared" si="1"/>
        <v>0</v>
      </c>
      <c r="L17" s="100">
        <f t="shared" si="0"/>
        <v>0</v>
      </c>
      <c r="M17" s="229"/>
      <c r="N17" s="231"/>
      <c r="O17" s="227"/>
      <c r="P17" s="226"/>
    </row>
    <row r="18" spans="1:16" ht="15" customHeight="1" x14ac:dyDescent="0.25">
      <c r="A18" s="100">
        <v>16</v>
      </c>
      <c r="B18" s="8" t="s">
        <v>93</v>
      </c>
      <c r="C18" s="8" t="s">
        <v>73</v>
      </c>
      <c r="D18" s="37" t="s">
        <v>59</v>
      </c>
      <c r="E18" s="108" t="s">
        <v>263</v>
      </c>
      <c r="F18" s="123" t="s">
        <v>264</v>
      </c>
      <c r="G18" s="108">
        <v>15</v>
      </c>
      <c r="H18" s="154"/>
      <c r="I18" s="154"/>
      <c r="J18" s="101">
        <f>VLOOKUP(E18,'Autonomous 107m'!$E$3:$J$109,6,0)</f>
        <v>5.69</v>
      </c>
      <c r="K18" s="100">
        <f t="shared" si="1"/>
        <v>0</v>
      </c>
      <c r="L18" s="100">
        <f t="shared" si="0"/>
        <v>0</v>
      </c>
      <c r="M18" s="230"/>
      <c r="N18" s="231"/>
      <c r="O18" s="227"/>
      <c r="P18" s="226"/>
    </row>
    <row r="19" spans="1:16" ht="15" customHeight="1" x14ac:dyDescent="0.25">
      <c r="A19" s="100">
        <v>17</v>
      </c>
      <c r="B19" s="8" t="s">
        <v>93</v>
      </c>
      <c r="C19" s="8" t="s">
        <v>74</v>
      </c>
      <c r="D19" s="37" t="s">
        <v>59</v>
      </c>
      <c r="E19" s="108" t="s">
        <v>15</v>
      </c>
      <c r="F19" s="123" t="s">
        <v>265</v>
      </c>
      <c r="G19" s="108">
        <v>20</v>
      </c>
      <c r="H19" s="154">
        <v>35</v>
      </c>
      <c r="I19" s="154"/>
      <c r="J19" s="101">
        <f>VLOOKUP(E19,'Autonomous 107m'!$E$3:$J$109,6,0)</f>
        <v>21</v>
      </c>
      <c r="K19" s="100">
        <f t="shared" si="1"/>
        <v>1</v>
      </c>
      <c r="L19" s="100">
        <f t="shared" si="0"/>
        <v>20</v>
      </c>
      <c r="M19" s="228">
        <v>100</v>
      </c>
      <c r="N19" s="231">
        <f>M19/H19</f>
        <v>2.8571428571428572</v>
      </c>
      <c r="O19" s="227"/>
      <c r="P19" s="226"/>
    </row>
    <row r="20" spans="1:16" ht="15" customHeight="1" x14ac:dyDescent="0.25">
      <c r="A20" s="100">
        <v>18</v>
      </c>
      <c r="B20" s="8" t="s">
        <v>94</v>
      </c>
      <c r="C20" s="8" t="s">
        <v>75</v>
      </c>
      <c r="D20" s="37" t="s">
        <v>59</v>
      </c>
      <c r="E20" s="108" t="s">
        <v>266</v>
      </c>
      <c r="F20" s="123" t="s">
        <v>267</v>
      </c>
      <c r="G20" s="108">
        <v>15</v>
      </c>
      <c r="H20" s="154"/>
      <c r="I20" s="154"/>
      <c r="J20" s="101">
        <f>VLOOKUP(E20,'Autonomous 107m'!$E$3:$J$109,6,0)</f>
        <v>12.61</v>
      </c>
      <c r="K20" s="100">
        <f t="shared" si="1"/>
        <v>0</v>
      </c>
      <c r="L20" s="100">
        <f t="shared" si="0"/>
        <v>0</v>
      </c>
      <c r="M20" s="230"/>
      <c r="N20" s="231"/>
      <c r="O20" s="227"/>
      <c r="P20" s="226"/>
    </row>
    <row r="21" spans="1:16" ht="15" customHeight="1" x14ac:dyDescent="0.25">
      <c r="A21" s="100">
        <v>19</v>
      </c>
      <c r="B21" s="8" t="s">
        <v>94</v>
      </c>
      <c r="C21" s="8" t="s">
        <v>77</v>
      </c>
      <c r="D21" s="37" t="s">
        <v>59</v>
      </c>
      <c r="E21" s="108" t="s">
        <v>272</v>
      </c>
      <c r="F21" s="123" t="s">
        <v>273</v>
      </c>
      <c r="G21" s="108">
        <v>20</v>
      </c>
      <c r="H21" s="108">
        <v>20</v>
      </c>
      <c r="I21" s="154"/>
      <c r="J21" s="101">
        <f>VLOOKUP(E21,'Autonomous 107m'!$E$3:$J$109,6,0)</f>
        <v>90.9</v>
      </c>
      <c r="K21" s="100">
        <f t="shared" si="1"/>
        <v>4</v>
      </c>
      <c r="L21" s="100">
        <f t="shared" si="0"/>
        <v>80</v>
      </c>
      <c r="M21" s="108">
        <v>80</v>
      </c>
      <c r="N21" s="124">
        <f>M21/H21</f>
        <v>4</v>
      </c>
      <c r="O21" s="227"/>
      <c r="P21" s="226"/>
    </row>
    <row r="22" spans="1:16" ht="15" customHeight="1" x14ac:dyDescent="0.25">
      <c r="A22" s="100">
        <v>20</v>
      </c>
      <c r="B22" s="8" t="s">
        <v>94</v>
      </c>
      <c r="C22" s="8" t="s">
        <v>78</v>
      </c>
      <c r="D22" s="37" t="s">
        <v>59</v>
      </c>
      <c r="E22" s="108" t="s">
        <v>18</v>
      </c>
      <c r="F22" s="123" t="s">
        <v>274</v>
      </c>
      <c r="G22" s="108">
        <v>50</v>
      </c>
      <c r="H22" s="108">
        <v>50</v>
      </c>
      <c r="I22" s="154"/>
      <c r="J22" s="101">
        <f>VLOOKUP(E22,'Autonomous 107m'!$E$3:$J$109,6,0)</f>
        <v>3.48</v>
      </c>
      <c r="K22" s="100">
        <f t="shared" si="1"/>
        <v>0</v>
      </c>
      <c r="L22" s="100">
        <f t="shared" si="0"/>
        <v>0</v>
      </c>
      <c r="M22" s="108">
        <v>174</v>
      </c>
      <c r="N22" s="124">
        <f>M22/H22</f>
        <v>3.48</v>
      </c>
      <c r="O22" s="227"/>
      <c r="P22" s="226"/>
    </row>
    <row r="23" spans="1:16" ht="15" customHeight="1" x14ac:dyDescent="0.25">
      <c r="A23" s="100">
        <v>21</v>
      </c>
      <c r="B23" s="9" t="s">
        <v>95</v>
      </c>
      <c r="C23" s="8" t="s">
        <v>79</v>
      </c>
      <c r="D23" s="37" t="s">
        <v>59</v>
      </c>
      <c r="E23" s="108" t="s">
        <v>276</v>
      </c>
      <c r="F23" s="123" t="s">
        <v>448</v>
      </c>
      <c r="G23" s="108">
        <v>8</v>
      </c>
      <c r="H23" s="154">
        <v>14</v>
      </c>
      <c r="I23" s="154">
        <v>129</v>
      </c>
      <c r="J23" s="101">
        <f>VLOOKUP(E23,'Autonomous 107m'!$E$3:$J$109,6,0)</f>
        <v>0</v>
      </c>
      <c r="K23" s="100">
        <f t="shared" si="1"/>
        <v>0</v>
      </c>
      <c r="L23" s="100">
        <f t="shared" si="0"/>
        <v>0</v>
      </c>
      <c r="M23" s="228">
        <v>0</v>
      </c>
      <c r="N23" s="231">
        <f>M23/H23</f>
        <v>0</v>
      </c>
      <c r="O23" s="227">
        <f>SUM(M23:M42)</f>
        <v>207</v>
      </c>
      <c r="P23" s="226">
        <f>O23/I23</f>
        <v>1.6046511627906976</v>
      </c>
    </row>
    <row r="24" spans="1:16" ht="15" customHeight="1" x14ac:dyDescent="0.25">
      <c r="A24" s="100">
        <v>22</v>
      </c>
      <c r="B24" s="9" t="s">
        <v>95</v>
      </c>
      <c r="C24" s="8" t="s">
        <v>79</v>
      </c>
      <c r="D24" s="37" t="s">
        <v>59</v>
      </c>
      <c r="E24" s="108" t="s">
        <v>278</v>
      </c>
      <c r="F24" s="123" t="s">
        <v>279</v>
      </c>
      <c r="G24" s="108">
        <v>6</v>
      </c>
      <c r="H24" s="154"/>
      <c r="I24" s="154"/>
      <c r="J24" s="101">
        <f>VLOOKUP(E24,'Autonomous 107m'!$E$3:$J$109,6,0)</f>
        <v>0.06</v>
      </c>
      <c r="K24" s="100">
        <f t="shared" si="1"/>
        <v>0</v>
      </c>
      <c r="L24" s="100">
        <f t="shared" si="0"/>
        <v>0</v>
      </c>
      <c r="M24" s="230"/>
      <c r="N24" s="231"/>
      <c r="O24" s="227"/>
      <c r="P24" s="226"/>
    </row>
    <row r="25" spans="1:16" ht="15" customHeight="1" x14ac:dyDescent="0.25">
      <c r="A25" s="100">
        <v>23</v>
      </c>
      <c r="B25" s="9" t="s">
        <v>95</v>
      </c>
      <c r="C25" s="8" t="s">
        <v>79</v>
      </c>
      <c r="D25" s="37" t="s">
        <v>59</v>
      </c>
      <c r="E25" s="108" t="s">
        <v>20</v>
      </c>
      <c r="F25" s="123" t="s">
        <v>449</v>
      </c>
      <c r="G25" s="108">
        <v>2</v>
      </c>
      <c r="H25" s="154">
        <v>10</v>
      </c>
      <c r="I25" s="154"/>
      <c r="J25" s="101">
        <f>VLOOKUP(E25,'Autonomous 107m'!$E$3:$J$109,6,0)</f>
        <v>116.67</v>
      </c>
      <c r="K25" s="100">
        <f t="shared" si="1"/>
        <v>4</v>
      </c>
      <c r="L25" s="100">
        <f t="shared" si="0"/>
        <v>8</v>
      </c>
      <c r="M25" s="228">
        <v>17</v>
      </c>
      <c r="N25" s="231">
        <f>M25/H25</f>
        <v>1.7</v>
      </c>
      <c r="O25" s="227"/>
      <c r="P25" s="226"/>
    </row>
    <row r="26" spans="1:16" ht="15" customHeight="1" x14ac:dyDescent="0.25">
      <c r="A26" s="100">
        <v>24</v>
      </c>
      <c r="B26" s="9" t="s">
        <v>95</v>
      </c>
      <c r="C26" s="8" t="s">
        <v>79</v>
      </c>
      <c r="D26" s="37" t="s">
        <v>59</v>
      </c>
      <c r="E26" s="108" t="s">
        <v>21</v>
      </c>
      <c r="F26" s="123" t="s">
        <v>281</v>
      </c>
      <c r="G26" s="108">
        <v>2</v>
      </c>
      <c r="H26" s="154"/>
      <c r="I26" s="154"/>
      <c r="J26" s="101">
        <f>VLOOKUP(E26,'Autonomous 107m'!$E$3:$J$109,6,0)</f>
        <v>1.02</v>
      </c>
      <c r="K26" s="100">
        <f t="shared" si="1"/>
        <v>0</v>
      </c>
      <c r="L26" s="100">
        <f t="shared" si="0"/>
        <v>0</v>
      </c>
      <c r="M26" s="229"/>
      <c r="N26" s="231"/>
      <c r="O26" s="227"/>
      <c r="P26" s="226"/>
    </row>
    <row r="27" spans="1:16" ht="15" customHeight="1" x14ac:dyDescent="0.25">
      <c r="A27" s="100">
        <v>25</v>
      </c>
      <c r="B27" s="9" t="s">
        <v>95</v>
      </c>
      <c r="C27" s="8" t="s">
        <v>80</v>
      </c>
      <c r="D27" s="37" t="s">
        <v>59</v>
      </c>
      <c r="E27" s="108" t="s">
        <v>282</v>
      </c>
      <c r="F27" s="123" t="s">
        <v>283</v>
      </c>
      <c r="G27" s="108">
        <v>3</v>
      </c>
      <c r="H27" s="154"/>
      <c r="I27" s="154"/>
      <c r="J27" s="101">
        <f>VLOOKUP(E27,'Autonomous 107m'!$E$3:$J$109,6,0)</f>
        <v>3.03</v>
      </c>
      <c r="K27" s="100">
        <f t="shared" si="1"/>
        <v>0</v>
      </c>
      <c r="L27" s="100">
        <f t="shared" si="0"/>
        <v>0</v>
      </c>
      <c r="M27" s="229"/>
      <c r="N27" s="231"/>
      <c r="O27" s="227"/>
      <c r="P27" s="226"/>
    </row>
    <row r="28" spans="1:16" ht="15" customHeight="1" x14ac:dyDescent="0.25">
      <c r="A28" s="100">
        <v>26</v>
      </c>
      <c r="B28" s="9" t="s">
        <v>95</v>
      </c>
      <c r="C28" s="8" t="s">
        <v>80</v>
      </c>
      <c r="D28" s="37" t="s">
        <v>59</v>
      </c>
      <c r="E28" s="108" t="s">
        <v>284</v>
      </c>
      <c r="F28" s="123" t="s">
        <v>285</v>
      </c>
      <c r="G28" s="108">
        <v>3</v>
      </c>
      <c r="H28" s="154"/>
      <c r="I28" s="154"/>
      <c r="J28" s="101">
        <f>VLOOKUP(E28,'Autonomous 107m'!$E$3:$J$109,6,0)</f>
        <v>43.57</v>
      </c>
      <c r="K28" s="100">
        <f t="shared" si="1"/>
        <v>2</v>
      </c>
      <c r="L28" s="100">
        <f t="shared" si="0"/>
        <v>6</v>
      </c>
      <c r="M28" s="230"/>
      <c r="N28" s="231"/>
      <c r="O28" s="227"/>
      <c r="P28" s="226"/>
    </row>
    <row r="29" spans="1:16" ht="15" customHeight="1" x14ac:dyDescent="0.25">
      <c r="A29" s="100">
        <v>27</v>
      </c>
      <c r="B29" s="9" t="s">
        <v>95</v>
      </c>
      <c r="C29" s="8" t="s">
        <v>81</v>
      </c>
      <c r="D29" s="37" t="s">
        <v>59</v>
      </c>
      <c r="E29" s="108" t="s">
        <v>23</v>
      </c>
      <c r="F29" s="123" t="s">
        <v>287</v>
      </c>
      <c r="G29" s="108">
        <v>5</v>
      </c>
      <c r="H29" s="108">
        <v>5</v>
      </c>
      <c r="I29" s="154"/>
      <c r="J29" s="101">
        <f>VLOOKUP(E29,'Autonomous 107m'!$E$3:$J$109,6,0)</f>
        <v>43</v>
      </c>
      <c r="K29" s="100">
        <f t="shared" si="1"/>
        <v>2</v>
      </c>
      <c r="L29" s="100">
        <f t="shared" si="0"/>
        <v>10</v>
      </c>
      <c r="M29" s="108">
        <v>15</v>
      </c>
      <c r="N29" s="124">
        <f>M29/H29</f>
        <v>3</v>
      </c>
      <c r="O29" s="227"/>
      <c r="P29" s="226"/>
    </row>
    <row r="30" spans="1:16" ht="15" customHeight="1" x14ac:dyDescent="0.25">
      <c r="A30" s="100">
        <v>28</v>
      </c>
      <c r="B30" s="9" t="s">
        <v>95</v>
      </c>
      <c r="C30" s="8" t="s">
        <v>81</v>
      </c>
      <c r="D30" s="37" t="s">
        <v>59</v>
      </c>
      <c r="E30" s="108" t="s">
        <v>24</v>
      </c>
      <c r="F30" s="123" t="s">
        <v>288</v>
      </c>
      <c r="G30" s="108">
        <v>5</v>
      </c>
      <c r="H30" s="154">
        <v>30</v>
      </c>
      <c r="I30" s="154"/>
      <c r="J30" s="101" t="str">
        <f>VLOOKUP(E30,'Autonomous 107m'!$E$3:$J$109,6,0)</f>
        <v>C</v>
      </c>
      <c r="K30" s="100">
        <f>IF(EXACT(J30,"A"),4,IF(EXACT(J30,"B"),3,IF(EXACT(J30,"C"),2,IF(EXACT(J30,"D"),1,0))))</f>
        <v>2</v>
      </c>
      <c r="L30" s="100">
        <f t="shared" si="0"/>
        <v>10</v>
      </c>
      <c r="M30" s="228">
        <v>45</v>
      </c>
      <c r="N30" s="231">
        <f>M30/H30</f>
        <v>1.5</v>
      </c>
      <c r="O30" s="227"/>
      <c r="P30" s="226"/>
    </row>
    <row r="31" spans="1:16" ht="15" customHeight="1" x14ac:dyDescent="0.25">
      <c r="A31" s="100">
        <v>29</v>
      </c>
      <c r="B31" s="8" t="s">
        <v>96</v>
      </c>
      <c r="C31" s="8" t="s">
        <v>84</v>
      </c>
      <c r="D31" s="37" t="s">
        <v>59</v>
      </c>
      <c r="E31" s="108" t="s">
        <v>25</v>
      </c>
      <c r="F31" s="123" t="s">
        <v>289</v>
      </c>
      <c r="G31" s="108">
        <v>5</v>
      </c>
      <c r="H31" s="154"/>
      <c r="I31" s="154"/>
      <c r="J31" s="101">
        <f>VLOOKUP(E31,'Autonomous 107m'!$E$3:$J$109,6,0)</f>
        <v>0</v>
      </c>
      <c r="K31" s="100">
        <f t="shared" si="1"/>
        <v>0</v>
      </c>
      <c r="L31" s="100">
        <f t="shared" si="0"/>
        <v>0</v>
      </c>
      <c r="M31" s="229"/>
      <c r="N31" s="231"/>
      <c r="O31" s="227"/>
      <c r="P31" s="226"/>
    </row>
    <row r="32" spans="1:16" ht="15" customHeight="1" x14ac:dyDescent="0.25">
      <c r="A32" s="100">
        <v>30</v>
      </c>
      <c r="B32" s="8" t="s">
        <v>96</v>
      </c>
      <c r="C32" s="8" t="s">
        <v>85</v>
      </c>
      <c r="D32" s="37" t="s">
        <v>59</v>
      </c>
      <c r="E32" s="108" t="s">
        <v>26</v>
      </c>
      <c r="F32" s="123" t="s">
        <v>450</v>
      </c>
      <c r="G32" s="108">
        <v>5</v>
      </c>
      <c r="H32" s="154"/>
      <c r="I32" s="154"/>
      <c r="J32" s="101">
        <f>VLOOKUP(E32,'Autonomous 107m'!$E$3:$J$109,6,0)</f>
        <v>2.11</v>
      </c>
      <c r="K32" s="100">
        <f t="shared" si="1"/>
        <v>0</v>
      </c>
      <c r="L32" s="100">
        <f t="shared" si="0"/>
        <v>0</v>
      </c>
      <c r="M32" s="229"/>
      <c r="N32" s="231"/>
      <c r="O32" s="227"/>
      <c r="P32" s="226"/>
    </row>
    <row r="33" spans="1:22" ht="15" customHeight="1" x14ac:dyDescent="0.25">
      <c r="A33" s="100">
        <v>31</v>
      </c>
      <c r="B33" s="8" t="s">
        <v>96</v>
      </c>
      <c r="C33" s="8" t="s">
        <v>85</v>
      </c>
      <c r="D33" s="37" t="s">
        <v>59</v>
      </c>
      <c r="E33" s="108" t="s">
        <v>291</v>
      </c>
      <c r="F33" s="123" t="s">
        <v>292</v>
      </c>
      <c r="G33" s="108">
        <v>5</v>
      </c>
      <c r="H33" s="154"/>
      <c r="I33" s="154"/>
      <c r="J33" s="101">
        <f>VLOOKUP(E33,'Autonomous 107m'!$E$3:$J$109,6,0)</f>
        <v>0.22</v>
      </c>
      <c r="K33" s="100">
        <f t="shared" si="1"/>
        <v>0</v>
      </c>
      <c r="L33" s="100">
        <f t="shared" si="0"/>
        <v>0</v>
      </c>
      <c r="M33" s="229"/>
      <c r="N33" s="231"/>
      <c r="O33" s="227"/>
      <c r="P33" s="226"/>
    </row>
    <row r="34" spans="1:22" ht="15" customHeight="1" x14ac:dyDescent="0.25">
      <c r="A34" s="100">
        <v>32</v>
      </c>
      <c r="B34" s="8" t="s">
        <v>96</v>
      </c>
      <c r="C34" s="8" t="s">
        <v>87</v>
      </c>
      <c r="D34" s="37" t="s">
        <v>59</v>
      </c>
      <c r="E34" s="108" t="s">
        <v>293</v>
      </c>
      <c r="F34" s="123" t="s">
        <v>294</v>
      </c>
      <c r="G34" s="108">
        <v>5</v>
      </c>
      <c r="H34" s="154"/>
      <c r="I34" s="154"/>
      <c r="J34" s="101">
        <f>VLOOKUP(E34,'Autonomous 107m'!$E$3:$J$109,6,0)</f>
        <v>1.81</v>
      </c>
      <c r="K34" s="100">
        <f t="shared" si="1"/>
        <v>0</v>
      </c>
      <c r="L34" s="100">
        <f t="shared" si="0"/>
        <v>0</v>
      </c>
      <c r="M34" s="229"/>
      <c r="N34" s="231"/>
      <c r="O34" s="227"/>
      <c r="P34" s="226"/>
    </row>
    <row r="35" spans="1:22" ht="15" customHeight="1" x14ac:dyDescent="0.25">
      <c r="A35" s="100">
        <v>33</v>
      </c>
      <c r="B35" s="8" t="s">
        <v>97</v>
      </c>
      <c r="C35" s="8" t="s">
        <v>88</v>
      </c>
      <c r="D35" s="37" t="s">
        <v>59</v>
      </c>
      <c r="E35" s="108" t="s">
        <v>295</v>
      </c>
      <c r="F35" s="123" t="s">
        <v>446</v>
      </c>
      <c r="G35" s="108">
        <v>5</v>
      </c>
      <c r="H35" s="154"/>
      <c r="I35" s="154"/>
      <c r="J35" s="101">
        <f>VLOOKUP(E35,'Autonomous 107m'!$E$3:$J$109,6,0)</f>
        <v>8</v>
      </c>
      <c r="K35" s="100">
        <f t="shared" si="1"/>
        <v>0</v>
      </c>
      <c r="L35" s="100">
        <f t="shared" si="0"/>
        <v>0</v>
      </c>
      <c r="M35" s="230"/>
      <c r="N35" s="231"/>
      <c r="O35" s="227"/>
      <c r="P35" s="226"/>
    </row>
    <row r="36" spans="1:22" ht="15" customHeight="1" x14ac:dyDescent="0.25">
      <c r="A36" s="100">
        <v>34</v>
      </c>
      <c r="B36" s="8" t="s">
        <v>97</v>
      </c>
      <c r="C36" s="8" t="s">
        <v>88</v>
      </c>
      <c r="D36" s="37" t="s">
        <v>59</v>
      </c>
      <c r="E36" s="108" t="s">
        <v>27</v>
      </c>
      <c r="F36" s="123" t="s">
        <v>297</v>
      </c>
      <c r="G36" s="108">
        <v>5</v>
      </c>
      <c r="H36" s="154">
        <v>10</v>
      </c>
      <c r="I36" s="154"/>
      <c r="J36" s="101">
        <f>VLOOKUP(E36,'Autonomous 107m'!$E$3:$J$109,6,0)</f>
        <v>0</v>
      </c>
      <c r="K36" s="100">
        <f t="shared" si="1"/>
        <v>0</v>
      </c>
      <c r="L36" s="100">
        <f t="shared" si="0"/>
        <v>0</v>
      </c>
      <c r="M36" s="228">
        <v>0</v>
      </c>
      <c r="N36" s="231">
        <f>M36/H36</f>
        <v>0</v>
      </c>
      <c r="O36" s="227"/>
      <c r="P36" s="226"/>
      <c r="S36" s="94"/>
      <c r="T36" s="94"/>
      <c r="U36" s="94"/>
      <c r="V36" s="94"/>
    </row>
    <row r="37" spans="1:22" ht="15" customHeight="1" x14ac:dyDescent="0.25">
      <c r="A37" s="100">
        <v>35</v>
      </c>
      <c r="D37" s="101" t="s">
        <v>59</v>
      </c>
      <c r="E37" s="108" t="s">
        <v>298</v>
      </c>
      <c r="F37" s="123" t="s">
        <v>299</v>
      </c>
      <c r="G37" s="108">
        <v>5</v>
      </c>
      <c r="H37" s="154"/>
      <c r="I37" s="154"/>
      <c r="J37" s="101">
        <f>VLOOKUP(E37,'Autonomous 107m'!$E$3:$J$109,6,0)</f>
        <v>0</v>
      </c>
      <c r="K37" s="100">
        <f t="shared" si="1"/>
        <v>0</v>
      </c>
      <c r="L37" s="100"/>
      <c r="M37" s="230"/>
      <c r="N37" s="231"/>
      <c r="O37" s="227"/>
      <c r="P37" s="226"/>
      <c r="S37" s="94"/>
      <c r="T37" s="94"/>
      <c r="U37" s="94"/>
      <c r="V37" s="94"/>
    </row>
    <row r="38" spans="1:22" ht="15" customHeight="1" x14ac:dyDescent="0.25">
      <c r="A38" s="100">
        <v>36</v>
      </c>
      <c r="D38" s="101" t="s">
        <v>59</v>
      </c>
      <c r="E38" s="108" t="s">
        <v>302</v>
      </c>
      <c r="F38" s="123" t="s">
        <v>303</v>
      </c>
      <c r="G38" s="108">
        <v>15</v>
      </c>
      <c r="H38" s="154">
        <v>40</v>
      </c>
      <c r="I38" s="154"/>
      <c r="J38" s="101">
        <f>VLOOKUP(E38,'Autonomous 107m'!$E$3:$J$109,6,0)</f>
        <v>0</v>
      </c>
      <c r="K38" s="100">
        <f t="shared" si="1"/>
        <v>0</v>
      </c>
      <c r="L38" s="100"/>
      <c r="M38" s="228">
        <v>100</v>
      </c>
      <c r="N38" s="231">
        <f>M38/H38</f>
        <v>2.5</v>
      </c>
      <c r="O38" s="227"/>
      <c r="P38" s="226"/>
      <c r="S38" s="94"/>
      <c r="T38" s="94"/>
      <c r="U38" s="94"/>
      <c r="V38" s="94"/>
    </row>
    <row r="39" spans="1:22" ht="15" customHeight="1" x14ac:dyDescent="0.25">
      <c r="A39" s="100">
        <v>37</v>
      </c>
      <c r="D39" s="101" t="s">
        <v>59</v>
      </c>
      <c r="E39" s="108" t="s">
        <v>304</v>
      </c>
      <c r="F39" s="123" t="s">
        <v>305</v>
      </c>
      <c r="G39" s="108">
        <v>10</v>
      </c>
      <c r="H39" s="154"/>
      <c r="I39" s="154"/>
      <c r="J39" s="101">
        <f>VLOOKUP(E39,'Autonomous 107m'!$E$3:$J$109,6,0)</f>
        <v>85</v>
      </c>
      <c r="K39" s="100">
        <f t="shared" si="1"/>
        <v>4</v>
      </c>
      <c r="L39" s="100"/>
      <c r="M39" s="229"/>
      <c r="N39" s="231"/>
      <c r="O39" s="227"/>
      <c r="P39" s="226"/>
      <c r="S39" s="94"/>
      <c r="T39" s="94"/>
      <c r="U39" s="94"/>
      <c r="V39" s="94"/>
    </row>
    <row r="40" spans="1:22" ht="15" customHeight="1" x14ac:dyDescent="0.25">
      <c r="A40" s="100">
        <v>38</v>
      </c>
      <c r="D40" s="101" t="s">
        <v>59</v>
      </c>
      <c r="E40" s="108" t="s">
        <v>306</v>
      </c>
      <c r="F40" s="123" t="s">
        <v>307</v>
      </c>
      <c r="G40" s="108">
        <v>15</v>
      </c>
      <c r="H40" s="154"/>
      <c r="I40" s="154"/>
      <c r="J40" s="101">
        <f>VLOOKUP(E40,'Autonomous 107m'!$E$3:$J$109,6,0)</f>
        <v>83.05</v>
      </c>
      <c r="K40" s="100">
        <f t="shared" si="1"/>
        <v>4</v>
      </c>
      <c r="L40" s="100"/>
      <c r="M40" s="230"/>
      <c r="N40" s="231"/>
      <c r="O40" s="227"/>
      <c r="P40" s="226"/>
      <c r="S40" s="94"/>
      <c r="T40" s="94"/>
      <c r="U40" s="94"/>
      <c r="V40" s="94"/>
    </row>
    <row r="41" spans="1:22" ht="15" customHeight="1" x14ac:dyDescent="0.25">
      <c r="A41" s="100">
        <v>39</v>
      </c>
      <c r="D41" s="101" t="s">
        <v>59</v>
      </c>
      <c r="E41" s="108" t="s">
        <v>308</v>
      </c>
      <c r="F41" s="123" t="s">
        <v>309</v>
      </c>
      <c r="G41" s="108">
        <v>10</v>
      </c>
      <c r="H41" s="154">
        <v>20</v>
      </c>
      <c r="I41" s="154"/>
      <c r="J41" s="101">
        <f>VLOOKUP(E41,'Autonomous 107m'!$E$3:$J$109,6,0)</f>
        <v>0</v>
      </c>
      <c r="K41" s="100">
        <f t="shared" si="1"/>
        <v>0</v>
      </c>
      <c r="L41" s="100"/>
      <c r="M41" s="228">
        <v>30</v>
      </c>
      <c r="N41" s="231">
        <f>M41/H41</f>
        <v>1.5</v>
      </c>
      <c r="O41" s="227"/>
      <c r="P41" s="226"/>
      <c r="S41" s="94"/>
      <c r="T41" s="94"/>
      <c r="U41" s="94"/>
      <c r="V41" s="94"/>
    </row>
    <row r="42" spans="1:22" ht="15" customHeight="1" x14ac:dyDescent="0.25">
      <c r="A42" s="100">
        <v>40</v>
      </c>
      <c r="D42" s="101" t="s">
        <v>59</v>
      </c>
      <c r="E42" s="108" t="s">
        <v>310</v>
      </c>
      <c r="F42" s="123" t="s">
        <v>311</v>
      </c>
      <c r="G42" s="108">
        <v>10</v>
      </c>
      <c r="H42" s="154"/>
      <c r="I42" s="154"/>
      <c r="J42" s="101">
        <f>VLOOKUP(E42,'Autonomous 107m'!$E$3:$J$109,6,0)</f>
        <v>55</v>
      </c>
      <c r="K42" s="100">
        <f t="shared" si="1"/>
        <v>2</v>
      </c>
      <c r="L42" s="100"/>
      <c r="M42" s="230"/>
      <c r="N42" s="231"/>
      <c r="O42" s="227"/>
      <c r="P42" s="226"/>
      <c r="S42" s="94"/>
      <c r="T42" s="94"/>
      <c r="U42" s="94"/>
      <c r="V42" s="94"/>
    </row>
    <row r="43" spans="1:22" ht="15" customHeight="1" x14ac:dyDescent="0.25">
      <c r="A43" s="100">
        <v>41</v>
      </c>
      <c r="D43" s="101" t="s">
        <v>59</v>
      </c>
      <c r="E43" s="108" t="s">
        <v>314</v>
      </c>
      <c r="F43" s="135" t="s">
        <v>315</v>
      </c>
      <c r="G43" s="108">
        <v>10</v>
      </c>
      <c r="H43" s="154">
        <v>20</v>
      </c>
      <c r="I43" s="154">
        <v>67</v>
      </c>
      <c r="J43" s="101">
        <f>VLOOKUP(E43,'Autonomous 107m'!$E$3:$J$109,6,0)</f>
        <v>47.62</v>
      </c>
      <c r="K43" s="100">
        <f t="shared" si="1"/>
        <v>2</v>
      </c>
      <c r="L43" s="100"/>
      <c r="M43" s="228">
        <v>30</v>
      </c>
      <c r="N43" s="231">
        <f>M43/H43</f>
        <v>1.5</v>
      </c>
      <c r="O43" s="227">
        <f>SUM(M43:M51)</f>
        <v>153</v>
      </c>
      <c r="P43" s="226">
        <f>O43/I43</f>
        <v>2.283582089552239</v>
      </c>
      <c r="S43" s="94"/>
      <c r="T43" s="94"/>
      <c r="U43" s="94"/>
      <c r="V43" s="94"/>
    </row>
    <row r="44" spans="1:22" ht="15" customHeight="1" x14ac:dyDescent="0.25">
      <c r="A44" s="100">
        <v>42</v>
      </c>
      <c r="D44" s="101" t="s">
        <v>59</v>
      </c>
      <c r="E44" s="108" t="s">
        <v>316</v>
      </c>
      <c r="F44" s="135" t="s">
        <v>317</v>
      </c>
      <c r="G44" s="108">
        <v>10</v>
      </c>
      <c r="H44" s="154"/>
      <c r="I44" s="154"/>
      <c r="J44" s="101">
        <f>VLOOKUP(E44,'Autonomous 107m'!$E$3:$J$109,6,0)</f>
        <v>11.5</v>
      </c>
      <c r="K44" s="100">
        <f t="shared" si="1"/>
        <v>0</v>
      </c>
      <c r="L44" s="100"/>
      <c r="M44" s="230"/>
      <c r="N44" s="231"/>
      <c r="O44" s="227"/>
      <c r="P44" s="226"/>
      <c r="S44" s="94"/>
      <c r="T44" s="94"/>
      <c r="U44" s="94"/>
      <c r="V44" s="94"/>
    </row>
    <row r="45" spans="1:22" ht="15" customHeight="1" x14ac:dyDescent="0.25">
      <c r="A45" s="100">
        <v>43</v>
      </c>
      <c r="D45" s="101" t="s">
        <v>59</v>
      </c>
      <c r="E45" s="108" t="s">
        <v>319</v>
      </c>
      <c r="F45" s="135" t="s">
        <v>451</v>
      </c>
      <c r="G45" s="108">
        <v>5</v>
      </c>
      <c r="H45" s="154">
        <v>15</v>
      </c>
      <c r="I45" s="154"/>
      <c r="J45" s="101" t="str">
        <f>VLOOKUP(E45,'Autonomous 107m'!$E$3:$J$109,6,0)</f>
        <v>A</v>
      </c>
      <c r="K45" s="100">
        <f>IF(EXACT(J45,"A"),4,IF(EXACT(J45,"B"),3,IF(EXACT(J45,"C"),2,IF(EXACT(J45,"D"),1,0))))</f>
        <v>4</v>
      </c>
      <c r="L45" s="100"/>
      <c r="M45" s="228">
        <v>45</v>
      </c>
      <c r="N45" s="231">
        <f>M45/H45</f>
        <v>3</v>
      </c>
      <c r="O45" s="227"/>
      <c r="P45" s="226"/>
      <c r="S45" s="94"/>
      <c r="T45" s="94"/>
      <c r="U45" s="94"/>
      <c r="V45" s="94"/>
    </row>
    <row r="46" spans="1:22" ht="15" customHeight="1" x14ac:dyDescent="0.25">
      <c r="A46" s="100">
        <v>44</v>
      </c>
      <c r="D46" s="101" t="s">
        <v>59</v>
      </c>
      <c r="E46" s="108" t="s">
        <v>321</v>
      </c>
      <c r="F46" s="135" t="s">
        <v>452</v>
      </c>
      <c r="G46" s="108">
        <v>5</v>
      </c>
      <c r="H46" s="154"/>
      <c r="I46" s="154"/>
      <c r="J46" s="101">
        <f>VLOOKUP(E46,'Autonomous 107m'!$E$3:$J$109,6,0)</f>
        <v>11.52</v>
      </c>
      <c r="K46" s="100">
        <f t="shared" si="1"/>
        <v>0</v>
      </c>
      <c r="L46" s="100"/>
      <c r="M46" s="229"/>
      <c r="N46" s="231"/>
      <c r="O46" s="227"/>
      <c r="P46" s="226"/>
      <c r="S46" s="94"/>
      <c r="T46" s="94"/>
      <c r="U46" s="94"/>
      <c r="V46" s="94"/>
    </row>
    <row r="47" spans="1:22" ht="15" customHeight="1" x14ac:dyDescent="0.25">
      <c r="A47" s="100">
        <v>45</v>
      </c>
      <c r="D47" s="101" t="s">
        <v>59</v>
      </c>
      <c r="E47" s="108" t="s">
        <v>323</v>
      </c>
      <c r="F47" s="135" t="s">
        <v>324</v>
      </c>
      <c r="G47" s="108">
        <v>5</v>
      </c>
      <c r="H47" s="154"/>
      <c r="I47" s="154"/>
      <c r="J47" s="101">
        <f>VLOOKUP(E47,'Autonomous 107m'!$E$3:$J$109,6,0)</f>
        <v>12.21</v>
      </c>
      <c r="K47" s="100">
        <f t="shared" si="1"/>
        <v>0</v>
      </c>
      <c r="L47" s="100"/>
      <c r="M47" s="230"/>
      <c r="N47" s="231"/>
      <c r="O47" s="227"/>
      <c r="P47" s="226"/>
      <c r="S47" s="94"/>
      <c r="T47" s="94"/>
      <c r="U47" s="94"/>
      <c r="V47" s="94"/>
    </row>
    <row r="48" spans="1:22" ht="15" customHeight="1" x14ac:dyDescent="0.25">
      <c r="A48" s="100">
        <v>46</v>
      </c>
      <c r="D48" s="101" t="s">
        <v>59</v>
      </c>
      <c r="E48" s="108" t="s">
        <v>32</v>
      </c>
      <c r="F48" s="135" t="s">
        <v>326</v>
      </c>
      <c r="G48" s="108">
        <v>8</v>
      </c>
      <c r="H48" s="154">
        <v>22</v>
      </c>
      <c r="I48" s="154"/>
      <c r="J48" s="101">
        <f>VLOOKUP(E48,'Autonomous 107m'!$E$3:$J$109,6,0)</f>
        <v>0.1673611111111111</v>
      </c>
      <c r="K48" s="100">
        <f t="shared" si="1"/>
        <v>0</v>
      </c>
      <c r="L48" s="100"/>
      <c r="M48" s="228">
        <v>68</v>
      </c>
      <c r="N48" s="231">
        <f>M48/H48</f>
        <v>3.0909090909090908</v>
      </c>
      <c r="O48" s="227"/>
      <c r="P48" s="226"/>
      <c r="S48" s="94"/>
      <c r="T48" s="94"/>
      <c r="U48" s="94"/>
      <c r="V48" s="94"/>
    </row>
    <row r="49" spans="1:22" ht="15" customHeight="1" x14ac:dyDescent="0.25">
      <c r="A49" s="100">
        <v>47</v>
      </c>
      <c r="D49" s="101" t="s">
        <v>59</v>
      </c>
      <c r="E49" s="108" t="s">
        <v>327</v>
      </c>
      <c r="F49" s="135" t="s">
        <v>453</v>
      </c>
      <c r="G49" s="108">
        <v>10</v>
      </c>
      <c r="H49" s="154"/>
      <c r="I49" s="154"/>
      <c r="J49" s="101">
        <f>VLOOKUP(E49,'Autonomous 107m'!$E$3:$J$109,6,0)</f>
        <v>50</v>
      </c>
      <c r="K49" s="100">
        <f t="shared" si="1"/>
        <v>2</v>
      </c>
      <c r="L49" s="100"/>
      <c r="M49" s="229"/>
      <c r="N49" s="231"/>
      <c r="O49" s="227"/>
      <c r="P49" s="226"/>
      <c r="S49" s="94"/>
      <c r="T49" s="94"/>
      <c r="U49" s="94"/>
      <c r="V49" s="94"/>
    </row>
    <row r="50" spans="1:22" ht="15" customHeight="1" x14ac:dyDescent="0.25">
      <c r="A50" s="100">
        <v>48</v>
      </c>
      <c r="D50" s="101" t="s">
        <v>59</v>
      </c>
      <c r="E50" s="108" t="s">
        <v>329</v>
      </c>
      <c r="F50" s="135" t="s">
        <v>330</v>
      </c>
      <c r="G50" s="108">
        <v>4</v>
      </c>
      <c r="H50" s="154"/>
      <c r="I50" s="154"/>
      <c r="J50" s="101" t="str">
        <f>VLOOKUP(E50,'Autonomous 107m'!$E$3:$J$109,6,0)</f>
        <v>D</v>
      </c>
      <c r="K50" s="100">
        <f>IF(EXACT(J50,"A"),4,IF(EXACT(J50,"B"),3,IF(EXACT(J50,"C"),2,IF(EXACT(J50,"D"),1,0))))</f>
        <v>1</v>
      </c>
      <c r="L50" s="100"/>
      <c r="M50" s="230"/>
      <c r="N50" s="231"/>
      <c r="O50" s="227"/>
      <c r="P50" s="226"/>
      <c r="S50" s="94"/>
      <c r="T50" s="94"/>
      <c r="U50" s="94"/>
      <c r="V50" s="94"/>
    </row>
    <row r="51" spans="1:22" ht="15" customHeight="1" x14ac:dyDescent="0.25">
      <c r="A51" s="100">
        <v>49</v>
      </c>
      <c r="D51" s="101" t="s">
        <v>59</v>
      </c>
      <c r="E51" s="108" t="s">
        <v>33</v>
      </c>
      <c r="F51" s="135" t="s">
        <v>331</v>
      </c>
      <c r="G51" s="108">
        <v>10</v>
      </c>
      <c r="H51" s="108">
        <v>10</v>
      </c>
      <c r="I51" s="154"/>
      <c r="J51" s="101">
        <f>VLOOKUP(E51,'Autonomous 107m'!$E$3:$J$109,6,0)</f>
        <v>9.51</v>
      </c>
      <c r="K51" s="100">
        <f t="shared" si="1"/>
        <v>0</v>
      </c>
      <c r="L51" s="100"/>
      <c r="M51" s="108">
        <v>10</v>
      </c>
      <c r="N51" s="124">
        <f>M51/H51</f>
        <v>1</v>
      </c>
      <c r="O51" s="227"/>
      <c r="P51" s="226"/>
      <c r="S51" s="94"/>
      <c r="T51" s="94"/>
      <c r="U51" s="94"/>
      <c r="V51" s="94"/>
    </row>
    <row r="52" spans="1:22" ht="15" customHeight="1" x14ac:dyDescent="0.25">
      <c r="A52" s="100">
        <v>50</v>
      </c>
      <c r="D52" s="101" t="s">
        <v>59</v>
      </c>
      <c r="E52" s="108" t="s">
        <v>34</v>
      </c>
      <c r="F52" s="135" t="s">
        <v>334</v>
      </c>
      <c r="G52" s="108">
        <v>6</v>
      </c>
      <c r="H52" s="154">
        <v>30</v>
      </c>
      <c r="I52" s="154">
        <v>85</v>
      </c>
      <c r="J52" s="101">
        <f>VLOOKUP(E52,'Autonomous 107m'!$E$3:$J$109,6,0)</f>
        <v>48</v>
      </c>
      <c r="K52" s="100">
        <f t="shared" si="1"/>
        <v>2</v>
      </c>
      <c r="L52" s="100"/>
      <c r="M52" s="228">
        <v>63</v>
      </c>
      <c r="N52" s="231">
        <f>M52/H52</f>
        <v>2.1</v>
      </c>
      <c r="O52" s="227">
        <f>SUM(M52:M62)</f>
        <v>208</v>
      </c>
      <c r="P52" s="226">
        <f>O52/I52</f>
        <v>2.447058823529412</v>
      </c>
      <c r="S52" s="94"/>
      <c r="T52" s="94"/>
      <c r="U52" s="94"/>
      <c r="V52" s="94"/>
    </row>
    <row r="53" spans="1:22" ht="15" customHeight="1" x14ac:dyDescent="0.25">
      <c r="A53" s="100">
        <v>51</v>
      </c>
      <c r="D53" s="101" t="s">
        <v>59</v>
      </c>
      <c r="E53" s="108" t="s">
        <v>35</v>
      </c>
      <c r="F53" s="135" t="s">
        <v>335</v>
      </c>
      <c r="G53" s="108">
        <v>5</v>
      </c>
      <c r="H53" s="154"/>
      <c r="I53" s="154"/>
      <c r="J53" s="101">
        <f>VLOOKUP(E53,'Autonomous 107m'!$E$3:$J$109,6,0)</f>
        <v>0</v>
      </c>
      <c r="K53" s="100">
        <f t="shared" si="1"/>
        <v>0</v>
      </c>
      <c r="L53" s="100"/>
      <c r="M53" s="229"/>
      <c r="N53" s="231"/>
      <c r="O53" s="227"/>
      <c r="P53" s="226"/>
      <c r="S53" s="94"/>
      <c r="T53" s="94"/>
      <c r="U53" s="94"/>
      <c r="V53" s="94"/>
    </row>
    <row r="54" spans="1:22" ht="15" customHeight="1" x14ac:dyDescent="0.25">
      <c r="A54" s="100">
        <v>52</v>
      </c>
      <c r="D54" s="101" t="s">
        <v>59</v>
      </c>
      <c r="E54" s="108" t="s">
        <v>36</v>
      </c>
      <c r="F54" s="135" t="s">
        <v>336</v>
      </c>
      <c r="G54" s="108">
        <v>8</v>
      </c>
      <c r="H54" s="154"/>
      <c r="I54" s="154"/>
      <c r="J54" s="101" t="str">
        <f>VLOOKUP(E54,'Autonomous 107m'!$E$3:$J$109,6,0)</f>
        <v>B</v>
      </c>
      <c r="K54" s="100">
        <f>IF(EXACT(J54,"A"),4,IF(EXACT(J54,"B"),3,IF(EXACT(J54,"C"),2,IF(EXACT(J54,"D"),1,0))))</f>
        <v>3</v>
      </c>
      <c r="L54" s="100"/>
      <c r="M54" s="229"/>
      <c r="N54" s="231"/>
      <c r="O54" s="227"/>
      <c r="P54" s="226"/>
      <c r="S54" s="94"/>
      <c r="T54" s="94"/>
      <c r="U54" s="94"/>
      <c r="V54" s="94"/>
    </row>
    <row r="55" spans="1:22" ht="15" customHeight="1" x14ac:dyDescent="0.25">
      <c r="A55" s="100">
        <v>53</v>
      </c>
      <c r="D55" s="101" t="s">
        <v>59</v>
      </c>
      <c r="E55" s="108" t="s">
        <v>37</v>
      </c>
      <c r="F55" s="135" t="s">
        <v>337</v>
      </c>
      <c r="G55" s="108">
        <v>6</v>
      </c>
      <c r="H55" s="154"/>
      <c r="I55" s="154"/>
      <c r="J55" s="101">
        <f>VLOOKUP(E55,'Autonomous 107m'!$E$3:$J$109,6,0)</f>
        <v>3.49</v>
      </c>
      <c r="K55" s="100">
        <f t="shared" si="1"/>
        <v>0</v>
      </c>
      <c r="L55" s="100"/>
      <c r="M55" s="229"/>
      <c r="N55" s="231"/>
      <c r="O55" s="227"/>
      <c r="P55" s="226"/>
      <c r="S55" s="94"/>
      <c r="T55" s="94"/>
      <c r="U55" s="94"/>
      <c r="V55" s="94"/>
    </row>
    <row r="56" spans="1:22" ht="15" customHeight="1" x14ac:dyDescent="0.25">
      <c r="A56" s="100">
        <v>54</v>
      </c>
      <c r="D56" s="101" t="s">
        <v>59</v>
      </c>
      <c r="E56" s="108" t="s">
        <v>338</v>
      </c>
      <c r="F56" s="135" t="s">
        <v>339</v>
      </c>
      <c r="G56" s="108">
        <v>5</v>
      </c>
      <c r="H56" s="154"/>
      <c r="I56" s="154"/>
      <c r="J56" s="101" t="str">
        <f>VLOOKUP(E56,'Autonomous 107m'!$E$3:$J$109,6,0)</f>
        <v>B</v>
      </c>
      <c r="K56" s="100">
        <f>IF(EXACT(J56,"A"),4,IF(EXACT(J56,"B"),3,IF(EXACT(J56,"C"),2,IF(EXACT(J56,"D"),1,0))))</f>
        <v>3</v>
      </c>
      <c r="L56" s="100"/>
      <c r="M56" s="230"/>
      <c r="N56" s="231"/>
      <c r="O56" s="227"/>
      <c r="P56" s="226"/>
      <c r="S56" s="94"/>
      <c r="T56" s="94"/>
      <c r="U56" s="94"/>
      <c r="V56" s="94"/>
    </row>
    <row r="57" spans="1:22" ht="15" customHeight="1" x14ac:dyDescent="0.25">
      <c r="A57" s="100">
        <v>55</v>
      </c>
      <c r="D57" s="101" t="s">
        <v>59</v>
      </c>
      <c r="E57" s="108" t="s">
        <v>38</v>
      </c>
      <c r="F57" s="135" t="s">
        <v>340</v>
      </c>
      <c r="G57" s="108">
        <v>10</v>
      </c>
      <c r="H57" s="154">
        <v>30</v>
      </c>
      <c r="I57" s="154"/>
      <c r="J57" s="101">
        <f>VLOOKUP(E57,'Autonomous 107m'!$E$3:$J$109,6,0)</f>
        <v>44.94</v>
      </c>
      <c r="K57" s="100">
        <f t="shared" si="1"/>
        <v>2</v>
      </c>
      <c r="L57" s="100"/>
      <c r="M57" s="228">
        <v>80</v>
      </c>
      <c r="N57" s="231">
        <f>M57/H57</f>
        <v>2.6666666666666665</v>
      </c>
      <c r="O57" s="227"/>
      <c r="P57" s="226"/>
      <c r="S57" s="94"/>
      <c r="T57" s="94"/>
      <c r="U57" s="94"/>
      <c r="V57" s="94"/>
    </row>
    <row r="58" spans="1:22" ht="15" customHeight="1" x14ac:dyDescent="0.25">
      <c r="A58" s="100">
        <v>56</v>
      </c>
      <c r="D58" s="101" t="s">
        <v>59</v>
      </c>
      <c r="E58" s="108" t="s">
        <v>39</v>
      </c>
      <c r="F58" s="135" t="s">
        <v>341</v>
      </c>
      <c r="G58" s="108">
        <v>10</v>
      </c>
      <c r="H58" s="154"/>
      <c r="I58" s="154"/>
      <c r="J58" s="101">
        <f>VLOOKUP(E58,'Autonomous 107m'!$E$3:$J$109,6,0)</f>
        <v>7.46</v>
      </c>
      <c r="K58" s="100">
        <f t="shared" si="1"/>
        <v>0</v>
      </c>
      <c r="L58" s="100"/>
      <c r="M58" s="229"/>
      <c r="N58" s="231"/>
      <c r="O58" s="227"/>
      <c r="P58" s="226"/>
      <c r="S58" s="94"/>
      <c r="T58" s="94"/>
      <c r="U58" s="94"/>
      <c r="V58" s="94"/>
    </row>
    <row r="59" spans="1:22" ht="15" customHeight="1" x14ac:dyDescent="0.25">
      <c r="A59" s="100">
        <v>57</v>
      </c>
      <c r="D59" s="101" t="s">
        <v>59</v>
      </c>
      <c r="E59" s="108" t="s">
        <v>342</v>
      </c>
      <c r="F59" s="135" t="s">
        <v>343</v>
      </c>
      <c r="G59" s="108">
        <v>10</v>
      </c>
      <c r="H59" s="154"/>
      <c r="I59" s="154"/>
      <c r="J59" s="101">
        <f>VLOOKUP(E59,'Autonomous 107m'!$E$3:$J$109,6,0)</f>
        <v>100</v>
      </c>
      <c r="K59" s="100">
        <f t="shared" si="1"/>
        <v>4</v>
      </c>
      <c r="L59" s="100"/>
      <c r="M59" s="230"/>
      <c r="N59" s="231"/>
      <c r="O59" s="227"/>
      <c r="P59" s="226"/>
      <c r="S59" s="94"/>
      <c r="T59" s="94"/>
      <c r="U59" s="94"/>
      <c r="V59" s="94"/>
    </row>
    <row r="60" spans="1:22" ht="15" customHeight="1" x14ac:dyDescent="0.25">
      <c r="A60" s="100">
        <v>58</v>
      </c>
      <c r="D60" s="101" t="s">
        <v>59</v>
      </c>
      <c r="E60" s="108" t="s">
        <v>40</v>
      </c>
      <c r="F60" s="135" t="s">
        <v>344</v>
      </c>
      <c r="G60" s="108">
        <v>10</v>
      </c>
      <c r="H60" s="154">
        <v>20</v>
      </c>
      <c r="I60" s="154"/>
      <c r="J60" s="101">
        <f>VLOOKUP(E60,'Autonomous 107m'!$E$3:$J$109,6,0)</f>
        <v>27</v>
      </c>
      <c r="K60" s="100">
        <f t="shared" si="1"/>
        <v>1</v>
      </c>
      <c r="L60" s="100"/>
      <c r="M60" s="228">
        <v>60</v>
      </c>
      <c r="N60" s="231">
        <f>M60/H60</f>
        <v>3</v>
      </c>
      <c r="O60" s="227"/>
      <c r="P60" s="226"/>
      <c r="S60" s="94"/>
      <c r="T60" s="94"/>
      <c r="U60" s="94"/>
      <c r="V60" s="94"/>
    </row>
    <row r="61" spans="1:22" ht="15" customHeight="1" x14ac:dyDescent="0.25">
      <c r="A61" s="100">
        <v>59</v>
      </c>
      <c r="D61" s="101" t="s">
        <v>59</v>
      </c>
      <c r="E61" s="108" t="s">
        <v>346</v>
      </c>
      <c r="F61" s="135" t="s">
        <v>347</v>
      </c>
      <c r="G61" s="108">
        <v>10</v>
      </c>
      <c r="H61" s="154"/>
      <c r="I61" s="154"/>
      <c r="J61" s="101">
        <f>VLOOKUP(E61,'Autonomous 107m'!$E$3:$J$109,6,0)</f>
        <v>22.8</v>
      </c>
      <c r="K61" s="100">
        <f t="shared" si="1"/>
        <v>1</v>
      </c>
      <c r="L61" s="100"/>
      <c r="M61" s="230"/>
      <c r="N61" s="231"/>
      <c r="O61" s="227"/>
      <c r="P61" s="226"/>
      <c r="S61" s="94"/>
      <c r="T61" s="94"/>
      <c r="U61" s="94"/>
      <c r="V61" s="94"/>
    </row>
    <row r="62" spans="1:22" ht="15" customHeight="1" x14ac:dyDescent="0.25">
      <c r="A62" s="100">
        <v>60</v>
      </c>
      <c r="D62" s="101" t="s">
        <v>59</v>
      </c>
      <c r="E62" s="108" t="s">
        <v>349</v>
      </c>
      <c r="F62" s="123" t="s">
        <v>350</v>
      </c>
      <c r="G62" s="108">
        <v>5</v>
      </c>
      <c r="H62" s="108">
        <v>5</v>
      </c>
      <c r="I62" s="154"/>
      <c r="J62" s="101" t="str">
        <f>VLOOKUP(E62,'Autonomous 107m'!$E$3:$J$109,6,0)</f>
        <v>D</v>
      </c>
      <c r="K62" s="100">
        <f>IF(EXACT(J62,"A"),4,IF(EXACT(J62,"B"),3,IF(EXACT(J62,"C"),2,IF(EXACT(J62,"D"),1,0))))</f>
        <v>1</v>
      </c>
      <c r="L62" s="100"/>
      <c r="M62" s="108">
        <v>5</v>
      </c>
      <c r="N62" s="124">
        <f>M62/H62</f>
        <v>1</v>
      </c>
      <c r="O62" s="227"/>
      <c r="P62" s="226"/>
      <c r="S62" s="94"/>
      <c r="T62" s="94"/>
      <c r="U62" s="94"/>
      <c r="V62" s="94"/>
    </row>
    <row r="63" spans="1:22" ht="15" customHeight="1" x14ac:dyDescent="0.25">
      <c r="A63" s="100">
        <v>61</v>
      </c>
      <c r="D63" s="101" t="s">
        <v>59</v>
      </c>
      <c r="E63" s="108" t="s">
        <v>356</v>
      </c>
      <c r="F63" s="123" t="s">
        <v>357</v>
      </c>
      <c r="G63" s="108">
        <v>4</v>
      </c>
      <c r="H63" s="108">
        <v>4</v>
      </c>
      <c r="I63" s="154">
        <v>50</v>
      </c>
      <c r="J63" s="101" t="str">
        <f>VLOOKUP(E63,'Autonomous 107m'!$E$3:$J$109,6,0)</f>
        <v>B</v>
      </c>
      <c r="K63" s="100">
        <f>IF(EXACT(J63,"A"),4,IF(EXACT(J63,"B"),3,IF(EXACT(J63,"C"),2,IF(EXACT(J63,"D"),1,0))))</f>
        <v>3</v>
      </c>
      <c r="L63" s="100"/>
      <c r="M63" s="108">
        <v>12</v>
      </c>
      <c r="N63" s="124">
        <f>M63/H63</f>
        <v>3</v>
      </c>
      <c r="O63" s="227">
        <f>SUM(M63:M68)</f>
        <v>148</v>
      </c>
      <c r="P63" s="226">
        <f>O63/I63</f>
        <v>2.96</v>
      </c>
      <c r="S63" s="94"/>
      <c r="T63" s="94"/>
      <c r="U63" s="94"/>
      <c r="V63" s="94"/>
    </row>
    <row r="64" spans="1:22" ht="15" customHeight="1" x14ac:dyDescent="0.25">
      <c r="A64" s="100">
        <v>62</v>
      </c>
      <c r="D64" s="101" t="s">
        <v>59</v>
      </c>
      <c r="E64" s="108" t="s">
        <v>47</v>
      </c>
      <c r="F64" s="123" t="s">
        <v>359</v>
      </c>
      <c r="G64" s="108">
        <v>8</v>
      </c>
      <c r="H64" s="154">
        <v>26</v>
      </c>
      <c r="I64" s="154"/>
      <c r="J64" s="101">
        <f>VLOOKUP(E64,'Autonomous 107m'!$E$3:$J$109,6,0)</f>
        <v>42.41</v>
      </c>
      <c r="K64" s="100">
        <f t="shared" si="1"/>
        <v>2</v>
      </c>
      <c r="L64" s="100"/>
      <c r="M64" s="228">
        <v>76</v>
      </c>
      <c r="N64" s="231">
        <f>M64/H64</f>
        <v>2.9230769230769229</v>
      </c>
      <c r="O64" s="227"/>
      <c r="P64" s="226"/>
      <c r="S64" s="94"/>
      <c r="T64" s="94"/>
      <c r="U64" s="94"/>
      <c r="V64" s="94"/>
    </row>
    <row r="65" spans="1:22" ht="15" customHeight="1" x14ac:dyDescent="0.25">
      <c r="A65" s="100">
        <v>63</v>
      </c>
      <c r="D65" s="101" t="s">
        <v>59</v>
      </c>
      <c r="E65" s="108" t="s">
        <v>48</v>
      </c>
      <c r="F65" s="135" t="s">
        <v>360</v>
      </c>
      <c r="G65" s="108">
        <v>8</v>
      </c>
      <c r="H65" s="154"/>
      <c r="I65" s="154"/>
      <c r="J65" s="101">
        <f>VLOOKUP(E65,'Autonomous 107m'!$E$3:$J$109,6,0)</f>
        <v>51.2</v>
      </c>
      <c r="K65" s="100">
        <f t="shared" si="1"/>
        <v>2</v>
      </c>
      <c r="L65" s="100"/>
      <c r="M65" s="229"/>
      <c r="N65" s="231"/>
      <c r="O65" s="227"/>
      <c r="P65" s="226"/>
      <c r="S65" s="94"/>
      <c r="T65" s="94"/>
      <c r="U65" s="94"/>
      <c r="V65" s="94"/>
    </row>
    <row r="66" spans="1:22" ht="15" customHeight="1" x14ac:dyDescent="0.25">
      <c r="A66" s="100">
        <v>64</v>
      </c>
      <c r="D66" s="101" t="s">
        <v>59</v>
      </c>
      <c r="E66" s="108" t="s">
        <v>361</v>
      </c>
      <c r="F66" s="135" t="s">
        <v>362</v>
      </c>
      <c r="G66" s="108">
        <v>10</v>
      </c>
      <c r="H66" s="154"/>
      <c r="I66" s="154"/>
      <c r="J66" s="101">
        <f>VLOOKUP(E66,'Autonomous 107m'!$E$3:$J$109,6,0)</f>
        <v>21.4</v>
      </c>
      <c r="K66" s="100">
        <f t="shared" si="1"/>
        <v>1</v>
      </c>
      <c r="L66" s="100"/>
      <c r="M66" s="230"/>
      <c r="N66" s="231"/>
      <c r="O66" s="227"/>
      <c r="P66" s="226"/>
      <c r="S66" s="94"/>
      <c r="T66" s="94"/>
      <c r="U66" s="94"/>
      <c r="V66" s="94"/>
    </row>
    <row r="67" spans="1:22" ht="15" customHeight="1" x14ac:dyDescent="0.25">
      <c r="A67" s="100">
        <v>65</v>
      </c>
      <c r="D67" s="101" t="s">
        <v>59</v>
      </c>
      <c r="E67" s="108" t="s">
        <v>364</v>
      </c>
      <c r="F67" s="135" t="s">
        <v>365</v>
      </c>
      <c r="G67" s="108">
        <v>10</v>
      </c>
      <c r="H67" s="108">
        <v>10</v>
      </c>
      <c r="I67" s="154"/>
      <c r="J67" s="101">
        <f>VLOOKUP(E67,'Autonomous 107m'!$E$3:$J$109,6,0)</f>
        <v>5.99</v>
      </c>
      <c r="K67" s="100">
        <f t="shared" si="1"/>
        <v>0</v>
      </c>
      <c r="L67" s="100"/>
      <c r="M67" s="108">
        <v>20</v>
      </c>
      <c r="N67" s="124">
        <f>M67/H67</f>
        <v>2</v>
      </c>
      <c r="O67" s="227"/>
      <c r="P67" s="226"/>
      <c r="S67" s="94"/>
      <c r="T67" s="94"/>
      <c r="U67" s="94"/>
      <c r="V67" s="94"/>
    </row>
    <row r="68" spans="1:22" ht="15" customHeight="1" x14ac:dyDescent="0.25">
      <c r="A68" s="100">
        <v>66</v>
      </c>
      <c r="D68" s="101" t="s">
        <v>59</v>
      </c>
      <c r="E68" s="108" t="s">
        <v>370</v>
      </c>
      <c r="F68" s="135" t="s">
        <v>371</v>
      </c>
      <c r="G68" s="108">
        <v>10</v>
      </c>
      <c r="H68" s="108">
        <v>10</v>
      </c>
      <c r="I68" s="154"/>
      <c r="J68" s="101" t="str">
        <f>VLOOKUP(E68,'Autonomous 107m'!$E$3:$J$109,6,0)</f>
        <v>A</v>
      </c>
      <c r="K68" s="100">
        <f>IF(EXACT(J68,"A"),4,IF(EXACT(J68,"B"),3,IF(EXACT(J68,"C"),2,IF(EXACT(J68,"D"),1,0))))</f>
        <v>4</v>
      </c>
      <c r="L68" s="100"/>
      <c r="M68" s="108">
        <v>40</v>
      </c>
      <c r="N68" s="124">
        <f>M68/H68</f>
        <v>4</v>
      </c>
      <c r="O68" s="227"/>
      <c r="P68" s="226"/>
      <c r="S68" s="94"/>
      <c r="T68" s="94"/>
      <c r="U68" s="94"/>
      <c r="V68" s="94"/>
    </row>
    <row r="69" spans="1:22" ht="15" customHeight="1" x14ac:dyDescent="0.25">
      <c r="A69" s="100">
        <v>67</v>
      </c>
      <c r="D69" s="101" t="s">
        <v>59</v>
      </c>
      <c r="E69" s="108" t="s">
        <v>53</v>
      </c>
      <c r="F69" s="135" t="s">
        <v>373</v>
      </c>
      <c r="G69" s="108">
        <v>5</v>
      </c>
      <c r="H69" s="154">
        <v>27</v>
      </c>
      <c r="I69" s="154">
        <v>27</v>
      </c>
      <c r="J69" s="101" t="str">
        <f>VLOOKUP(E69,'Autonomous 107m'!$E$3:$J$109,6,0)</f>
        <v>A</v>
      </c>
      <c r="K69" s="100">
        <f>IF(EXACT(J69,"A"),4,IF(EXACT(J69,"B"),3,IF(EXACT(J69,"C"),2,IF(EXACT(J69,"D"),1,0))))</f>
        <v>4</v>
      </c>
      <c r="L69" s="100"/>
      <c r="M69" s="154">
        <v>59</v>
      </c>
      <c r="N69" s="231">
        <f>M69/H69</f>
        <v>2.1851851851851851</v>
      </c>
      <c r="O69" s="227">
        <f>SUM(M69)</f>
        <v>59</v>
      </c>
      <c r="P69" s="226">
        <f>O69/I69</f>
        <v>2.1851851851851851</v>
      </c>
      <c r="S69" s="94"/>
      <c r="T69" s="94"/>
      <c r="U69" s="94"/>
      <c r="V69" s="94"/>
    </row>
    <row r="70" spans="1:22" ht="15" customHeight="1" x14ac:dyDescent="0.25">
      <c r="A70" s="100">
        <v>68</v>
      </c>
      <c r="D70" s="101" t="s">
        <v>59</v>
      </c>
      <c r="E70" s="108" t="s">
        <v>55</v>
      </c>
      <c r="F70" s="123" t="s">
        <v>375</v>
      </c>
      <c r="G70" s="108">
        <v>4</v>
      </c>
      <c r="H70" s="154"/>
      <c r="I70" s="154"/>
      <c r="J70" s="101" t="str">
        <f>VLOOKUP(E70,'Autonomous 107m'!$E$3:$J$109,6,0)</f>
        <v>C</v>
      </c>
      <c r="K70" s="100">
        <f>IF(EXACT(J70,"A"),4,IF(EXACT(J70,"B"),3,IF(EXACT(J70,"C"),2,IF(EXACT(J70,"D"),1,0))))</f>
        <v>2</v>
      </c>
      <c r="L70" s="100"/>
      <c r="M70" s="154"/>
      <c r="N70" s="231"/>
      <c r="O70" s="227"/>
      <c r="P70" s="226"/>
      <c r="S70" s="94"/>
      <c r="T70" s="94"/>
      <c r="U70" s="94"/>
      <c r="V70" s="94"/>
    </row>
    <row r="71" spans="1:22" ht="15" customHeight="1" x14ac:dyDescent="0.25">
      <c r="A71" s="100">
        <v>69</v>
      </c>
      <c r="D71" s="101" t="s">
        <v>59</v>
      </c>
      <c r="E71" s="108" t="s">
        <v>376</v>
      </c>
      <c r="F71" s="123" t="s">
        <v>377</v>
      </c>
      <c r="G71" s="108">
        <v>4</v>
      </c>
      <c r="H71" s="154"/>
      <c r="I71" s="154"/>
      <c r="J71" s="101" t="str">
        <f>VLOOKUP(E71,'Autonomous 107m'!$E$3:$J$109,6,0)</f>
        <v>B</v>
      </c>
      <c r="K71" s="100">
        <f>IF(EXACT(J71,"A"),4,IF(EXACT(J71,"B"),3,IF(EXACT(J71,"C"),2,IF(EXACT(J71,"D"),1,0))))</f>
        <v>3</v>
      </c>
      <c r="L71" s="100"/>
      <c r="M71" s="154"/>
      <c r="N71" s="231"/>
      <c r="O71" s="227"/>
      <c r="P71" s="226"/>
      <c r="S71" s="94"/>
      <c r="T71" s="94"/>
      <c r="U71" s="94"/>
      <c r="V71" s="94"/>
    </row>
    <row r="72" spans="1:22" ht="15" customHeight="1" x14ac:dyDescent="0.25">
      <c r="A72" s="100">
        <v>70</v>
      </c>
      <c r="D72" s="101" t="s">
        <v>59</v>
      </c>
      <c r="E72" s="108" t="s">
        <v>378</v>
      </c>
      <c r="F72" s="135" t="s">
        <v>379</v>
      </c>
      <c r="G72" s="108">
        <v>5</v>
      </c>
      <c r="H72" s="154"/>
      <c r="I72" s="154"/>
      <c r="J72" s="101" t="str">
        <f>VLOOKUP(E72,'Autonomous 107m'!$E$3:$J$109,6,0)</f>
        <v>D</v>
      </c>
      <c r="K72" s="100">
        <f t="shared" ref="K72:K74" si="2">IF(J72&gt;80,4,IF(AND(J72&lt;=80,J72&gt;60),3,IF(AND(J72&lt;=60,J72&gt;40),2,IF(AND(J72&lt;=40,J72&gt;20),1,IF(J72&lt;=20,0)))))</f>
        <v>4</v>
      </c>
      <c r="L72" s="100"/>
      <c r="M72" s="154"/>
      <c r="N72" s="231"/>
      <c r="O72" s="227"/>
      <c r="P72" s="226"/>
      <c r="S72" s="94"/>
      <c r="T72" s="94"/>
      <c r="U72" s="94"/>
      <c r="V72" s="94"/>
    </row>
    <row r="73" spans="1:22" ht="15" customHeight="1" x14ac:dyDescent="0.25">
      <c r="A73" s="100">
        <v>71</v>
      </c>
      <c r="D73" s="101" t="s">
        <v>59</v>
      </c>
      <c r="E73" s="108" t="s">
        <v>380</v>
      </c>
      <c r="F73" s="123" t="s">
        <v>381</v>
      </c>
      <c r="G73" s="108">
        <v>4</v>
      </c>
      <c r="H73" s="154"/>
      <c r="I73" s="154"/>
      <c r="J73" s="101" t="str">
        <f>VLOOKUP(E73,'Autonomous 107m'!$E$3:$J$109,6,0)</f>
        <v>D</v>
      </c>
      <c r="K73" s="100">
        <f>IF(EXACT(J73,"A"),4,IF(EXACT(J73,"B"),3,IF(EXACT(J73,"C"),2,IF(EXACT(J73,"D"),1,0))))</f>
        <v>1</v>
      </c>
      <c r="L73" s="100"/>
      <c r="M73" s="154"/>
      <c r="N73" s="231"/>
      <c r="O73" s="227"/>
      <c r="P73" s="226"/>
      <c r="S73" s="94"/>
      <c r="T73" s="94"/>
      <c r="U73" s="94"/>
      <c r="V73" s="94"/>
    </row>
    <row r="74" spans="1:22" ht="15" customHeight="1" x14ac:dyDescent="0.25">
      <c r="A74" s="100">
        <v>72</v>
      </c>
      <c r="D74" s="101" t="s">
        <v>59</v>
      </c>
      <c r="E74" s="108" t="s">
        <v>386</v>
      </c>
      <c r="F74" s="135" t="s">
        <v>387</v>
      </c>
      <c r="G74" s="108">
        <v>5</v>
      </c>
      <c r="H74" s="154"/>
      <c r="I74" s="154"/>
      <c r="J74" s="101" t="str">
        <f>VLOOKUP(E74,'Autonomous 107m'!$E$3:$J$109,6,0)</f>
        <v>C</v>
      </c>
      <c r="K74" s="100">
        <f t="shared" si="2"/>
        <v>4</v>
      </c>
      <c r="L74" s="100"/>
      <c r="M74" s="154"/>
      <c r="N74" s="231"/>
      <c r="O74" s="227"/>
      <c r="P74" s="226"/>
      <c r="S74" s="94"/>
      <c r="T74" s="94"/>
      <c r="U74" s="94"/>
      <c r="V74" s="94"/>
    </row>
    <row r="75" spans="1:22" ht="15.75" thickBot="1" x14ac:dyDescent="0.3">
      <c r="S75" s="94"/>
      <c r="T75" s="94"/>
      <c r="U75" s="94"/>
      <c r="V75" s="94"/>
    </row>
    <row r="76" spans="1:22" ht="23.25" thickBot="1" x14ac:dyDescent="0.3">
      <c r="J76" s="160" t="s">
        <v>222</v>
      </c>
      <c r="K76" s="161"/>
      <c r="L76" s="161"/>
      <c r="M76" s="161"/>
      <c r="N76" s="161"/>
      <c r="O76" s="161"/>
      <c r="P76" s="161"/>
      <c r="Q76" s="161"/>
      <c r="R76" s="162"/>
      <c r="S76" s="95"/>
      <c r="T76" s="95"/>
      <c r="U76" s="95"/>
      <c r="V76" s="94"/>
    </row>
    <row r="77" spans="1:22" ht="15.75" thickBot="1" x14ac:dyDescent="0.3">
      <c r="S77" s="94"/>
      <c r="T77" s="94"/>
      <c r="U77" s="94"/>
      <c r="V77" s="94"/>
    </row>
    <row r="78" spans="1:22" ht="19.5" thickBot="1" x14ac:dyDescent="0.35">
      <c r="F78" s="136" t="s">
        <v>220</v>
      </c>
      <c r="G78" s="96" t="s">
        <v>221</v>
      </c>
      <c r="J78" s="155" t="s">
        <v>225</v>
      </c>
      <c r="K78" s="156"/>
      <c r="L78" s="156"/>
      <c r="M78" s="156"/>
      <c r="N78" s="156"/>
      <c r="O78" s="156"/>
      <c r="P78" s="156"/>
      <c r="Q78" s="156"/>
      <c r="R78" s="157"/>
      <c r="S78" s="98"/>
      <c r="T78" s="98"/>
      <c r="U78" s="98"/>
    </row>
    <row r="79" spans="1:22" x14ac:dyDescent="0.25">
      <c r="F79" s="90" t="s">
        <v>91</v>
      </c>
      <c r="G79" s="91">
        <v>3.25</v>
      </c>
      <c r="S79" s="97"/>
      <c r="T79" s="97"/>
      <c r="U79" s="97"/>
    </row>
    <row r="80" spans="1:22" x14ac:dyDescent="0.25">
      <c r="F80" s="90" t="s">
        <v>92</v>
      </c>
      <c r="G80" s="92">
        <v>3</v>
      </c>
      <c r="S80" s="97"/>
      <c r="T80" s="97"/>
      <c r="U80" s="97"/>
    </row>
    <row r="81" spans="6:7" x14ac:dyDescent="0.25">
      <c r="F81" s="90" t="s">
        <v>93</v>
      </c>
      <c r="G81" s="91">
        <v>0.83333333333333337</v>
      </c>
    </row>
    <row r="82" spans="6:7" x14ac:dyDescent="0.25">
      <c r="F82" s="90" t="s">
        <v>94</v>
      </c>
      <c r="G82" s="92">
        <v>1.3333333333333333</v>
      </c>
    </row>
    <row r="83" spans="6:7" x14ac:dyDescent="0.25">
      <c r="F83" s="90" t="s">
        <v>95</v>
      </c>
      <c r="G83" s="92">
        <v>1.25</v>
      </c>
    </row>
    <row r="84" spans="6:7" x14ac:dyDescent="0.25">
      <c r="F84" s="90" t="s">
        <v>96</v>
      </c>
      <c r="G84" s="91">
        <v>0</v>
      </c>
    </row>
    <row r="85" spans="6:7" x14ac:dyDescent="0.25">
      <c r="F85" s="90" t="s">
        <v>97</v>
      </c>
      <c r="G85" s="91">
        <v>0</v>
      </c>
    </row>
    <row r="86" spans="6:7" x14ac:dyDescent="0.25">
      <c r="F86" s="90" t="s">
        <v>454</v>
      </c>
      <c r="G86" s="91">
        <v>1.736842105263158</v>
      </c>
    </row>
    <row r="87" spans="6:7" x14ac:dyDescent="0.25">
      <c r="F87" s="90" t="s">
        <v>216</v>
      </c>
      <c r="G87" s="91">
        <v>1.6527777777777777</v>
      </c>
    </row>
    <row r="93" spans="6:7" ht="30" x14ac:dyDescent="0.25">
      <c r="F93" s="136" t="s">
        <v>220</v>
      </c>
      <c r="G93" s="93" t="s">
        <v>221</v>
      </c>
    </row>
    <row r="94" spans="6:7" x14ac:dyDescent="0.25">
      <c r="F94" s="90" t="s">
        <v>61</v>
      </c>
      <c r="G94" s="91">
        <v>4</v>
      </c>
    </row>
    <row r="95" spans="6:7" x14ac:dyDescent="0.25">
      <c r="F95" s="90" t="s">
        <v>62</v>
      </c>
      <c r="G95" s="91">
        <v>1</v>
      </c>
    </row>
    <row r="96" spans="6:7" x14ac:dyDescent="0.25">
      <c r="F96" s="90" t="s">
        <v>63</v>
      </c>
      <c r="G96" s="91">
        <v>4</v>
      </c>
    </row>
    <row r="97" spans="6:18" x14ac:dyDescent="0.25">
      <c r="F97" s="90" t="s">
        <v>64</v>
      </c>
      <c r="G97" s="91">
        <v>2.5</v>
      </c>
    </row>
    <row r="98" spans="6:18" x14ac:dyDescent="0.25">
      <c r="F98" s="90" t="s">
        <v>65</v>
      </c>
      <c r="G98" s="91">
        <v>3</v>
      </c>
    </row>
    <row r="99" spans="6:18" ht="15.75" thickBot="1" x14ac:dyDescent="0.3">
      <c r="F99" s="90" t="s">
        <v>66</v>
      </c>
      <c r="G99" s="91">
        <v>2.5</v>
      </c>
    </row>
    <row r="100" spans="6:18" ht="19.5" thickBot="1" x14ac:dyDescent="0.3">
      <c r="F100" s="90" t="s">
        <v>68</v>
      </c>
      <c r="G100" s="91">
        <v>4</v>
      </c>
      <c r="J100" s="223" t="s">
        <v>224</v>
      </c>
      <c r="K100" s="224"/>
      <c r="L100" s="224"/>
      <c r="M100" s="224"/>
      <c r="N100" s="224"/>
      <c r="O100" s="224"/>
      <c r="P100" s="224"/>
      <c r="Q100" s="224"/>
      <c r="R100" s="225"/>
    </row>
    <row r="101" spans="6:18" x14ac:dyDescent="0.25">
      <c r="F101" s="90" t="s">
        <v>69</v>
      </c>
      <c r="G101" s="91">
        <v>4</v>
      </c>
    </row>
    <row r="102" spans="6:18" x14ac:dyDescent="0.25">
      <c r="F102" s="90" t="s">
        <v>70</v>
      </c>
      <c r="G102" s="91">
        <v>0</v>
      </c>
    </row>
    <row r="103" spans="6:18" x14ac:dyDescent="0.25">
      <c r="F103" s="90" t="s">
        <v>71</v>
      </c>
      <c r="G103" s="91">
        <v>0</v>
      </c>
    </row>
    <row r="104" spans="6:18" x14ac:dyDescent="0.25">
      <c r="F104" s="90" t="s">
        <v>72</v>
      </c>
      <c r="G104" s="91">
        <v>2</v>
      </c>
    </row>
    <row r="105" spans="6:18" x14ac:dyDescent="0.25">
      <c r="F105" s="90" t="s">
        <v>73</v>
      </c>
      <c r="G105" s="91">
        <v>0</v>
      </c>
    </row>
    <row r="106" spans="6:18" x14ac:dyDescent="0.25">
      <c r="F106" s="90" t="s">
        <v>74</v>
      </c>
      <c r="G106" s="91">
        <v>1</v>
      </c>
    </row>
    <row r="107" spans="6:18" x14ac:dyDescent="0.25">
      <c r="F107" s="90" t="s">
        <v>75</v>
      </c>
      <c r="G107" s="91">
        <v>0</v>
      </c>
    </row>
    <row r="108" spans="6:18" x14ac:dyDescent="0.25">
      <c r="F108" s="90" t="s">
        <v>77</v>
      </c>
      <c r="G108" s="91">
        <v>4</v>
      </c>
    </row>
    <row r="109" spans="6:18" x14ac:dyDescent="0.25">
      <c r="F109" s="90" t="s">
        <v>78</v>
      </c>
      <c r="G109" s="91">
        <v>0</v>
      </c>
    </row>
    <row r="110" spans="6:18" x14ac:dyDescent="0.25">
      <c r="F110" s="90" t="s">
        <v>79</v>
      </c>
      <c r="G110" s="91">
        <v>1</v>
      </c>
    </row>
    <row r="111" spans="6:18" x14ac:dyDescent="0.25">
      <c r="F111" s="90" t="s">
        <v>80</v>
      </c>
      <c r="G111" s="91">
        <v>1</v>
      </c>
    </row>
    <row r="112" spans="6:18" x14ac:dyDescent="0.25">
      <c r="F112" s="90" t="s">
        <v>81</v>
      </c>
      <c r="G112" s="91">
        <v>2</v>
      </c>
    </row>
    <row r="113" spans="6:18" x14ac:dyDescent="0.25">
      <c r="F113" s="90" t="s">
        <v>84</v>
      </c>
      <c r="G113" s="91">
        <v>0</v>
      </c>
    </row>
    <row r="114" spans="6:18" x14ac:dyDescent="0.25">
      <c r="F114" s="90" t="s">
        <v>85</v>
      </c>
      <c r="G114" s="91">
        <v>0</v>
      </c>
    </row>
    <row r="115" spans="6:18" x14ac:dyDescent="0.25">
      <c r="F115" s="90" t="s">
        <v>87</v>
      </c>
      <c r="G115" s="91">
        <v>0</v>
      </c>
    </row>
    <row r="116" spans="6:18" x14ac:dyDescent="0.25">
      <c r="F116" s="90" t="s">
        <v>88</v>
      </c>
      <c r="G116" s="91">
        <v>0</v>
      </c>
    </row>
    <row r="117" spans="6:18" x14ac:dyDescent="0.25">
      <c r="F117" s="90" t="s">
        <v>454</v>
      </c>
      <c r="G117" s="91">
        <v>1.736842105263158</v>
      </c>
    </row>
    <row r="118" spans="6:18" x14ac:dyDescent="0.25">
      <c r="F118" s="90" t="s">
        <v>216</v>
      </c>
      <c r="G118" s="91">
        <v>1.6527777777777777</v>
      </c>
    </row>
    <row r="119" spans="6:18" ht="15.75" thickBot="1" x14ac:dyDescent="0.3">
      <c r="F119" s="90"/>
      <c r="G119" s="91"/>
    </row>
    <row r="120" spans="6:18" ht="19.5" thickBot="1" x14ac:dyDescent="0.35">
      <c r="F120" s="136" t="s">
        <v>220</v>
      </c>
      <c r="G120" s="93" t="s">
        <v>221</v>
      </c>
      <c r="J120" s="155" t="s">
        <v>223</v>
      </c>
      <c r="K120" s="156"/>
      <c r="L120" s="156"/>
      <c r="M120" s="156"/>
      <c r="N120" s="156"/>
      <c r="O120" s="156"/>
      <c r="P120" s="156"/>
      <c r="Q120" s="156"/>
      <c r="R120" s="157"/>
    </row>
    <row r="121" spans="6:18" x14ac:dyDescent="0.25">
      <c r="F121" s="90" t="s">
        <v>234</v>
      </c>
      <c r="G121" s="91">
        <v>4</v>
      </c>
    </row>
    <row r="122" spans="6:18" x14ac:dyDescent="0.25">
      <c r="F122" s="90" t="s">
        <v>236</v>
      </c>
      <c r="G122" s="91">
        <v>4</v>
      </c>
    </row>
    <row r="123" spans="6:18" x14ac:dyDescent="0.25">
      <c r="F123" s="90" t="s">
        <v>4</v>
      </c>
      <c r="G123" s="91">
        <v>1</v>
      </c>
    </row>
    <row r="124" spans="6:18" x14ac:dyDescent="0.25">
      <c r="F124" s="90" t="s">
        <v>5</v>
      </c>
      <c r="G124" s="91">
        <v>4</v>
      </c>
    </row>
    <row r="125" spans="6:18" x14ac:dyDescent="0.25">
      <c r="F125" s="90" t="s">
        <v>7</v>
      </c>
      <c r="G125" s="91">
        <v>4</v>
      </c>
    </row>
    <row r="126" spans="6:18" x14ac:dyDescent="0.25">
      <c r="F126" s="90" t="s">
        <v>242</v>
      </c>
      <c r="G126" s="91">
        <v>1</v>
      </c>
    </row>
    <row r="127" spans="6:18" x14ac:dyDescent="0.25">
      <c r="F127" s="90" t="s">
        <v>244</v>
      </c>
      <c r="G127" s="91">
        <v>3</v>
      </c>
    </row>
    <row r="128" spans="6:18" x14ac:dyDescent="0.25">
      <c r="F128" s="90" t="s">
        <v>8</v>
      </c>
      <c r="G128" s="91">
        <v>3</v>
      </c>
    </row>
    <row r="129" spans="6:7" x14ac:dyDescent="0.25">
      <c r="F129" s="90" t="s">
        <v>247</v>
      </c>
      <c r="G129" s="91">
        <v>2</v>
      </c>
    </row>
    <row r="130" spans="6:7" x14ac:dyDescent="0.25">
      <c r="F130" s="90" t="s">
        <v>9</v>
      </c>
      <c r="G130" s="91">
        <v>4</v>
      </c>
    </row>
    <row r="131" spans="6:7" x14ac:dyDescent="0.25">
      <c r="F131" s="90" t="s">
        <v>10</v>
      </c>
      <c r="G131" s="91">
        <v>4</v>
      </c>
    </row>
    <row r="132" spans="6:7" x14ac:dyDescent="0.25">
      <c r="F132" s="90" t="s">
        <v>252</v>
      </c>
      <c r="G132" s="91">
        <v>0</v>
      </c>
    </row>
    <row r="133" spans="6:7" x14ac:dyDescent="0.25">
      <c r="F133" s="90" t="s">
        <v>257</v>
      </c>
      <c r="G133" s="91">
        <v>0</v>
      </c>
    </row>
    <row r="134" spans="6:7" x14ac:dyDescent="0.25">
      <c r="F134" s="90" t="s">
        <v>13</v>
      </c>
      <c r="G134" s="91">
        <v>4</v>
      </c>
    </row>
    <row r="135" spans="6:7" x14ac:dyDescent="0.25">
      <c r="F135" s="90" t="s">
        <v>14</v>
      </c>
      <c r="G135" s="91">
        <v>0</v>
      </c>
    </row>
    <row r="136" spans="6:7" x14ac:dyDescent="0.25">
      <c r="F136" s="90" t="s">
        <v>263</v>
      </c>
      <c r="G136" s="91">
        <v>0</v>
      </c>
    </row>
    <row r="137" spans="6:7" x14ac:dyDescent="0.25">
      <c r="F137" s="90" t="s">
        <v>15</v>
      </c>
      <c r="G137" s="91">
        <v>1</v>
      </c>
    </row>
    <row r="138" spans="6:7" x14ac:dyDescent="0.25">
      <c r="F138" s="90" t="s">
        <v>266</v>
      </c>
      <c r="G138" s="91">
        <v>0</v>
      </c>
    </row>
    <row r="139" spans="6:7" x14ac:dyDescent="0.25">
      <c r="F139" s="90" t="s">
        <v>272</v>
      </c>
      <c r="G139" s="91">
        <v>4</v>
      </c>
    </row>
    <row r="140" spans="6:7" x14ac:dyDescent="0.25">
      <c r="F140" s="90" t="s">
        <v>18</v>
      </c>
      <c r="G140" s="91">
        <v>0</v>
      </c>
    </row>
    <row r="141" spans="6:7" x14ac:dyDescent="0.25">
      <c r="F141" s="90" t="s">
        <v>276</v>
      </c>
      <c r="G141" s="91">
        <v>0</v>
      </c>
    </row>
    <row r="142" spans="6:7" x14ac:dyDescent="0.25">
      <c r="F142" s="90" t="s">
        <v>278</v>
      </c>
      <c r="G142" s="91">
        <v>0</v>
      </c>
    </row>
    <row r="143" spans="6:7" x14ac:dyDescent="0.25">
      <c r="F143" s="90" t="s">
        <v>20</v>
      </c>
      <c r="G143" s="91">
        <v>4</v>
      </c>
    </row>
    <row r="144" spans="6:7" x14ac:dyDescent="0.25">
      <c r="F144" s="90" t="s">
        <v>21</v>
      </c>
      <c r="G144" s="91">
        <v>0</v>
      </c>
    </row>
    <row r="145" spans="6:7" x14ac:dyDescent="0.25">
      <c r="F145" s="90" t="s">
        <v>282</v>
      </c>
      <c r="G145" s="91">
        <v>0</v>
      </c>
    </row>
    <row r="146" spans="6:7" x14ac:dyDescent="0.25">
      <c r="F146" s="90" t="s">
        <v>284</v>
      </c>
      <c r="G146" s="91">
        <v>2</v>
      </c>
    </row>
    <row r="147" spans="6:7" x14ac:dyDescent="0.25">
      <c r="F147" s="90" t="s">
        <v>23</v>
      </c>
      <c r="G147" s="91">
        <v>2</v>
      </c>
    </row>
    <row r="148" spans="6:7" x14ac:dyDescent="0.25">
      <c r="F148" s="90" t="s">
        <v>24</v>
      </c>
      <c r="G148" s="91">
        <v>2</v>
      </c>
    </row>
    <row r="149" spans="6:7" x14ac:dyDescent="0.25">
      <c r="F149" s="90" t="s">
        <v>25</v>
      </c>
      <c r="G149" s="91">
        <v>0</v>
      </c>
    </row>
    <row r="150" spans="6:7" x14ac:dyDescent="0.25">
      <c r="F150" s="90" t="s">
        <v>26</v>
      </c>
      <c r="G150" s="91">
        <v>0</v>
      </c>
    </row>
    <row r="151" spans="6:7" x14ac:dyDescent="0.25">
      <c r="F151" s="90" t="s">
        <v>291</v>
      </c>
      <c r="G151" s="91">
        <v>0</v>
      </c>
    </row>
    <row r="152" spans="6:7" x14ac:dyDescent="0.25">
      <c r="F152" s="90" t="s">
        <v>293</v>
      </c>
      <c r="G152" s="91">
        <v>0</v>
      </c>
    </row>
    <row r="153" spans="6:7" x14ac:dyDescent="0.25">
      <c r="F153" s="90" t="s">
        <v>295</v>
      </c>
      <c r="G153" s="91">
        <v>0</v>
      </c>
    </row>
    <row r="154" spans="6:7" x14ac:dyDescent="0.25">
      <c r="F154" s="90" t="s">
        <v>27</v>
      </c>
      <c r="G154" s="91">
        <v>0</v>
      </c>
    </row>
    <row r="155" spans="6:7" x14ac:dyDescent="0.25">
      <c r="F155" s="90" t="s">
        <v>298</v>
      </c>
      <c r="G155" s="91">
        <v>0</v>
      </c>
    </row>
    <row r="156" spans="6:7" x14ac:dyDescent="0.25">
      <c r="F156" s="90" t="s">
        <v>302</v>
      </c>
      <c r="G156" s="91">
        <v>0</v>
      </c>
    </row>
    <row r="157" spans="6:7" x14ac:dyDescent="0.25">
      <c r="F157" s="90" t="s">
        <v>304</v>
      </c>
      <c r="G157" s="91">
        <v>4</v>
      </c>
    </row>
    <row r="158" spans="6:7" x14ac:dyDescent="0.25">
      <c r="F158" s="90" t="s">
        <v>306</v>
      </c>
      <c r="G158" s="91">
        <v>4</v>
      </c>
    </row>
    <row r="159" spans="6:7" x14ac:dyDescent="0.25">
      <c r="F159" s="90" t="s">
        <v>308</v>
      </c>
      <c r="G159" s="91">
        <v>0</v>
      </c>
    </row>
    <row r="160" spans="6:7" x14ac:dyDescent="0.25">
      <c r="F160" s="90" t="s">
        <v>310</v>
      </c>
      <c r="G160" s="91">
        <v>2</v>
      </c>
    </row>
    <row r="161" spans="6:7" x14ac:dyDescent="0.25">
      <c r="F161" s="90" t="s">
        <v>314</v>
      </c>
      <c r="G161" s="91">
        <v>2</v>
      </c>
    </row>
    <row r="162" spans="6:7" x14ac:dyDescent="0.25">
      <c r="F162" s="90" t="s">
        <v>316</v>
      </c>
      <c r="G162" s="91">
        <v>0</v>
      </c>
    </row>
    <row r="163" spans="6:7" x14ac:dyDescent="0.25">
      <c r="F163" s="90" t="s">
        <v>319</v>
      </c>
      <c r="G163" s="91">
        <v>4</v>
      </c>
    </row>
    <row r="164" spans="6:7" x14ac:dyDescent="0.25">
      <c r="F164" s="90" t="s">
        <v>321</v>
      </c>
      <c r="G164" s="91">
        <v>0</v>
      </c>
    </row>
    <row r="165" spans="6:7" x14ac:dyDescent="0.25">
      <c r="F165" s="90" t="s">
        <v>323</v>
      </c>
      <c r="G165" s="91">
        <v>0</v>
      </c>
    </row>
    <row r="166" spans="6:7" x14ac:dyDescent="0.25">
      <c r="F166" s="90" t="s">
        <v>32</v>
      </c>
      <c r="G166" s="91">
        <v>0</v>
      </c>
    </row>
    <row r="167" spans="6:7" x14ac:dyDescent="0.25">
      <c r="F167" s="90" t="s">
        <v>327</v>
      </c>
      <c r="G167" s="91">
        <v>2</v>
      </c>
    </row>
    <row r="168" spans="6:7" x14ac:dyDescent="0.25">
      <c r="F168" s="90" t="s">
        <v>329</v>
      </c>
      <c r="G168" s="91">
        <v>1</v>
      </c>
    </row>
    <row r="169" spans="6:7" x14ac:dyDescent="0.25">
      <c r="F169" s="90" t="s">
        <v>33</v>
      </c>
      <c r="G169" s="91">
        <v>0</v>
      </c>
    </row>
    <row r="170" spans="6:7" x14ac:dyDescent="0.25">
      <c r="F170" s="90" t="s">
        <v>34</v>
      </c>
      <c r="G170" s="91">
        <v>2</v>
      </c>
    </row>
    <row r="171" spans="6:7" x14ac:dyDescent="0.25">
      <c r="F171" s="90" t="s">
        <v>35</v>
      </c>
      <c r="G171" s="91">
        <v>0</v>
      </c>
    </row>
    <row r="172" spans="6:7" x14ac:dyDescent="0.25">
      <c r="F172" s="90" t="s">
        <v>36</v>
      </c>
      <c r="G172" s="91">
        <v>3</v>
      </c>
    </row>
    <row r="173" spans="6:7" x14ac:dyDescent="0.25">
      <c r="F173" s="90" t="s">
        <v>37</v>
      </c>
      <c r="G173" s="91">
        <v>0</v>
      </c>
    </row>
    <row r="174" spans="6:7" x14ac:dyDescent="0.25">
      <c r="F174" s="90" t="s">
        <v>338</v>
      </c>
      <c r="G174" s="91">
        <v>3</v>
      </c>
    </row>
    <row r="175" spans="6:7" x14ac:dyDescent="0.25">
      <c r="F175" s="90" t="s">
        <v>38</v>
      </c>
      <c r="G175" s="91">
        <v>2</v>
      </c>
    </row>
    <row r="176" spans="6:7" x14ac:dyDescent="0.25">
      <c r="F176" s="90" t="s">
        <v>39</v>
      </c>
      <c r="G176" s="91">
        <v>0</v>
      </c>
    </row>
    <row r="177" spans="6:7" x14ac:dyDescent="0.25">
      <c r="F177" s="90" t="s">
        <v>342</v>
      </c>
      <c r="G177" s="91">
        <v>4</v>
      </c>
    </row>
    <row r="178" spans="6:7" x14ac:dyDescent="0.25">
      <c r="F178" s="90" t="s">
        <v>40</v>
      </c>
      <c r="G178" s="91">
        <v>1</v>
      </c>
    </row>
    <row r="179" spans="6:7" x14ac:dyDescent="0.25">
      <c r="F179" s="90" t="s">
        <v>346</v>
      </c>
      <c r="G179" s="91">
        <v>1</v>
      </c>
    </row>
    <row r="180" spans="6:7" x14ac:dyDescent="0.25">
      <c r="F180" s="90" t="s">
        <v>349</v>
      </c>
      <c r="G180" s="91">
        <v>1</v>
      </c>
    </row>
    <row r="181" spans="6:7" x14ac:dyDescent="0.25">
      <c r="F181" s="90" t="s">
        <v>356</v>
      </c>
      <c r="G181" s="91">
        <v>3</v>
      </c>
    </row>
    <row r="182" spans="6:7" x14ac:dyDescent="0.25">
      <c r="F182" s="90" t="s">
        <v>47</v>
      </c>
      <c r="G182" s="91">
        <v>2</v>
      </c>
    </row>
    <row r="183" spans="6:7" x14ac:dyDescent="0.25">
      <c r="F183" s="90" t="s">
        <v>48</v>
      </c>
      <c r="G183" s="91">
        <v>2</v>
      </c>
    </row>
    <row r="184" spans="6:7" x14ac:dyDescent="0.25">
      <c r="F184" s="90" t="s">
        <v>361</v>
      </c>
      <c r="G184" s="91">
        <v>1</v>
      </c>
    </row>
    <row r="185" spans="6:7" x14ac:dyDescent="0.25">
      <c r="F185" s="90" t="s">
        <v>364</v>
      </c>
      <c r="G185" s="91">
        <v>0</v>
      </c>
    </row>
    <row r="186" spans="6:7" x14ac:dyDescent="0.25">
      <c r="F186" s="90" t="s">
        <v>370</v>
      </c>
      <c r="G186" s="91">
        <v>4</v>
      </c>
    </row>
    <row r="187" spans="6:7" x14ac:dyDescent="0.25">
      <c r="F187" s="90" t="s">
        <v>386</v>
      </c>
      <c r="G187" s="91">
        <v>4</v>
      </c>
    </row>
    <row r="188" spans="6:7" x14ac:dyDescent="0.25">
      <c r="F188" s="90" t="s">
        <v>53</v>
      </c>
      <c r="G188" s="91">
        <v>4</v>
      </c>
    </row>
    <row r="189" spans="6:7" x14ac:dyDescent="0.25">
      <c r="F189" s="90" t="s">
        <v>55</v>
      </c>
      <c r="G189" s="91">
        <v>2</v>
      </c>
    </row>
    <row r="190" spans="6:7" x14ac:dyDescent="0.25">
      <c r="F190" s="90" t="s">
        <v>376</v>
      </c>
      <c r="G190" s="91">
        <v>3</v>
      </c>
    </row>
    <row r="191" spans="6:7" x14ac:dyDescent="0.25">
      <c r="F191" s="90" t="s">
        <v>378</v>
      </c>
      <c r="G191" s="91">
        <v>4</v>
      </c>
    </row>
    <row r="192" spans="6:7" x14ac:dyDescent="0.25">
      <c r="F192" s="90" t="s">
        <v>380</v>
      </c>
      <c r="G192" s="91">
        <v>1</v>
      </c>
    </row>
    <row r="193" spans="6:7" x14ac:dyDescent="0.25">
      <c r="F193" s="90" t="s">
        <v>216</v>
      </c>
      <c r="G193" s="91">
        <v>1.6527777777777777</v>
      </c>
    </row>
  </sheetData>
  <mergeCells count="88">
    <mergeCell ref="O63:O68"/>
    <mergeCell ref="P63:P68"/>
    <mergeCell ref="M64:M66"/>
    <mergeCell ref="N64:N66"/>
    <mergeCell ref="M69:M74"/>
    <mergeCell ref="N69:N74"/>
    <mergeCell ref="O69:O74"/>
    <mergeCell ref="P69:P74"/>
    <mergeCell ref="M52:M56"/>
    <mergeCell ref="N52:N56"/>
    <mergeCell ref="O52:O62"/>
    <mergeCell ref="P52:P62"/>
    <mergeCell ref="M57:M59"/>
    <mergeCell ref="N57:N59"/>
    <mergeCell ref="M60:M61"/>
    <mergeCell ref="N60:N61"/>
    <mergeCell ref="P43:P51"/>
    <mergeCell ref="M45:M47"/>
    <mergeCell ref="N45:N47"/>
    <mergeCell ref="M48:M50"/>
    <mergeCell ref="N48:N50"/>
    <mergeCell ref="M41:M42"/>
    <mergeCell ref="N41:N42"/>
    <mergeCell ref="M43:M44"/>
    <mergeCell ref="N43:N44"/>
    <mergeCell ref="O43:O51"/>
    <mergeCell ref="I63:I68"/>
    <mergeCell ref="H64:H66"/>
    <mergeCell ref="H69:H74"/>
    <mergeCell ref="I69:I74"/>
    <mergeCell ref="O3:O11"/>
    <mergeCell ref="M5:M6"/>
    <mergeCell ref="N5:N6"/>
    <mergeCell ref="M7:M9"/>
    <mergeCell ref="N7:N9"/>
    <mergeCell ref="M12:M13"/>
    <mergeCell ref="N12:N13"/>
    <mergeCell ref="O12:O22"/>
    <mergeCell ref="M16:M18"/>
    <mergeCell ref="N16:N18"/>
    <mergeCell ref="M19:M20"/>
    <mergeCell ref="N19:N20"/>
    <mergeCell ref="H43:H44"/>
    <mergeCell ref="I43:I51"/>
    <mergeCell ref="H45:H47"/>
    <mergeCell ref="H48:H50"/>
    <mergeCell ref="H52:H56"/>
    <mergeCell ref="I52:I62"/>
    <mergeCell ref="H57:H59"/>
    <mergeCell ref="H60:H61"/>
    <mergeCell ref="H23:H24"/>
    <mergeCell ref="P12:P22"/>
    <mergeCell ref="H10:H11"/>
    <mergeCell ref="M10:M11"/>
    <mergeCell ref="N10:N11"/>
    <mergeCell ref="I23:I42"/>
    <mergeCell ref="H25:H28"/>
    <mergeCell ref="H30:H35"/>
    <mergeCell ref="H36:H37"/>
    <mergeCell ref="H38:H40"/>
    <mergeCell ref="H41:H42"/>
    <mergeCell ref="H12:H13"/>
    <mergeCell ref="I12:I22"/>
    <mergeCell ref="H16:H18"/>
    <mergeCell ref="H19:H20"/>
    <mergeCell ref="M36:M37"/>
    <mergeCell ref="H3:H4"/>
    <mergeCell ref="M3:M4"/>
    <mergeCell ref="N3:N4"/>
    <mergeCell ref="I3:I11"/>
    <mergeCell ref="H5:H6"/>
    <mergeCell ref="H7:H9"/>
    <mergeCell ref="J120:R120"/>
    <mergeCell ref="J76:R76"/>
    <mergeCell ref="J78:R78"/>
    <mergeCell ref="J100:R100"/>
    <mergeCell ref="P3:P11"/>
    <mergeCell ref="O23:O42"/>
    <mergeCell ref="P23:P42"/>
    <mergeCell ref="M25:M28"/>
    <mergeCell ref="N25:N28"/>
    <mergeCell ref="M30:M35"/>
    <mergeCell ref="N30:N35"/>
    <mergeCell ref="M23:M24"/>
    <mergeCell ref="N23:N24"/>
    <mergeCell ref="N36:N37"/>
    <mergeCell ref="M38:M40"/>
    <mergeCell ref="N38:N40"/>
  </mergeCells>
  <pageMargins left="0.70866141732283472" right="0.70866141732283472" top="0.74803149606299213" bottom="0.55118110236220474" header="0.31496062992125984" footer="0.31496062992125984"/>
  <pageSetup paperSize="9" orientation="portrait" verticalDpi="0"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Views>
    <sheetView view="pageBreakPreview" topLeftCell="A70" zoomScaleNormal="100" zoomScaleSheetLayoutView="100" zoomScalePageLayoutView="80" workbookViewId="0">
      <selection activeCell="A77" sqref="A77:E77"/>
    </sheetView>
  </sheetViews>
  <sheetFormatPr defaultColWidth="9.140625" defaultRowHeight="18" x14ac:dyDescent="0.25"/>
  <cols>
    <col min="1" max="1" width="6" style="65" bestFit="1" customWidth="1"/>
    <col min="2" max="2" width="44.5703125" style="127" customWidth="1"/>
    <col min="3" max="3" width="27.5703125" style="65" customWidth="1"/>
    <col min="4" max="5" width="20.42578125" style="65" customWidth="1"/>
    <col min="6" max="6" width="1.5703125" style="66" customWidth="1"/>
    <col min="7" max="7" width="20.28515625" style="66" hidden="1" customWidth="1"/>
    <col min="8" max="8" width="0" style="66" hidden="1" customWidth="1"/>
    <col min="9" max="9" width="14.42578125" style="66" hidden="1" customWidth="1"/>
    <col min="10" max="16384" width="9.140625" style="66"/>
  </cols>
  <sheetData>
    <row r="1" spans="1:9" x14ac:dyDescent="0.25">
      <c r="A1" s="239" t="s">
        <v>206</v>
      </c>
      <c r="B1" s="239"/>
      <c r="C1" s="239"/>
      <c r="D1" s="239"/>
      <c r="E1" s="239"/>
    </row>
    <row r="2" spans="1:9" ht="20.100000000000001" customHeight="1" x14ac:dyDescent="0.25">
      <c r="A2" s="212" t="s">
        <v>203</v>
      </c>
      <c r="B2" s="212"/>
      <c r="C2" s="212" t="str">
        <f>'Autonomous 107m'!$J$2</f>
        <v>Institute
Name</v>
      </c>
      <c r="D2" s="212"/>
      <c r="E2" s="212"/>
    </row>
    <row r="3" spans="1:9" ht="20.100000000000001" customHeight="1" x14ac:dyDescent="0.25">
      <c r="A3" s="212" t="s">
        <v>204</v>
      </c>
      <c r="B3" s="212"/>
      <c r="C3" s="212" t="str">
        <f>'Autonomous 107m'!K$1</f>
        <v>Autonomous</v>
      </c>
      <c r="D3" s="212"/>
      <c r="E3" s="212"/>
    </row>
    <row r="4" spans="1:9" ht="20.100000000000001" customHeight="1" x14ac:dyDescent="0.25">
      <c r="A4" s="213" t="s">
        <v>205</v>
      </c>
      <c r="B4" s="213"/>
      <c r="C4" s="214"/>
      <c r="D4" s="214"/>
      <c r="E4" s="214"/>
    </row>
    <row r="5" spans="1:9" s="65" customFormat="1" ht="108" x14ac:dyDescent="0.25">
      <c r="A5" s="83" t="s">
        <v>163</v>
      </c>
      <c r="B5" s="84" t="s">
        <v>108</v>
      </c>
      <c r="C5" s="84" t="s">
        <v>130</v>
      </c>
      <c r="D5" s="84" t="s">
        <v>160</v>
      </c>
      <c r="E5" s="84" t="s">
        <v>214</v>
      </c>
      <c r="G5" s="85" t="s">
        <v>153</v>
      </c>
      <c r="H5" s="85" t="s">
        <v>154</v>
      </c>
      <c r="I5" s="86" t="s">
        <v>138</v>
      </c>
    </row>
    <row r="6" spans="1:9" s="87" customFormat="1" ht="50.1" customHeight="1" x14ac:dyDescent="0.25">
      <c r="A6" s="75">
        <v>1</v>
      </c>
      <c r="B6" s="125" t="s">
        <v>131</v>
      </c>
      <c r="C6" s="75">
        <v>120</v>
      </c>
      <c r="D6" s="75">
        <f>SUM('Qn (72m)'!O3:O11)</f>
        <v>410</v>
      </c>
      <c r="E6" s="77">
        <f>D6/C6</f>
        <v>3.4166666666666665</v>
      </c>
      <c r="G6" s="75" t="s">
        <v>139</v>
      </c>
      <c r="H6" s="75" t="s">
        <v>140</v>
      </c>
      <c r="I6" s="75" t="s">
        <v>141</v>
      </c>
    </row>
    <row r="7" spans="1:9" s="87" customFormat="1" ht="50.1" customHeight="1" x14ac:dyDescent="0.25">
      <c r="A7" s="75">
        <v>2</v>
      </c>
      <c r="B7" s="125" t="s">
        <v>132</v>
      </c>
      <c r="C7" s="75">
        <v>200</v>
      </c>
      <c r="D7" s="75">
        <f>SUM('Qn (72m)'!O12:O22)</f>
        <v>619</v>
      </c>
      <c r="E7" s="77">
        <f t="shared" ref="E7:E12" si="0">D7/C7</f>
        <v>3.0950000000000002</v>
      </c>
      <c r="G7" s="75" t="s">
        <v>142</v>
      </c>
      <c r="H7" s="75" t="s">
        <v>149</v>
      </c>
      <c r="I7" s="75" t="s">
        <v>141</v>
      </c>
    </row>
    <row r="8" spans="1:9" s="87" customFormat="1" ht="50.1" customHeight="1" x14ac:dyDescent="0.25">
      <c r="A8" s="75">
        <v>3</v>
      </c>
      <c r="B8" s="125" t="s">
        <v>133</v>
      </c>
      <c r="C8" s="75">
        <v>129</v>
      </c>
      <c r="D8" s="75">
        <f>SUM('Qn (72m)'!O23:O42)</f>
        <v>207</v>
      </c>
      <c r="E8" s="77">
        <f t="shared" si="0"/>
        <v>1.6046511627906976</v>
      </c>
      <c r="G8" s="75" t="s">
        <v>143</v>
      </c>
      <c r="H8" s="75" t="s">
        <v>125</v>
      </c>
      <c r="I8" s="75" t="s">
        <v>141</v>
      </c>
    </row>
    <row r="9" spans="1:9" s="87" customFormat="1" ht="50.1" customHeight="1" x14ac:dyDescent="0.25">
      <c r="A9" s="75">
        <v>4</v>
      </c>
      <c r="B9" s="125" t="s">
        <v>134</v>
      </c>
      <c r="C9" s="75">
        <v>67</v>
      </c>
      <c r="D9" s="75">
        <f>SUM('Qn (72m)'!O43:O51)</f>
        <v>153</v>
      </c>
      <c r="E9" s="77">
        <f t="shared" si="0"/>
        <v>2.283582089552239</v>
      </c>
      <c r="G9" s="75" t="s">
        <v>144</v>
      </c>
      <c r="H9" s="75" t="s">
        <v>150</v>
      </c>
      <c r="I9" s="75" t="s">
        <v>141</v>
      </c>
    </row>
    <row r="10" spans="1:9" s="87" customFormat="1" ht="50.1" customHeight="1" x14ac:dyDescent="0.25">
      <c r="A10" s="75">
        <v>5</v>
      </c>
      <c r="B10" s="125" t="s">
        <v>135</v>
      </c>
      <c r="C10" s="75">
        <v>85</v>
      </c>
      <c r="D10" s="75">
        <f>SUM('Qn (72m)'!O52:O62)</f>
        <v>208</v>
      </c>
      <c r="E10" s="77">
        <f t="shared" si="0"/>
        <v>2.447058823529412</v>
      </c>
      <c r="G10" s="75" t="s">
        <v>145</v>
      </c>
      <c r="H10" s="75" t="s">
        <v>151</v>
      </c>
      <c r="I10" s="75" t="s">
        <v>141</v>
      </c>
    </row>
    <row r="11" spans="1:9" s="87" customFormat="1" ht="50.1" customHeight="1" x14ac:dyDescent="0.25">
      <c r="A11" s="75">
        <v>6</v>
      </c>
      <c r="B11" s="125" t="s">
        <v>136</v>
      </c>
      <c r="C11" s="75">
        <v>50</v>
      </c>
      <c r="D11" s="75">
        <f>SUM('Qn (72m)'!O63:O68)</f>
        <v>148</v>
      </c>
      <c r="E11" s="77">
        <f t="shared" si="0"/>
        <v>2.96</v>
      </c>
      <c r="G11" s="75" t="s">
        <v>146</v>
      </c>
      <c r="H11" s="75" t="s">
        <v>126</v>
      </c>
      <c r="I11" s="75" t="s">
        <v>141</v>
      </c>
    </row>
    <row r="12" spans="1:9" s="87" customFormat="1" ht="50.1" customHeight="1" x14ac:dyDescent="0.25">
      <c r="A12" s="75">
        <v>7</v>
      </c>
      <c r="B12" s="125" t="s">
        <v>137</v>
      </c>
      <c r="C12" s="75">
        <v>27</v>
      </c>
      <c r="D12" s="75">
        <f>SUM('Qn (72m)'!O69:O74)</f>
        <v>59</v>
      </c>
      <c r="E12" s="77">
        <f t="shared" si="0"/>
        <v>2.1851851851851851</v>
      </c>
      <c r="G12" s="75" t="s">
        <v>148</v>
      </c>
      <c r="H12" s="75" t="s">
        <v>128</v>
      </c>
      <c r="I12" s="75" t="s">
        <v>141</v>
      </c>
    </row>
    <row r="13" spans="1:9" ht="66" customHeight="1" x14ac:dyDescent="0.25">
      <c r="A13" s="204" t="s">
        <v>215</v>
      </c>
      <c r="B13" s="204"/>
      <c r="C13" s="75">
        <f>SUM(C6:C12)</f>
        <v>678</v>
      </c>
      <c r="D13" s="122">
        <f>SUM(D6:D12)</f>
        <v>1804</v>
      </c>
      <c r="E13" s="77">
        <f>D13/C13</f>
        <v>2.6607669616519174</v>
      </c>
      <c r="G13" s="62" t="s">
        <v>147</v>
      </c>
      <c r="H13" s="62" t="s">
        <v>127</v>
      </c>
      <c r="I13" s="62" t="s">
        <v>152</v>
      </c>
    </row>
    <row r="14" spans="1:9" s="80" customFormat="1" ht="24.95" customHeight="1" thickBot="1" x14ac:dyDescent="0.3">
      <c r="A14" s="79"/>
      <c r="B14" s="126"/>
      <c r="C14" s="79"/>
      <c r="D14" s="79"/>
      <c r="E14" s="81"/>
    </row>
    <row r="15" spans="1:9" ht="73.5" customHeight="1" thickBot="1" x14ac:dyDescent="0.3">
      <c r="A15" s="170">
        <f>D13/C13</f>
        <v>2.6607669616519174</v>
      </c>
      <c r="B15" s="171"/>
      <c r="C15" s="171"/>
      <c r="D15" s="171"/>
      <c r="E15" s="172"/>
    </row>
    <row r="16" spans="1:9" ht="18.75" thickBot="1" x14ac:dyDescent="0.3">
      <c r="D16" s="82"/>
      <c r="E16" s="79"/>
    </row>
    <row r="17" spans="1:5" ht="33.75" customHeight="1" thickBot="1" x14ac:dyDescent="0.3">
      <c r="A17" s="163" t="str">
        <f>IF(AND($A$15&lt;=4,$A$15&gt;=3.51),"A++",IF(AND($A$15&lt;=3.5,$A$15&gt;=3.26),"A+",IF(AND($A$15&lt;=3.25,$A$15&gt;3.01),"A",IF(AND($A$15&lt;=3,$A$15&gt;=2.76),"B++",IF(AND($A$15&lt;=2.75,$A$15&gt;=2.51),"B+",IF(AND($A$15&lt;=2.5,$A$15&gt;=2.01),"B",IF(AND($A$15&lt;=2,$A$15&gt;=1.51),"C","D")))))))</f>
        <v>B+</v>
      </c>
      <c r="B17" s="164"/>
      <c r="C17" s="164"/>
      <c r="D17" s="164"/>
      <c r="E17" s="165"/>
    </row>
    <row r="18" spans="1:5" x14ac:dyDescent="0.25">
      <c r="D18" s="82"/>
      <c r="E18" s="79"/>
    </row>
    <row r="19" spans="1:5" ht="22.5" customHeight="1" x14ac:dyDescent="0.25">
      <c r="A19" s="211" t="s">
        <v>217</v>
      </c>
      <c r="B19" s="211"/>
      <c r="C19" s="211"/>
      <c r="D19" s="211"/>
      <c r="E19" s="211"/>
    </row>
    <row r="20" spans="1:5" ht="22.5" customHeight="1" x14ac:dyDescent="0.25">
      <c r="A20" s="212" t="s">
        <v>203</v>
      </c>
      <c r="B20" s="212"/>
      <c r="C20" s="212" t="str">
        <f>'Autonomous 107m'!$J$2</f>
        <v>Institute
Name</v>
      </c>
      <c r="D20" s="212"/>
      <c r="E20" s="212"/>
    </row>
    <row r="21" spans="1:5" ht="22.5" customHeight="1" x14ac:dyDescent="0.25">
      <c r="A21" s="212" t="s">
        <v>204</v>
      </c>
      <c r="B21" s="212"/>
      <c r="C21" s="212" t="str">
        <f>'Autonomous 107m'!$K$1</f>
        <v>Autonomous</v>
      </c>
      <c r="D21" s="212"/>
      <c r="E21" s="212"/>
    </row>
    <row r="22" spans="1:5" ht="22.5" customHeight="1" x14ac:dyDescent="0.25">
      <c r="A22" s="213" t="s">
        <v>205</v>
      </c>
      <c r="B22" s="213"/>
      <c r="C22" s="214"/>
      <c r="D22" s="214"/>
      <c r="E22" s="214"/>
    </row>
    <row r="23" spans="1:5" s="65" customFormat="1" ht="72" x14ac:dyDescent="0.25">
      <c r="A23" s="60" t="s">
        <v>163</v>
      </c>
      <c r="B23" s="61" t="s">
        <v>155</v>
      </c>
      <c r="C23" s="61" t="s">
        <v>207</v>
      </c>
      <c r="D23" s="215" t="s">
        <v>208</v>
      </c>
      <c r="E23" s="216"/>
    </row>
    <row r="24" spans="1:5" s="65" customFormat="1" ht="27.95" customHeight="1" x14ac:dyDescent="0.25">
      <c r="A24" s="178" t="s">
        <v>161</v>
      </c>
      <c r="B24" s="178"/>
      <c r="C24" s="178"/>
      <c r="D24" s="178"/>
      <c r="E24" s="178"/>
    </row>
    <row r="25" spans="1:5" ht="27" customHeight="1" x14ac:dyDescent="0.25">
      <c r="A25" s="109">
        <v>1.1000000000000001</v>
      </c>
      <c r="B25" s="128" t="s">
        <v>201</v>
      </c>
      <c r="C25" s="109">
        <v>30</v>
      </c>
      <c r="D25" s="173">
        <f>SUM('Qn (72m)'!M3:M4)</f>
        <v>120</v>
      </c>
      <c r="E25" s="174"/>
    </row>
    <row r="26" spans="1:5" ht="27" customHeight="1" x14ac:dyDescent="0.25">
      <c r="A26" s="109">
        <v>1.2</v>
      </c>
      <c r="B26" s="128" t="s">
        <v>198</v>
      </c>
      <c r="C26" s="109">
        <v>40</v>
      </c>
      <c r="D26" s="173">
        <f>SUM('Qn (72m)'!M5:M6)</f>
        <v>160</v>
      </c>
      <c r="E26" s="174"/>
    </row>
    <row r="27" spans="1:5" ht="27" customHeight="1" x14ac:dyDescent="0.25">
      <c r="A27" s="109">
        <v>1.3</v>
      </c>
      <c r="B27" s="128" t="s">
        <v>199</v>
      </c>
      <c r="C27" s="109">
        <v>30</v>
      </c>
      <c r="D27" s="173">
        <f>SUM('Qn (72m)'!M7:M9)</f>
        <v>80</v>
      </c>
      <c r="E27" s="174"/>
    </row>
    <row r="28" spans="1:5" ht="27" customHeight="1" x14ac:dyDescent="0.25">
      <c r="A28" s="109">
        <v>1.4</v>
      </c>
      <c r="B28" s="128" t="s">
        <v>200</v>
      </c>
      <c r="C28" s="109">
        <v>20</v>
      </c>
      <c r="D28" s="173">
        <f>SUM('Qn (72m)'!M10:M11)</f>
        <v>50</v>
      </c>
      <c r="E28" s="174"/>
    </row>
    <row r="29" spans="1:5" ht="30" customHeight="1" thickBot="1" x14ac:dyDescent="0.3">
      <c r="A29" s="179" t="s">
        <v>215</v>
      </c>
      <c r="B29" s="180"/>
      <c r="C29" s="102">
        <f>SUM(C25:C28)</f>
        <v>120</v>
      </c>
      <c r="D29" s="198">
        <f>SUM(D25:D28)</f>
        <v>410</v>
      </c>
      <c r="E29" s="199"/>
    </row>
    <row r="30" spans="1:5" ht="30.75" customHeight="1" thickBot="1" x14ac:dyDescent="0.3">
      <c r="A30" s="170">
        <f>D29/C29</f>
        <v>3.4166666666666665</v>
      </c>
      <c r="B30" s="171"/>
      <c r="C30" s="171"/>
      <c r="D30" s="171"/>
      <c r="E30" s="172"/>
    </row>
    <row r="31" spans="1:5" ht="27.95" customHeight="1" x14ac:dyDescent="0.25">
      <c r="A31" s="203" t="s">
        <v>162</v>
      </c>
      <c r="B31" s="203"/>
      <c r="C31" s="203"/>
      <c r="D31" s="203"/>
      <c r="E31" s="203"/>
    </row>
    <row r="32" spans="1:5" ht="27" customHeight="1" x14ac:dyDescent="0.25">
      <c r="A32" s="109">
        <v>2.1</v>
      </c>
      <c r="B32" s="129" t="s">
        <v>168</v>
      </c>
      <c r="C32" s="109">
        <v>20</v>
      </c>
      <c r="D32" s="173">
        <f>SUM('Qn (72m)'!M12:M13)</f>
        <v>80</v>
      </c>
      <c r="E32" s="174"/>
    </row>
    <row r="33" spans="1:5" ht="27" customHeight="1" x14ac:dyDescent="0.25">
      <c r="A33" s="109">
        <v>2.2000000000000002</v>
      </c>
      <c r="B33" s="129" t="s">
        <v>169</v>
      </c>
      <c r="C33" s="109">
        <v>15</v>
      </c>
      <c r="D33" s="173">
        <f>SUM('Qn (72m)'!M14)</f>
        <v>45</v>
      </c>
      <c r="E33" s="174"/>
    </row>
    <row r="34" spans="1:5" ht="27" customHeight="1" x14ac:dyDescent="0.25">
      <c r="A34" s="109">
        <v>2.2999999999999998</v>
      </c>
      <c r="B34" s="129" t="s">
        <v>170</v>
      </c>
      <c r="C34" s="109">
        <v>10</v>
      </c>
      <c r="D34" s="173">
        <f>SUM('Qn (72m)'!M15)</f>
        <v>30</v>
      </c>
      <c r="E34" s="174"/>
    </row>
    <row r="35" spans="1:5" ht="27" customHeight="1" x14ac:dyDescent="0.25">
      <c r="A35" s="109">
        <v>2.4</v>
      </c>
      <c r="B35" s="129" t="s">
        <v>164</v>
      </c>
      <c r="C35" s="109">
        <v>50</v>
      </c>
      <c r="D35" s="173">
        <f>SUM('Qn (72m)'!M16:M18)</f>
        <v>110</v>
      </c>
      <c r="E35" s="174"/>
    </row>
    <row r="36" spans="1:5" ht="27" customHeight="1" x14ac:dyDescent="0.25">
      <c r="A36" s="109">
        <v>2.5</v>
      </c>
      <c r="B36" s="129" t="s">
        <v>165</v>
      </c>
      <c r="C36" s="109">
        <v>35</v>
      </c>
      <c r="D36" s="173">
        <f>SUM('Qn (72m)'!M19:M20)</f>
        <v>100</v>
      </c>
      <c r="E36" s="174"/>
    </row>
    <row r="37" spans="1:5" ht="36" x14ac:dyDescent="0.25">
      <c r="A37" s="109">
        <v>2.6</v>
      </c>
      <c r="B37" s="129" t="s">
        <v>166</v>
      </c>
      <c r="C37" s="109">
        <v>20</v>
      </c>
      <c r="D37" s="173">
        <f>SUM('Qn (72m)'!M19:M20)</f>
        <v>100</v>
      </c>
      <c r="E37" s="174"/>
    </row>
    <row r="38" spans="1:5" ht="27" customHeight="1" x14ac:dyDescent="0.25">
      <c r="A38" s="109">
        <v>2.7</v>
      </c>
      <c r="B38" s="129" t="s">
        <v>167</v>
      </c>
      <c r="C38" s="109">
        <v>50</v>
      </c>
      <c r="D38" s="173">
        <f>SUM('Qn (72m)'!M22)</f>
        <v>174</v>
      </c>
      <c r="E38" s="174"/>
    </row>
    <row r="39" spans="1:5" ht="29.25" customHeight="1" x14ac:dyDescent="0.25">
      <c r="A39" s="195" t="s">
        <v>215</v>
      </c>
      <c r="B39" s="195"/>
      <c r="C39" s="102">
        <f>SUM(C32:C38)</f>
        <v>200</v>
      </c>
      <c r="D39" s="196">
        <f>SUM(D32:D38)</f>
        <v>639</v>
      </c>
      <c r="E39" s="196"/>
    </row>
    <row r="40" spans="1:5" ht="33.75" customHeight="1" x14ac:dyDescent="0.25">
      <c r="A40" s="240">
        <f>D39/C39</f>
        <v>3.1949999999999998</v>
      </c>
      <c r="B40" s="240"/>
      <c r="C40" s="240"/>
      <c r="D40" s="240"/>
      <c r="E40" s="240"/>
    </row>
    <row r="41" spans="1:5" ht="27.95" customHeight="1" x14ac:dyDescent="0.25">
      <c r="A41" s="178" t="s">
        <v>171</v>
      </c>
      <c r="B41" s="178"/>
      <c r="C41" s="178"/>
      <c r="D41" s="178"/>
      <c r="E41" s="178"/>
    </row>
    <row r="42" spans="1:5" ht="36" x14ac:dyDescent="0.25">
      <c r="A42" s="109">
        <v>3.1</v>
      </c>
      <c r="B42" s="129" t="s">
        <v>444</v>
      </c>
      <c r="C42" s="109">
        <v>14</v>
      </c>
      <c r="D42" s="173">
        <f>SUM('Qn (72m)'!M23:M24)</f>
        <v>0</v>
      </c>
      <c r="E42" s="174"/>
    </row>
    <row r="43" spans="1:5" ht="27" customHeight="1" x14ac:dyDescent="0.25">
      <c r="A43" s="109">
        <v>3.2</v>
      </c>
      <c r="B43" s="129" t="s">
        <v>172</v>
      </c>
      <c r="C43" s="109">
        <v>10</v>
      </c>
      <c r="D43" s="173">
        <f>SUM('Qn (72m)'!M25:M28)</f>
        <v>17</v>
      </c>
      <c r="E43" s="174"/>
    </row>
    <row r="44" spans="1:5" ht="27" customHeight="1" x14ac:dyDescent="0.25">
      <c r="A44" s="109">
        <v>3.3</v>
      </c>
      <c r="B44" s="129" t="s">
        <v>173</v>
      </c>
      <c r="C44" s="109">
        <v>5</v>
      </c>
      <c r="D44" s="173">
        <f>SUM('Qn (72m)'!M29)</f>
        <v>15</v>
      </c>
      <c r="E44" s="174"/>
    </row>
    <row r="45" spans="1:5" ht="27" customHeight="1" x14ac:dyDescent="0.25">
      <c r="A45" s="109">
        <v>3.4</v>
      </c>
      <c r="B45" s="129" t="s">
        <v>174</v>
      </c>
      <c r="C45" s="109">
        <v>30</v>
      </c>
      <c r="D45" s="173">
        <f>SUM('Qn (72m)'!M30:M35)</f>
        <v>45</v>
      </c>
      <c r="E45" s="174"/>
    </row>
    <row r="46" spans="1:5" ht="27" customHeight="1" x14ac:dyDescent="0.25">
      <c r="A46" s="109">
        <v>3.5</v>
      </c>
      <c r="B46" s="129" t="s">
        <v>445</v>
      </c>
      <c r="C46" s="109">
        <v>10</v>
      </c>
      <c r="D46" s="173">
        <f>SUM('Qn (72m)'!M36:M37)</f>
        <v>0</v>
      </c>
      <c r="E46" s="174"/>
    </row>
    <row r="47" spans="1:5" ht="27" customHeight="1" x14ac:dyDescent="0.25">
      <c r="A47" s="109">
        <v>3.6</v>
      </c>
      <c r="B47" s="129" t="s">
        <v>175</v>
      </c>
      <c r="C47" s="109">
        <v>40</v>
      </c>
      <c r="D47" s="173">
        <f>SUM('Qn (72m)'!M38:M40)</f>
        <v>100</v>
      </c>
      <c r="E47" s="174"/>
    </row>
    <row r="48" spans="1:5" ht="27" customHeight="1" x14ac:dyDescent="0.25">
      <c r="A48" s="109">
        <v>3.7</v>
      </c>
      <c r="B48" s="129" t="s">
        <v>176</v>
      </c>
      <c r="C48" s="109">
        <v>20</v>
      </c>
      <c r="D48" s="173">
        <f>SUM('Qn (72m)'!M41:M42)</f>
        <v>30</v>
      </c>
      <c r="E48" s="174"/>
    </row>
    <row r="49" spans="1:5" ht="30" customHeight="1" x14ac:dyDescent="0.25">
      <c r="A49" s="195" t="s">
        <v>215</v>
      </c>
      <c r="B49" s="195"/>
      <c r="C49" s="102">
        <f>SUM(C42:C48)</f>
        <v>129</v>
      </c>
      <c r="D49" s="196">
        <f>SUM(D42:D48)</f>
        <v>207</v>
      </c>
      <c r="E49" s="196"/>
    </row>
    <row r="50" spans="1:5" s="65" customFormat="1" ht="34.5" customHeight="1" x14ac:dyDescent="0.25">
      <c r="A50" s="241">
        <f>D49/C49</f>
        <v>1.6046511627906976</v>
      </c>
      <c r="B50" s="241"/>
      <c r="C50" s="241"/>
      <c r="D50" s="241"/>
      <c r="E50" s="241"/>
    </row>
    <row r="51" spans="1:5" ht="27.95" customHeight="1" x14ac:dyDescent="0.25">
      <c r="A51" s="178" t="s">
        <v>177</v>
      </c>
      <c r="B51" s="178"/>
      <c r="C51" s="178"/>
      <c r="D51" s="178"/>
      <c r="E51" s="178"/>
    </row>
    <row r="52" spans="1:5" ht="27" customHeight="1" x14ac:dyDescent="0.25">
      <c r="A52" s="109">
        <v>4.0999999999999996</v>
      </c>
      <c r="B52" s="129" t="s">
        <v>178</v>
      </c>
      <c r="C52" s="109">
        <v>20</v>
      </c>
      <c r="D52" s="173">
        <f>SUM('Qn (72m)'!M43:M44)</f>
        <v>30</v>
      </c>
      <c r="E52" s="174"/>
    </row>
    <row r="53" spans="1:5" ht="27" customHeight="1" x14ac:dyDescent="0.25">
      <c r="A53" s="109">
        <v>4.2</v>
      </c>
      <c r="B53" s="129" t="s">
        <v>179</v>
      </c>
      <c r="C53" s="109">
        <v>15</v>
      </c>
      <c r="D53" s="173">
        <f>SUM('Qn (72m)'!M45:M47)</f>
        <v>45</v>
      </c>
      <c r="E53" s="174"/>
    </row>
    <row r="54" spans="1:5" ht="27" customHeight="1" x14ac:dyDescent="0.25">
      <c r="A54" s="109">
        <v>4.3</v>
      </c>
      <c r="B54" s="129" t="s">
        <v>180</v>
      </c>
      <c r="C54" s="109">
        <v>22</v>
      </c>
      <c r="D54" s="173">
        <f>SUM('Qn (72m)'!M48:M50)</f>
        <v>68</v>
      </c>
      <c r="E54" s="174"/>
    </row>
    <row r="55" spans="1:5" ht="36" x14ac:dyDescent="0.25">
      <c r="A55" s="109">
        <v>4.4000000000000004</v>
      </c>
      <c r="B55" s="129" t="s">
        <v>181</v>
      </c>
      <c r="C55" s="109">
        <v>10</v>
      </c>
      <c r="D55" s="173">
        <f>SUM('Qn (72m)'!M51)</f>
        <v>10</v>
      </c>
      <c r="E55" s="174"/>
    </row>
    <row r="56" spans="1:5" ht="27.95" customHeight="1" thickBot="1" x14ac:dyDescent="0.3">
      <c r="A56" s="179" t="s">
        <v>215</v>
      </c>
      <c r="B56" s="180"/>
      <c r="C56" s="103">
        <f>SUM(C52:C55)</f>
        <v>67</v>
      </c>
      <c r="D56" s="191">
        <f>SUM(D52:D55)</f>
        <v>153</v>
      </c>
      <c r="E56" s="192"/>
    </row>
    <row r="57" spans="1:5" s="65" customFormat="1" ht="37.5" customHeight="1" x14ac:dyDescent="0.25">
      <c r="A57" s="242">
        <f>D56/C56</f>
        <v>2.283582089552239</v>
      </c>
      <c r="B57" s="242"/>
      <c r="C57" s="242"/>
      <c r="D57" s="242"/>
      <c r="E57" s="242"/>
    </row>
    <row r="58" spans="1:5" ht="27.95" customHeight="1" x14ac:dyDescent="0.25">
      <c r="A58" s="178" t="s">
        <v>182</v>
      </c>
      <c r="B58" s="178"/>
      <c r="C58" s="178"/>
      <c r="D58" s="178"/>
      <c r="E58" s="178"/>
    </row>
    <row r="59" spans="1:5" ht="27.95" customHeight="1" x14ac:dyDescent="0.25">
      <c r="A59" s="109">
        <v>5.0999999999999996</v>
      </c>
      <c r="B59" s="129" t="s">
        <v>183</v>
      </c>
      <c r="C59" s="109">
        <v>30</v>
      </c>
      <c r="D59" s="173">
        <f>SUM('Qn (72m)'!M52:M56)</f>
        <v>63</v>
      </c>
      <c r="E59" s="174"/>
    </row>
    <row r="60" spans="1:5" ht="27.95" customHeight="1" x14ac:dyDescent="0.25">
      <c r="A60" s="109">
        <v>5.2</v>
      </c>
      <c r="B60" s="129" t="s">
        <v>184</v>
      </c>
      <c r="C60" s="109">
        <v>30</v>
      </c>
      <c r="D60" s="173">
        <f>SUM('Qn (72m)'!M57:M59)</f>
        <v>80</v>
      </c>
      <c r="E60" s="174"/>
    </row>
    <row r="61" spans="1:5" ht="27.95" customHeight="1" x14ac:dyDescent="0.25">
      <c r="A61" s="109">
        <v>5.3</v>
      </c>
      <c r="B61" s="129" t="s">
        <v>185</v>
      </c>
      <c r="C61" s="109">
        <v>20</v>
      </c>
      <c r="D61" s="173">
        <f>SUM('Qn (72m)'!M60:M61)</f>
        <v>60</v>
      </c>
      <c r="E61" s="174"/>
    </row>
    <row r="62" spans="1:5" ht="27.95" customHeight="1" x14ac:dyDescent="0.25">
      <c r="A62" s="109">
        <v>5.4</v>
      </c>
      <c r="B62" s="129" t="s">
        <v>186</v>
      </c>
      <c r="C62" s="109">
        <v>5</v>
      </c>
      <c r="D62" s="173">
        <f>SUM('Qn (72m)'!M62)</f>
        <v>5</v>
      </c>
      <c r="E62" s="174"/>
    </row>
    <row r="63" spans="1:5" ht="30" customHeight="1" x14ac:dyDescent="0.25">
      <c r="A63" s="179" t="s">
        <v>215</v>
      </c>
      <c r="B63" s="180"/>
      <c r="C63" s="130">
        <f>SUM(C59:C62)</f>
        <v>85</v>
      </c>
      <c r="D63" s="189">
        <f>SUM(D59:D62)</f>
        <v>208</v>
      </c>
      <c r="E63" s="190"/>
    </row>
    <row r="64" spans="1:5" s="65" customFormat="1" ht="35.25" customHeight="1" x14ac:dyDescent="0.25">
      <c r="A64" s="237">
        <f>D63/C63</f>
        <v>2.447058823529412</v>
      </c>
      <c r="B64" s="237"/>
      <c r="C64" s="237"/>
      <c r="D64" s="237"/>
      <c r="E64" s="237"/>
    </row>
    <row r="65" spans="1:5" ht="27.95" customHeight="1" x14ac:dyDescent="0.25">
      <c r="A65" s="178" t="s">
        <v>187</v>
      </c>
      <c r="B65" s="178"/>
      <c r="C65" s="178"/>
      <c r="D65" s="178"/>
      <c r="E65" s="178"/>
    </row>
    <row r="66" spans="1:5" ht="36" x14ac:dyDescent="0.25">
      <c r="A66" s="109">
        <v>6.2</v>
      </c>
      <c r="B66" s="128" t="s">
        <v>189</v>
      </c>
      <c r="C66" s="109">
        <v>4</v>
      </c>
      <c r="D66" s="173">
        <f>SUM('Qn (72m)'!M63)</f>
        <v>12</v>
      </c>
      <c r="E66" s="174"/>
    </row>
    <row r="67" spans="1:5" ht="27.95" customHeight="1" x14ac:dyDescent="0.25">
      <c r="A67" s="109">
        <v>6.3</v>
      </c>
      <c r="B67" s="128" t="s">
        <v>190</v>
      </c>
      <c r="C67" s="109">
        <v>26</v>
      </c>
      <c r="D67" s="173">
        <f>SUM('Qn (72m)'!M64:M66)</f>
        <v>76</v>
      </c>
      <c r="E67" s="174"/>
    </row>
    <row r="68" spans="1:5" ht="36" x14ac:dyDescent="0.25">
      <c r="A68" s="109">
        <v>6.4</v>
      </c>
      <c r="B68" s="128" t="s">
        <v>191</v>
      </c>
      <c r="C68" s="109">
        <v>10</v>
      </c>
      <c r="D68" s="173">
        <f>SUM('Qn (72m)'!M67)</f>
        <v>20</v>
      </c>
      <c r="E68" s="174"/>
    </row>
    <row r="69" spans="1:5" ht="27.95" customHeight="1" x14ac:dyDescent="0.25">
      <c r="A69" s="109">
        <v>6.5</v>
      </c>
      <c r="B69" s="128" t="s">
        <v>192</v>
      </c>
      <c r="C69" s="109">
        <v>10</v>
      </c>
      <c r="D69" s="173">
        <f>SUM('Qn (72m)'!M68)</f>
        <v>40</v>
      </c>
      <c r="E69" s="174"/>
    </row>
    <row r="70" spans="1:5" ht="31.5" customHeight="1" thickBot="1" x14ac:dyDescent="0.3">
      <c r="A70" s="185" t="s">
        <v>215</v>
      </c>
      <c r="B70" s="186"/>
      <c r="C70" s="131">
        <f>SUM(C66:C69)</f>
        <v>50</v>
      </c>
      <c r="D70" s="187">
        <f>SUM(D66:D69)</f>
        <v>148</v>
      </c>
      <c r="E70" s="188"/>
    </row>
    <row r="71" spans="1:5" s="65" customFormat="1" ht="34.5" customHeight="1" thickBot="1" x14ac:dyDescent="0.3">
      <c r="A71" s="170">
        <f>D70/C70</f>
        <v>2.96</v>
      </c>
      <c r="B71" s="171"/>
      <c r="C71" s="171"/>
      <c r="D71" s="171"/>
      <c r="E71" s="172"/>
    </row>
    <row r="72" spans="1:5" ht="27.95" customHeight="1" x14ac:dyDescent="0.25">
      <c r="A72" s="178" t="s">
        <v>193</v>
      </c>
      <c r="B72" s="178"/>
      <c r="C72" s="178"/>
      <c r="D72" s="178"/>
      <c r="E72" s="178"/>
    </row>
    <row r="73" spans="1:5" ht="36" x14ac:dyDescent="0.25">
      <c r="A73" s="62">
        <v>7.1</v>
      </c>
      <c r="B73" s="129" t="s">
        <v>194</v>
      </c>
      <c r="C73" s="109">
        <v>27</v>
      </c>
      <c r="D73" s="173">
        <f>SUM('Qn (72m)'!M69:M74)</f>
        <v>59</v>
      </c>
      <c r="E73" s="174"/>
    </row>
    <row r="74" spans="1:5" ht="27.95" customHeight="1" x14ac:dyDescent="0.25">
      <c r="A74" s="179" t="s">
        <v>215</v>
      </c>
      <c r="B74" s="180"/>
      <c r="C74" s="103">
        <f>SUM(C73:C73)</f>
        <v>27</v>
      </c>
      <c r="D74" s="181">
        <f>SUM(D73:D73)</f>
        <v>59</v>
      </c>
      <c r="E74" s="182"/>
    </row>
    <row r="75" spans="1:5" s="65" customFormat="1" ht="34.5" customHeight="1" x14ac:dyDescent="0.25">
      <c r="A75" s="241">
        <f>D74/C74</f>
        <v>2.1851851851851851</v>
      </c>
      <c r="B75" s="241"/>
      <c r="C75" s="241"/>
      <c r="D75" s="241"/>
      <c r="E75" s="241"/>
    </row>
    <row r="76" spans="1:5" ht="27.95" customHeight="1" x14ac:dyDescent="0.25">
      <c r="A76" s="232" t="s">
        <v>216</v>
      </c>
      <c r="B76" s="233"/>
      <c r="C76" s="74">
        <f>SUM(C29,C39,C49,C56,C63,C70,C74)</f>
        <v>678</v>
      </c>
      <c r="D76" s="234">
        <f>SUM(D29,D39,D49,D56,D63,D70,D74)</f>
        <v>1824</v>
      </c>
      <c r="E76" s="235"/>
    </row>
    <row r="77" spans="1:5" s="65" customFormat="1" ht="71.25" customHeight="1" thickBot="1" x14ac:dyDescent="0.3">
      <c r="A77" s="236">
        <f>D76/C76</f>
        <v>2.6902654867256639</v>
      </c>
      <c r="B77" s="237"/>
      <c r="C77" s="237"/>
      <c r="D77" s="237"/>
      <c r="E77" s="238"/>
    </row>
    <row r="78" spans="1:5" s="65" customFormat="1" ht="36.75" customHeight="1" thickBot="1" x14ac:dyDescent="0.3">
      <c r="A78" s="163" t="str">
        <f>IF(AND($A$77&lt;=4,$A$77&gt;=3.51),"A++",IF(AND($A$77&lt;=3.5,$A$77&gt;=3.26),"A+",IF(AND($A$77&lt;=3.25,$A$77&gt;3.01),"A",IF(AND($A$77&lt;=3,$A$77&gt;=2.76),"B++",IF(AND($A$77&lt;=2.75,$A$77&gt;=2.51),"B+",IF(AND($A$77&lt;=2.5,$A$77&gt;=2.01),"B",IF(AND($A$77&lt;=2,$A$77&gt;=1.51),"C","D")))))))</f>
        <v>B+</v>
      </c>
      <c r="B78" s="164"/>
      <c r="C78" s="164"/>
      <c r="D78" s="164"/>
      <c r="E78" s="165"/>
    </row>
  </sheetData>
  <mergeCells count="81">
    <mergeCell ref="A78:E78"/>
    <mergeCell ref="D36:E36"/>
    <mergeCell ref="D46:E46"/>
    <mergeCell ref="D47:E47"/>
    <mergeCell ref="D53:E53"/>
    <mergeCell ref="D61:E61"/>
    <mergeCell ref="A58:E58"/>
    <mergeCell ref="D48:E48"/>
    <mergeCell ref="A71:E71"/>
    <mergeCell ref="D73:E73"/>
    <mergeCell ref="D74:E74"/>
    <mergeCell ref="D49:E49"/>
    <mergeCell ref="D68:E68"/>
    <mergeCell ref="A75:E75"/>
    <mergeCell ref="A64:E64"/>
    <mergeCell ref="D66:E66"/>
    <mergeCell ref="D67:E67"/>
    <mergeCell ref="D69:E69"/>
    <mergeCell ref="D70:E70"/>
    <mergeCell ref="A70:B70"/>
    <mergeCell ref="A74:B74"/>
    <mergeCell ref="A72:E72"/>
    <mergeCell ref="A65:E65"/>
    <mergeCell ref="A30:E30"/>
    <mergeCell ref="A39:B39"/>
    <mergeCell ref="A49:B49"/>
    <mergeCell ref="A31:E31"/>
    <mergeCell ref="D39:E39"/>
    <mergeCell ref="D42:E42"/>
    <mergeCell ref="D43:E43"/>
    <mergeCell ref="D44:E44"/>
    <mergeCell ref="D45:E45"/>
    <mergeCell ref="D32:E32"/>
    <mergeCell ref="D33:E33"/>
    <mergeCell ref="D35:E35"/>
    <mergeCell ref="D37:E37"/>
    <mergeCell ref="D38:E38"/>
    <mergeCell ref="D34:E34"/>
    <mergeCell ref="A29:B29"/>
    <mergeCell ref="A56:B56"/>
    <mergeCell ref="A63:B63"/>
    <mergeCell ref="A40:E40"/>
    <mergeCell ref="A50:E50"/>
    <mergeCell ref="D52:E52"/>
    <mergeCell ref="D54:E54"/>
    <mergeCell ref="D55:E55"/>
    <mergeCell ref="D56:E56"/>
    <mergeCell ref="A57:E57"/>
    <mergeCell ref="D59:E59"/>
    <mergeCell ref="D60:E60"/>
    <mergeCell ref="D62:E62"/>
    <mergeCell ref="D63:E63"/>
    <mergeCell ref="A41:E41"/>
    <mergeCell ref="A51:E51"/>
    <mergeCell ref="C22:E22"/>
    <mergeCell ref="D25:E25"/>
    <mergeCell ref="D27:E27"/>
    <mergeCell ref="D28:E28"/>
    <mergeCell ref="D29:E29"/>
    <mergeCell ref="D26:E26"/>
    <mergeCell ref="A1:E1"/>
    <mergeCell ref="A2:B2"/>
    <mergeCell ref="C2:E2"/>
    <mergeCell ref="A3:B3"/>
    <mergeCell ref="C3:E3"/>
    <mergeCell ref="A76:B76"/>
    <mergeCell ref="D76:E76"/>
    <mergeCell ref="A77:E77"/>
    <mergeCell ref="A4:B4"/>
    <mergeCell ref="C4:E4"/>
    <mergeCell ref="A19:E19"/>
    <mergeCell ref="A20:B20"/>
    <mergeCell ref="A24:E24"/>
    <mergeCell ref="A13:B13"/>
    <mergeCell ref="A15:E15"/>
    <mergeCell ref="A17:E17"/>
    <mergeCell ref="D23:E23"/>
    <mergeCell ref="C20:E20"/>
    <mergeCell ref="A21:B21"/>
    <mergeCell ref="C21:E21"/>
    <mergeCell ref="A22:B22"/>
  </mergeCells>
  <printOptions horizontalCentered="1"/>
  <pageMargins left="0" right="0" top="0.70866141732283472" bottom="0.39370078740157483" header="0.31496062992125984" footer="0.31496062992125984"/>
  <pageSetup paperSize="9" scale="66" fitToHeight="0" orientation="portrait" r:id="rId1"/>
  <headerFooter>
    <oddHeader>&amp;C
&amp;G</oddHeader>
  </headerFooter>
  <rowBreaks count="2" manualBreakCount="2">
    <brk id="18" max="16383" man="1"/>
    <brk id="57" max="16383" man="1"/>
  </rowBreaks>
  <colBreaks count="1" manualBreakCount="1">
    <brk id="5" max="1048575" man="1"/>
  </col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119"/>
  <sheetViews>
    <sheetView zoomScale="90" zoomScaleNormal="90" workbookViewId="0">
      <selection activeCell="H5" sqref="H5"/>
    </sheetView>
  </sheetViews>
  <sheetFormatPr defaultRowHeight="15" x14ac:dyDescent="0.25"/>
  <cols>
    <col min="1" max="1" width="3.5703125" style="1" bestFit="1" customWidth="1"/>
    <col min="2" max="2" width="17.7109375" style="6" customWidth="1"/>
    <col min="3" max="3" width="43.7109375" style="6" customWidth="1"/>
    <col min="4" max="4" width="7" bestFit="1" customWidth="1"/>
    <col min="5" max="5" width="7.28515625" bestFit="1" customWidth="1"/>
    <col min="6" max="6" width="41.140625" style="96" customWidth="1"/>
    <col min="7" max="7" width="17" customWidth="1"/>
    <col min="8" max="8" width="3.5703125" bestFit="1" customWidth="1"/>
    <col min="9" max="9" width="4.42578125" bestFit="1" customWidth="1"/>
    <col min="10" max="10" width="10.85546875" style="24" bestFit="1" customWidth="1"/>
    <col min="11" max="11" width="8.85546875" style="1" bestFit="1" customWidth="1"/>
    <col min="12" max="12" width="8.28515625" style="1" customWidth="1"/>
    <col min="13" max="13" width="7.7109375" style="1" bestFit="1" customWidth="1"/>
    <col min="14" max="14" width="7.85546875" style="1" bestFit="1" customWidth="1"/>
    <col min="15" max="15" width="8.42578125" style="1" customWidth="1"/>
    <col min="16" max="16" width="8" style="1" customWidth="1"/>
    <col min="17" max="17" width="9.140625" customWidth="1"/>
    <col min="20" max="20" width="13" customWidth="1"/>
  </cols>
  <sheetData>
    <row r="2" spans="1:21" s="1" customFormat="1" ht="66" x14ac:dyDescent="0.25">
      <c r="A2" s="12" t="s">
        <v>1</v>
      </c>
      <c r="B2" s="12" t="s">
        <v>112</v>
      </c>
      <c r="C2" s="12" t="s">
        <v>114</v>
      </c>
      <c r="D2" s="12" t="s">
        <v>113</v>
      </c>
      <c r="E2" s="12" t="s">
        <v>115</v>
      </c>
      <c r="F2" s="134" t="s">
        <v>124</v>
      </c>
      <c r="G2" s="12" t="s">
        <v>122</v>
      </c>
      <c r="H2" s="12" t="s">
        <v>123</v>
      </c>
      <c r="I2" s="12" t="s">
        <v>111</v>
      </c>
      <c r="J2" s="22" t="s">
        <v>109</v>
      </c>
      <c r="K2" s="16" t="s">
        <v>121</v>
      </c>
      <c r="L2" s="17" t="s">
        <v>120</v>
      </c>
      <c r="M2" s="16" t="s">
        <v>116</v>
      </c>
      <c r="N2" s="16" t="s">
        <v>117</v>
      </c>
      <c r="O2" s="16" t="s">
        <v>119</v>
      </c>
      <c r="P2" s="18" t="s">
        <v>118</v>
      </c>
      <c r="Q2" s="45"/>
      <c r="R2" s="45"/>
      <c r="S2" s="45"/>
      <c r="T2" s="45"/>
      <c r="U2" s="45"/>
    </row>
    <row r="3" spans="1:21" ht="15" customHeight="1" x14ac:dyDescent="0.25">
      <c r="A3" s="38">
        <v>1</v>
      </c>
      <c r="B3" s="8" t="s">
        <v>91</v>
      </c>
      <c r="C3" s="8" t="s">
        <v>60</v>
      </c>
      <c r="D3" s="101" t="s">
        <v>58</v>
      </c>
      <c r="E3" s="108" t="s">
        <v>3</v>
      </c>
      <c r="F3" s="123" t="s">
        <v>233</v>
      </c>
      <c r="G3" s="108">
        <v>20</v>
      </c>
      <c r="H3" s="123">
        <v>20</v>
      </c>
      <c r="I3" s="228">
        <v>30</v>
      </c>
      <c r="J3" s="23"/>
      <c r="K3" s="100">
        <f t="shared" ref="K3:K37" si="0">IF(J3&gt;80,4,IF(AND(J3&lt;=80,J3&gt;60),3,IF(AND(J3&lt;=60,J3&gt;40),2,IF(AND(J3&lt;=40,J3&gt;20),1,IF(J3&lt;=20,0)))))</f>
        <v>0</v>
      </c>
      <c r="L3" s="108">
        <f t="shared" ref="L3:L37" si="1">K3*H3</f>
        <v>0</v>
      </c>
      <c r="M3" s="154">
        <f>L3+L4</f>
        <v>0</v>
      </c>
      <c r="N3" s="231">
        <f>M3/I3</f>
        <v>0</v>
      </c>
      <c r="O3" s="154">
        <f>M3</f>
        <v>0</v>
      </c>
      <c r="P3" s="231">
        <f>O3/I3</f>
        <v>0</v>
      </c>
      <c r="Q3" s="243"/>
      <c r="R3" s="94"/>
      <c r="S3" s="94"/>
      <c r="T3" s="94"/>
      <c r="U3" s="94"/>
    </row>
    <row r="4" spans="1:21" ht="15" customHeight="1" x14ac:dyDescent="0.25">
      <c r="A4" s="38">
        <v>2</v>
      </c>
      <c r="B4" s="8" t="s">
        <v>91</v>
      </c>
      <c r="C4" s="8" t="s">
        <v>62</v>
      </c>
      <c r="D4" s="101" t="s">
        <v>58</v>
      </c>
      <c r="E4" s="108" t="s">
        <v>6</v>
      </c>
      <c r="F4" s="123" t="s">
        <v>240</v>
      </c>
      <c r="G4" s="108">
        <v>10</v>
      </c>
      <c r="H4" s="123">
        <v>10</v>
      </c>
      <c r="I4" s="230"/>
      <c r="J4" s="23"/>
      <c r="K4" s="100">
        <f t="shared" si="0"/>
        <v>0</v>
      </c>
      <c r="L4" s="108">
        <f t="shared" si="1"/>
        <v>0</v>
      </c>
      <c r="M4" s="154"/>
      <c r="N4" s="231"/>
      <c r="O4" s="154"/>
      <c r="P4" s="231"/>
      <c r="Q4" s="243"/>
      <c r="R4" s="94"/>
      <c r="S4" s="94"/>
      <c r="T4" s="94"/>
      <c r="U4" s="94"/>
    </row>
    <row r="5" spans="1:21" ht="15" customHeight="1" x14ac:dyDescent="0.25">
      <c r="A5" s="100">
        <v>3</v>
      </c>
      <c r="B5" s="8" t="s">
        <v>92</v>
      </c>
      <c r="C5" s="8" t="s">
        <v>431</v>
      </c>
      <c r="D5" s="101" t="s">
        <v>58</v>
      </c>
      <c r="E5" s="108" t="s">
        <v>11</v>
      </c>
      <c r="F5" s="123" t="s">
        <v>251</v>
      </c>
      <c r="G5" s="108">
        <v>15</v>
      </c>
      <c r="H5" s="108">
        <v>15</v>
      </c>
      <c r="I5" s="228">
        <v>100</v>
      </c>
      <c r="J5" s="23"/>
      <c r="K5" s="100">
        <f t="shared" si="0"/>
        <v>0</v>
      </c>
      <c r="L5" s="108">
        <f t="shared" si="1"/>
        <v>0</v>
      </c>
      <c r="M5" s="108">
        <f>L5</f>
        <v>0</v>
      </c>
      <c r="N5" s="124">
        <f>M5/I5</f>
        <v>0</v>
      </c>
      <c r="O5" s="231">
        <f>N5+N6+N9+N10</f>
        <v>0</v>
      </c>
      <c r="P5" s="231">
        <f>O5/I5</f>
        <v>0</v>
      </c>
      <c r="Q5" s="243"/>
      <c r="R5" s="94"/>
      <c r="S5" s="94"/>
      <c r="T5" s="94"/>
      <c r="U5" s="94"/>
    </row>
    <row r="6" spans="1:21" ht="15" customHeight="1" x14ac:dyDescent="0.25">
      <c r="A6" s="100">
        <v>4</v>
      </c>
      <c r="B6" s="8" t="s">
        <v>92</v>
      </c>
      <c r="C6" s="8" t="s">
        <v>432</v>
      </c>
      <c r="D6" s="101" t="s">
        <v>58</v>
      </c>
      <c r="E6" s="108" t="s">
        <v>12</v>
      </c>
      <c r="F6" s="123" t="s">
        <v>254</v>
      </c>
      <c r="G6" s="108">
        <v>15</v>
      </c>
      <c r="H6" s="154">
        <v>40</v>
      </c>
      <c r="I6" s="229"/>
      <c r="J6" s="23"/>
      <c r="K6" s="100">
        <f t="shared" si="0"/>
        <v>0</v>
      </c>
      <c r="L6" s="108">
        <f t="shared" si="1"/>
        <v>0</v>
      </c>
      <c r="M6" s="154">
        <f>L6+L7+L8</f>
        <v>0</v>
      </c>
      <c r="N6" s="231">
        <f>M6/H6</f>
        <v>0</v>
      </c>
      <c r="O6" s="154"/>
      <c r="P6" s="231"/>
      <c r="Q6" s="243"/>
      <c r="R6" s="94"/>
      <c r="S6" s="94"/>
      <c r="T6" s="94"/>
      <c r="U6" s="94"/>
    </row>
    <row r="7" spans="1:21" ht="15" customHeight="1" x14ac:dyDescent="0.25">
      <c r="A7" s="100">
        <v>5</v>
      </c>
      <c r="B7" s="8" t="s">
        <v>92</v>
      </c>
      <c r="C7" s="8" t="s">
        <v>432</v>
      </c>
      <c r="D7" s="101" t="s">
        <v>58</v>
      </c>
      <c r="E7" s="108" t="s">
        <v>255</v>
      </c>
      <c r="F7" s="123" t="s">
        <v>256</v>
      </c>
      <c r="G7" s="108">
        <v>15</v>
      </c>
      <c r="H7" s="154"/>
      <c r="I7" s="229"/>
      <c r="J7" s="23"/>
      <c r="K7" s="100">
        <f t="shared" si="0"/>
        <v>0</v>
      </c>
      <c r="L7" s="108">
        <f t="shared" si="1"/>
        <v>0</v>
      </c>
      <c r="M7" s="154"/>
      <c r="N7" s="231"/>
      <c r="O7" s="154"/>
      <c r="P7" s="231"/>
      <c r="Q7" s="243"/>
      <c r="R7" s="94"/>
      <c r="S7" s="94"/>
      <c r="T7" s="94"/>
      <c r="U7" s="94"/>
    </row>
    <row r="8" spans="1:21" ht="15" customHeight="1" x14ac:dyDescent="0.25">
      <c r="A8" s="100">
        <v>6</v>
      </c>
      <c r="B8" s="8" t="s">
        <v>92</v>
      </c>
      <c r="C8" s="8" t="s">
        <v>432</v>
      </c>
      <c r="D8" s="101" t="s">
        <v>58</v>
      </c>
      <c r="E8" s="108" t="s">
        <v>259</v>
      </c>
      <c r="F8" s="123" t="s">
        <v>260</v>
      </c>
      <c r="G8" s="108">
        <v>10</v>
      </c>
      <c r="H8" s="154"/>
      <c r="I8" s="229"/>
      <c r="J8" s="23"/>
      <c r="K8" s="100">
        <f t="shared" si="0"/>
        <v>0</v>
      </c>
      <c r="L8" s="108">
        <f t="shared" si="1"/>
        <v>0</v>
      </c>
      <c r="M8" s="154"/>
      <c r="N8" s="231"/>
      <c r="O8" s="154"/>
      <c r="P8" s="231"/>
      <c r="Q8" s="243"/>
      <c r="R8" s="94"/>
      <c r="S8" s="94"/>
      <c r="T8" s="94"/>
      <c r="U8" s="94"/>
    </row>
    <row r="9" spans="1:21" ht="15" customHeight="1" x14ac:dyDescent="0.25">
      <c r="A9" s="100">
        <v>7</v>
      </c>
      <c r="B9" s="8" t="s">
        <v>92</v>
      </c>
      <c r="C9" s="8" t="s">
        <v>67</v>
      </c>
      <c r="D9" s="101" t="s">
        <v>58</v>
      </c>
      <c r="E9" s="108" t="s">
        <v>268</v>
      </c>
      <c r="F9" s="123" t="s">
        <v>269</v>
      </c>
      <c r="G9" s="108">
        <v>15</v>
      </c>
      <c r="H9" s="108">
        <v>15</v>
      </c>
      <c r="I9" s="229"/>
      <c r="J9" s="23"/>
      <c r="K9" s="100">
        <f t="shared" si="0"/>
        <v>0</v>
      </c>
      <c r="L9" s="108">
        <f t="shared" si="1"/>
        <v>0</v>
      </c>
      <c r="M9" s="108">
        <f>L9</f>
        <v>0</v>
      </c>
      <c r="N9" s="124">
        <f>M9/H9</f>
        <v>0</v>
      </c>
      <c r="O9" s="154"/>
      <c r="P9" s="231"/>
      <c r="Q9" s="243"/>
      <c r="R9" s="94"/>
      <c r="S9" s="94"/>
      <c r="T9" s="94"/>
      <c r="U9" s="94"/>
    </row>
    <row r="10" spans="1:21" ht="15" customHeight="1" x14ac:dyDescent="0.25">
      <c r="A10" s="100">
        <v>8</v>
      </c>
      <c r="B10" s="8" t="s">
        <v>92</v>
      </c>
      <c r="C10" s="8" t="s">
        <v>68</v>
      </c>
      <c r="D10" s="101" t="s">
        <v>58</v>
      </c>
      <c r="E10" s="108" t="s">
        <v>16</v>
      </c>
      <c r="F10" s="123" t="s">
        <v>270</v>
      </c>
      <c r="G10" s="108">
        <v>20</v>
      </c>
      <c r="H10" s="154">
        <v>30</v>
      </c>
      <c r="I10" s="229"/>
      <c r="J10" s="23"/>
      <c r="K10" s="100">
        <f t="shared" si="0"/>
        <v>0</v>
      </c>
      <c r="L10" s="108">
        <f t="shared" si="1"/>
        <v>0</v>
      </c>
      <c r="M10" s="154">
        <f>L10+L11</f>
        <v>0</v>
      </c>
      <c r="N10" s="231">
        <f>M10/H10</f>
        <v>0</v>
      </c>
      <c r="O10" s="154"/>
      <c r="P10" s="231"/>
      <c r="Q10" s="243"/>
      <c r="R10" s="94"/>
      <c r="S10" s="94"/>
      <c r="T10" s="94"/>
      <c r="U10" s="94"/>
    </row>
    <row r="11" spans="1:21" ht="15" customHeight="1" x14ac:dyDescent="0.25">
      <c r="A11" s="100">
        <v>9</v>
      </c>
      <c r="B11" s="8" t="s">
        <v>92</v>
      </c>
      <c r="C11" s="8" t="s">
        <v>68</v>
      </c>
      <c r="D11" s="101" t="s">
        <v>58</v>
      </c>
      <c r="E11" s="108" t="s">
        <v>17</v>
      </c>
      <c r="F11" s="123" t="s">
        <v>271</v>
      </c>
      <c r="G11" s="108">
        <v>10</v>
      </c>
      <c r="H11" s="154"/>
      <c r="I11" s="230"/>
      <c r="J11" s="23"/>
      <c r="K11" s="100">
        <f t="shared" si="0"/>
        <v>0</v>
      </c>
      <c r="L11" s="108">
        <f t="shared" si="1"/>
        <v>0</v>
      </c>
      <c r="M11" s="154"/>
      <c r="N11" s="231"/>
      <c r="O11" s="154"/>
      <c r="P11" s="231"/>
      <c r="Q11" s="243"/>
      <c r="R11" s="94"/>
      <c r="S11" s="94"/>
      <c r="T11" s="94"/>
      <c r="U11" s="94"/>
    </row>
    <row r="12" spans="1:21" ht="15" customHeight="1" x14ac:dyDescent="0.25">
      <c r="A12" s="100">
        <v>10</v>
      </c>
      <c r="B12" s="8" t="s">
        <v>93</v>
      </c>
      <c r="C12" s="8" t="s">
        <v>433</v>
      </c>
      <c r="D12" s="101" t="s">
        <v>58</v>
      </c>
      <c r="E12" s="108" t="s">
        <v>19</v>
      </c>
      <c r="F12" s="123" t="s">
        <v>275</v>
      </c>
      <c r="G12" s="108">
        <v>6</v>
      </c>
      <c r="H12" s="108">
        <v>6</v>
      </c>
      <c r="I12" s="228">
        <v>21</v>
      </c>
      <c r="J12" s="23"/>
      <c r="K12" s="100">
        <f t="shared" si="0"/>
        <v>0</v>
      </c>
      <c r="L12" s="108">
        <f t="shared" si="1"/>
        <v>0</v>
      </c>
      <c r="M12" s="108">
        <f>L12</f>
        <v>0</v>
      </c>
      <c r="N12" s="124">
        <f>M12/H12</f>
        <v>0</v>
      </c>
      <c r="O12" s="231">
        <f>N12+N13+N14</f>
        <v>0</v>
      </c>
      <c r="P12" s="231">
        <f>O12/I12</f>
        <v>0</v>
      </c>
      <c r="Q12" s="243"/>
      <c r="R12" s="94"/>
      <c r="S12" s="94"/>
      <c r="T12" s="94"/>
      <c r="U12" s="94"/>
    </row>
    <row r="13" spans="1:21" ht="15" customHeight="1" x14ac:dyDescent="0.25">
      <c r="A13" s="100">
        <v>11</v>
      </c>
      <c r="B13" s="8" t="s">
        <v>93</v>
      </c>
      <c r="C13" s="8" t="s">
        <v>435</v>
      </c>
      <c r="D13" s="101" t="s">
        <v>58</v>
      </c>
      <c r="E13" s="108" t="s">
        <v>22</v>
      </c>
      <c r="F13" s="123" t="s">
        <v>286</v>
      </c>
      <c r="G13" s="108">
        <v>5</v>
      </c>
      <c r="H13" s="108">
        <v>5</v>
      </c>
      <c r="I13" s="229"/>
      <c r="J13" s="23"/>
      <c r="K13" s="100">
        <f t="shared" si="0"/>
        <v>0</v>
      </c>
      <c r="L13" s="108">
        <f t="shared" si="1"/>
        <v>0</v>
      </c>
      <c r="M13" s="108">
        <f>L13</f>
        <v>0</v>
      </c>
      <c r="N13" s="124">
        <f>M13/H13</f>
        <v>0</v>
      </c>
      <c r="O13" s="154"/>
      <c r="P13" s="231"/>
      <c r="Q13" s="243"/>
      <c r="R13" s="94"/>
      <c r="S13" s="94"/>
      <c r="T13" s="94"/>
      <c r="U13" s="94"/>
    </row>
    <row r="14" spans="1:21" ht="15" customHeight="1" x14ac:dyDescent="0.25">
      <c r="A14" s="100">
        <v>12</v>
      </c>
      <c r="B14" s="8" t="s">
        <v>93</v>
      </c>
      <c r="C14" s="8" t="s">
        <v>438</v>
      </c>
      <c r="D14" s="101" t="s">
        <v>58</v>
      </c>
      <c r="E14" s="108" t="s">
        <v>300</v>
      </c>
      <c r="F14" s="123" t="s">
        <v>301</v>
      </c>
      <c r="G14" s="108">
        <v>10</v>
      </c>
      <c r="H14" s="108">
        <v>10</v>
      </c>
      <c r="I14" s="230"/>
      <c r="J14" s="23"/>
      <c r="K14" s="100">
        <f t="shared" si="0"/>
        <v>0</v>
      </c>
      <c r="L14" s="108">
        <f t="shared" si="1"/>
        <v>0</v>
      </c>
      <c r="M14" s="108">
        <f>L14</f>
        <v>0</v>
      </c>
      <c r="N14" s="124">
        <f>M14/H14</f>
        <v>0</v>
      </c>
      <c r="O14" s="154"/>
      <c r="P14" s="231"/>
      <c r="Q14" s="243"/>
      <c r="R14" s="94"/>
      <c r="S14" s="94"/>
      <c r="T14" s="94"/>
      <c r="U14" s="94"/>
    </row>
    <row r="15" spans="1:21" ht="15" customHeight="1" x14ac:dyDescent="0.25">
      <c r="A15" s="100">
        <v>13</v>
      </c>
      <c r="B15" s="8" t="s">
        <v>94</v>
      </c>
      <c r="C15" s="8" t="s">
        <v>75</v>
      </c>
      <c r="D15" s="101" t="s">
        <v>58</v>
      </c>
      <c r="E15" s="108" t="s">
        <v>28</v>
      </c>
      <c r="F15" s="135" t="s">
        <v>312</v>
      </c>
      <c r="G15" s="108">
        <v>6</v>
      </c>
      <c r="H15" s="154">
        <v>10</v>
      </c>
      <c r="I15" s="228">
        <v>33</v>
      </c>
      <c r="J15" s="23"/>
      <c r="K15" s="100">
        <f t="shared" si="0"/>
        <v>0</v>
      </c>
      <c r="L15" s="108">
        <f t="shared" si="1"/>
        <v>0</v>
      </c>
      <c r="M15" s="154">
        <f>L15+L16</f>
        <v>0</v>
      </c>
      <c r="N15" s="231">
        <f>M15/H15</f>
        <v>0</v>
      </c>
      <c r="O15" s="231">
        <f>N15+N17+N18+N19</f>
        <v>0</v>
      </c>
      <c r="P15" s="231">
        <f>O15/I15</f>
        <v>0</v>
      </c>
      <c r="Q15" s="243"/>
      <c r="R15" s="94"/>
      <c r="S15" s="94"/>
      <c r="T15" s="94"/>
      <c r="U15" s="94"/>
    </row>
    <row r="16" spans="1:21" ht="15" customHeight="1" x14ac:dyDescent="0.25">
      <c r="A16" s="100">
        <v>14</v>
      </c>
      <c r="B16" s="8" t="s">
        <v>94</v>
      </c>
      <c r="C16" s="8" t="s">
        <v>75</v>
      </c>
      <c r="D16" s="101" t="s">
        <v>58</v>
      </c>
      <c r="E16" s="108" t="s">
        <v>29</v>
      </c>
      <c r="F16" s="135" t="s">
        <v>313</v>
      </c>
      <c r="G16" s="108">
        <v>4</v>
      </c>
      <c r="H16" s="154"/>
      <c r="I16" s="229"/>
      <c r="J16" s="23"/>
      <c r="K16" s="100">
        <f t="shared" si="0"/>
        <v>0</v>
      </c>
      <c r="L16" s="108">
        <f t="shared" si="1"/>
        <v>0</v>
      </c>
      <c r="M16" s="154"/>
      <c r="N16" s="231"/>
      <c r="O16" s="154"/>
      <c r="P16" s="231"/>
      <c r="Q16" s="243"/>
      <c r="R16" s="94"/>
      <c r="S16" s="94"/>
      <c r="T16" s="94"/>
      <c r="U16" s="94"/>
    </row>
    <row r="17" spans="1:21" ht="15" customHeight="1" x14ac:dyDescent="0.25">
      <c r="A17" s="100">
        <v>15</v>
      </c>
      <c r="B17" s="8" t="s">
        <v>94</v>
      </c>
      <c r="C17" s="8" t="s">
        <v>76</v>
      </c>
      <c r="D17" s="101" t="s">
        <v>58</v>
      </c>
      <c r="E17" s="108" t="s">
        <v>30</v>
      </c>
      <c r="F17" s="135" t="s">
        <v>318</v>
      </c>
      <c r="G17" s="108">
        <v>5</v>
      </c>
      <c r="H17" s="108">
        <v>5</v>
      </c>
      <c r="I17" s="229"/>
      <c r="J17" s="23"/>
      <c r="K17" s="100">
        <f t="shared" si="0"/>
        <v>0</v>
      </c>
      <c r="L17" s="108">
        <f t="shared" si="1"/>
        <v>0</v>
      </c>
      <c r="M17" s="108">
        <f>L17</f>
        <v>0</v>
      </c>
      <c r="N17" s="124">
        <f t="shared" ref="N17:N22" si="2">M17/H17</f>
        <v>0</v>
      </c>
      <c r="O17" s="154"/>
      <c r="P17" s="231"/>
      <c r="Q17" s="243"/>
      <c r="R17" s="94"/>
      <c r="S17" s="94"/>
      <c r="T17" s="94"/>
      <c r="U17" s="94"/>
    </row>
    <row r="18" spans="1:21" ht="15" customHeight="1" x14ac:dyDescent="0.25">
      <c r="A18" s="100">
        <v>16</v>
      </c>
      <c r="B18" s="8" t="s">
        <v>94</v>
      </c>
      <c r="C18" s="8" t="s">
        <v>77</v>
      </c>
      <c r="D18" s="101" t="s">
        <v>58</v>
      </c>
      <c r="E18" s="108" t="s">
        <v>31</v>
      </c>
      <c r="F18" s="135" t="s">
        <v>325</v>
      </c>
      <c r="G18" s="108">
        <v>8</v>
      </c>
      <c r="H18" s="108">
        <v>8</v>
      </c>
      <c r="I18" s="229"/>
      <c r="J18" s="23"/>
      <c r="K18" s="100">
        <f t="shared" si="0"/>
        <v>0</v>
      </c>
      <c r="L18" s="108">
        <f t="shared" si="1"/>
        <v>0</v>
      </c>
      <c r="M18" s="108">
        <f>L18</f>
        <v>0</v>
      </c>
      <c r="N18" s="124">
        <f t="shared" si="2"/>
        <v>0</v>
      </c>
      <c r="O18" s="154"/>
      <c r="P18" s="231"/>
      <c r="Q18" s="243"/>
      <c r="R18" s="94"/>
      <c r="S18" s="94"/>
      <c r="T18" s="94"/>
      <c r="U18" s="94"/>
    </row>
    <row r="19" spans="1:21" ht="15" customHeight="1" x14ac:dyDescent="0.25">
      <c r="A19" s="100">
        <v>17</v>
      </c>
      <c r="B19" s="8" t="s">
        <v>94</v>
      </c>
      <c r="C19" s="8" t="s">
        <v>78</v>
      </c>
      <c r="D19" s="101" t="s">
        <v>58</v>
      </c>
      <c r="E19" s="108" t="s">
        <v>332</v>
      </c>
      <c r="F19" s="135" t="s">
        <v>333</v>
      </c>
      <c r="G19" s="108">
        <v>10</v>
      </c>
      <c r="H19" s="108">
        <v>10</v>
      </c>
      <c r="I19" s="230"/>
      <c r="J19" s="23"/>
      <c r="K19" s="100">
        <f t="shared" si="0"/>
        <v>0</v>
      </c>
      <c r="L19" s="108">
        <f t="shared" si="1"/>
        <v>0</v>
      </c>
      <c r="M19" s="108">
        <f>L19</f>
        <v>0</v>
      </c>
      <c r="N19" s="124">
        <f t="shared" si="2"/>
        <v>0</v>
      </c>
      <c r="O19" s="154"/>
      <c r="P19" s="231"/>
      <c r="Q19" s="243"/>
      <c r="R19" s="94"/>
      <c r="S19" s="94"/>
      <c r="T19" s="94"/>
      <c r="U19" s="94"/>
    </row>
    <row r="20" spans="1:21" ht="15" customHeight="1" x14ac:dyDescent="0.25">
      <c r="A20" s="100">
        <v>18</v>
      </c>
      <c r="B20" s="8" t="s">
        <v>95</v>
      </c>
      <c r="C20" s="8" t="s">
        <v>81</v>
      </c>
      <c r="D20" s="101" t="s">
        <v>58</v>
      </c>
      <c r="E20" s="108" t="s">
        <v>41</v>
      </c>
      <c r="F20" s="135" t="s">
        <v>345</v>
      </c>
      <c r="G20" s="108">
        <v>10</v>
      </c>
      <c r="H20" s="108">
        <v>10</v>
      </c>
      <c r="I20" s="228">
        <v>15</v>
      </c>
      <c r="J20" s="23"/>
      <c r="K20" s="100">
        <f t="shared" si="0"/>
        <v>0</v>
      </c>
      <c r="L20" s="108">
        <f t="shared" si="1"/>
        <v>0</v>
      </c>
      <c r="M20" s="123">
        <f>L20</f>
        <v>0</v>
      </c>
      <c r="N20" s="124">
        <f t="shared" si="2"/>
        <v>0</v>
      </c>
      <c r="O20" s="231">
        <f>N20+N21</f>
        <v>0</v>
      </c>
      <c r="P20" s="231">
        <f>O20/I20</f>
        <v>0</v>
      </c>
      <c r="Q20" s="243"/>
      <c r="R20" s="94"/>
      <c r="S20" s="94"/>
      <c r="T20" s="94"/>
      <c r="U20" s="94"/>
    </row>
    <row r="21" spans="1:21" ht="15" customHeight="1" x14ac:dyDescent="0.25">
      <c r="A21" s="100">
        <v>19</v>
      </c>
      <c r="B21" s="8" t="s">
        <v>95</v>
      </c>
      <c r="C21" s="8" t="s">
        <v>82</v>
      </c>
      <c r="D21" s="101" t="s">
        <v>58</v>
      </c>
      <c r="E21" s="108" t="s">
        <v>42</v>
      </c>
      <c r="F21" s="135" t="s">
        <v>348</v>
      </c>
      <c r="G21" s="108">
        <v>5</v>
      </c>
      <c r="H21" s="108">
        <v>5</v>
      </c>
      <c r="I21" s="230"/>
      <c r="J21" s="23"/>
      <c r="K21" s="100">
        <f t="shared" si="0"/>
        <v>0</v>
      </c>
      <c r="L21" s="108">
        <f t="shared" si="1"/>
        <v>0</v>
      </c>
      <c r="M21" s="123">
        <f>L21</f>
        <v>0</v>
      </c>
      <c r="N21" s="124">
        <f t="shared" si="2"/>
        <v>0</v>
      </c>
      <c r="O21" s="154"/>
      <c r="P21" s="231"/>
      <c r="Q21" s="243"/>
      <c r="R21" s="94"/>
      <c r="S21" s="94"/>
      <c r="T21" s="94"/>
      <c r="U21" s="94"/>
    </row>
    <row r="22" spans="1:21" ht="15" customHeight="1" x14ac:dyDescent="0.25">
      <c r="A22" s="100">
        <v>20</v>
      </c>
      <c r="B22" s="8" t="s">
        <v>96</v>
      </c>
      <c r="C22" s="8" t="s">
        <v>83</v>
      </c>
      <c r="D22" s="101" t="s">
        <v>58</v>
      </c>
      <c r="E22" s="108" t="s">
        <v>43</v>
      </c>
      <c r="F22" s="135" t="s">
        <v>351</v>
      </c>
      <c r="G22" s="108">
        <v>5</v>
      </c>
      <c r="H22" s="154">
        <v>10</v>
      </c>
      <c r="I22" s="228">
        <v>50</v>
      </c>
      <c r="J22" s="23"/>
      <c r="K22" s="100">
        <f t="shared" si="0"/>
        <v>0</v>
      </c>
      <c r="L22" s="108">
        <f t="shared" si="1"/>
        <v>0</v>
      </c>
      <c r="M22" s="154">
        <f>L22+L23</f>
        <v>0</v>
      </c>
      <c r="N22" s="231">
        <f t="shared" si="2"/>
        <v>0</v>
      </c>
      <c r="O22" s="231">
        <f>N22+N24+N26+N27+N29</f>
        <v>0</v>
      </c>
      <c r="P22" s="231">
        <f>O22/I22</f>
        <v>0</v>
      </c>
      <c r="Q22" s="243"/>
      <c r="R22" s="94"/>
      <c r="S22" s="94"/>
      <c r="T22" s="94"/>
      <c r="U22" s="94"/>
    </row>
    <row r="23" spans="1:21" ht="15" customHeight="1" x14ac:dyDescent="0.25">
      <c r="A23" s="100">
        <v>21</v>
      </c>
      <c r="B23" s="8" t="s">
        <v>96</v>
      </c>
      <c r="C23" s="8" t="s">
        <v>83</v>
      </c>
      <c r="D23" s="101" t="s">
        <v>58</v>
      </c>
      <c r="E23" s="108" t="s">
        <v>352</v>
      </c>
      <c r="F23" s="135" t="s">
        <v>353</v>
      </c>
      <c r="G23" s="108">
        <v>5</v>
      </c>
      <c r="H23" s="154"/>
      <c r="I23" s="229"/>
      <c r="J23" s="23"/>
      <c r="K23" s="100">
        <f t="shared" si="0"/>
        <v>0</v>
      </c>
      <c r="L23" s="108">
        <f t="shared" si="1"/>
        <v>0</v>
      </c>
      <c r="M23" s="154"/>
      <c r="N23" s="231"/>
      <c r="O23" s="154"/>
      <c r="P23" s="231"/>
      <c r="Q23" s="243"/>
      <c r="R23" s="94"/>
      <c r="S23" s="94"/>
      <c r="T23" s="94"/>
      <c r="U23" s="94"/>
    </row>
    <row r="24" spans="1:21" ht="15" customHeight="1" x14ac:dyDescent="0.25">
      <c r="A24" s="100">
        <v>22</v>
      </c>
      <c r="B24" s="8" t="s">
        <v>96</v>
      </c>
      <c r="C24" s="8" t="s">
        <v>84</v>
      </c>
      <c r="D24" s="101" t="s">
        <v>58</v>
      </c>
      <c r="E24" s="108" t="s">
        <v>44</v>
      </c>
      <c r="F24" s="123" t="s">
        <v>354</v>
      </c>
      <c r="G24" s="108">
        <v>2</v>
      </c>
      <c r="H24" s="244">
        <v>6</v>
      </c>
      <c r="I24" s="229"/>
      <c r="J24" s="133"/>
      <c r="K24" s="100">
        <f t="shared" si="0"/>
        <v>0</v>
      </c>
      <c r="L24" s="108">
        <f t="shared" si="1"/>
        <v>0</v>
      </c>
      <c r="M24" s="154">
        <f>L24+L25</f>
        <v>0</v>
      </c>
      <c r="N24" s="231">
        <f>M24/H24</f>
        <v>0</v>
      </c>
      <c r="O24" s="154"/>
      <c r="P24" s="231"/>
      <c r="Q24" s="243"/>
      <c r="R24" s="94"/>
      <c r="S24" s="94"/>
      <c r="T24" s="94"/>
      <c r="U24" s="94"/>
    </row>
    <row r="25" spans="1:21" ht="15" customHeight="1" x14ac:dyDescent="0.25">
      <c r="A25" s="100">
        <v>23</v>
      </c>
      <c r="B25" s="8" t="s">
        <v>96</v>
      </c>
      <c r="C25" s="8" t="s">
        <v>84</v>
      </c>
      <c r="D25" s="101" t="s">
        <v>58</v>
      </c>
      <c r="E25" s="108" t="s">
        <v>45</v>
      </c>
      <c r="F25" s="135" t="s">
        <v>355</v>
      </c>
      <c r="G25" s="108">
        <v>4</v>
      </c>
      <c r="H25" s="244"/>
      <c r="I25" s="229"/>
      <c r="J25" s="133"/>
      <c r="K25" s="100">
        <f t="shared" si="0"/>
        <v>0</v>
      </c>
      <c r="L25" s="108">
        <f t="shared" si="1"/>
        <v>0</v>
      </c>
      <c r="M25" s="154"/>
      <c r="N25" s="231"/>
      <c r="O25" s="154"/>
      <c r="P25" s="231"/>
      <c r="Q25" s="243"/>
      <c r="R25" s="94"/>
      <c r="S25" s="94"/>
      <c r="T25" s="94"/>
      <c r="U25" s="94"/>
    </row>
    <row r="26" spans="1:21" ht="15" customHeight="1" x14ac:dyDescent="0.25">
      <c r="A26" s="100">
        <v>24</v>
      </c>
      <c r="B26" s="8" t="s">
        <v>96</v>
      </c>
      <c r="C26" s="8" t="s">
        <v>85</v>
      </c>
      <c r="D26" s="101" t="s">
        <v>58</v>
      </c>
      <c r="E26" s="108" t="s">
        <v>46</v>
      </c>
      <c r="F26" s="135" t="s">
        <v>358</v>
      </c>
      <c r="G26" s="108">
        <v>4</v>
      </c>
      <c r="H26" s="108">
        <v>4</v>
      </c>
      <c r="I26" s="229"/>
      <c r="J26" s="133"/>
      <c r="K26" s="100">
        <f t="shared" si="0"/>
        <v>0</v>
      </c>
      <c r="L26" s="108">
        <f t="shared" si="1"/>
        <v>0</v>
      </c>
      <c r="M26" s="108">
        <f>L26</f>
        <v>0</v>
      </c>
      <c r="N26" s="124">
        <f>M26/H26</f>
        <v>0</v>
      </c>
      <c r="O26" s="154"/>
      <c r="P26" s="231"/>
      <c r="Q26" s="243"/>
      <c r="R26" s="94"/>
      <c r="S26" s="94"/>
      <c r="T26" s="94"/>
      <c r="U26" s="94"/>
    </row>
    <row r="27" spans="1:21" ht="15" customHeight="1" x14ac:dyDescent="0.25">
      <c r="A27" s="100">
        <v>25</v>
      </c>
      <c r="B27" s="8" t="s">
        <v>96</v>
      </c>
      <c r="C27" s="8" t="s">
        <v>86</v>
      </c>
      <c r="D27" s="101" t="s">
        <v>58</v>
      </c>
      <c r="E27" s="108" t="s">
        <v>49</v>
      </c>
      <c r="F27" s="123" t="s">
        <v>363</v>
      </c>
      <c r="G27" s="108">
        <v>4</v>
      </c>
      <c r="H27" s="154">
        <v>10</v>
      </c>
      <c r="I27" s="229"/>
      <c r="J27" s="133"/>
      <c r="K27" s="100">
        <f t="shared" si="0"/>
        <v>0</v>
      </c>
      <c r="L27" s="108">
        <f t="shared" si="1"/>
        <v>0</v>
      </c>
      <c r="M27" s="154">
        <f>L27+L28</f>
        <v>0</v>
      </c>
      <c r="N27" s="231">
        <f>M27/H27</f>
        <v>0</v>
      </c>
      <c r="O27" s="154"/>
      <c r="P27" s="231"/>
      <c r="Q27" s="243"/>
      <c r="R27" s="94"/>
      <c r="S27" s="94"/>
      <c r="T27" s="94"/>
      <c r="U27" s="94"/>
    </row>
    <row r="28" spans="1:21" ht="15" customHeight="1" x14ac:dyDescent="0.25">
      <c r="A28" s="100">
        <v>26</v>
      </c>
      <c r="B28" s="8" t="s">
        <v>96</v>
      </c>
      <c r="C28" s="8" t="s">
        <v>86</v>
      </c>
      <c r="D28" s="101" t="s">
        <v>58</v>
      </c>
      <c r="E28" s="108" t="s">
        <v>366</v>
      </c>
      <c r="F28" s="135" t="s">
        <v>367</v>
      </c>
      <c r="G28" s="108">
        <v>6</v>
      </c>
      <c r="H28" s="154"/>
      <c r="I28" s="229"/>
      <c r="J28" s="133"/>
      <c r="K28" s="100">
        <f t="shared" si="0"/>
        <v>0</v>
      </c>
      <c r="L28" s="108">
        <f t="shared" si="1"/>
        <v>0</v>
      </c>
      <c r="M28" s="154"/>
      <c r="N28" s="231"/>
      <c r="O28" s="154"/>
      <c r="P28" s="231"/>
      <c r="Q28" s="243"/>
      <c r="R28" s="94"/>
      <c r="S28" s="94"/>
      <c r="T28" s="94"/>
      <c r="U28" s="94"/>
    </row>
    <row r="29" spans="1:21" ht="15" customHeight="1" x14ac:dyDescent="0.25">
      <c r="A29" s="100">
        <v>27</v>
      </c>
      <c r="B29" s="8" t="s">
        <v>96</v>
      </c>
      <c r="C29" s="8" t="s">
        <v>87</v>
      </c>
      <c r="D29" s="101" t="s">
        <v>58</v>
      </c>
      <c r="E29" s="108" t="s">
        <v>50</v>
      </c>
      <c r="F29" s="123" t="s">
        <v>368</v>
      </c>
      <c r="G29" s="108">
        <v>10</v>
      </c>
      <c r="H29" s="154">
        <v>20</v>
      </c>
      <c r="I29" s="229"/>
      <c r="J29" s="133"/>
      <c r="K29" s="100">
        <f t="shared" si="0"/>
        <v>0</v>
      </c>
      <c r="L29" s="108">
        <f t="shared" si="1"/>
        <v>0</v>
      </c>
      <c r="M29" s="154">
        <f>L29+L30</f>
        <v>0</v>
      </c>
      <c r="N29" s="231">
        <f>M29/H29</f>
        <v>0</v>
      </c>
      <c r="O29" s="154"/>
      <c r="P29" s="231"/>
      <c r="Q29" s="243"/>
      <c r="R29" s="94"/>
      <c r="S29" s="94"/>
      <c r="T29" s="94"/>
      <c r="U29" s="94"/>
    </row>
    <row r="30" spans="1:21" ht="15" customHeight="1" x14ac:dyDescent="0.25">
      <c r="A30" s="100">
        <v>28</v>
      </c>
      <c r="B30" s="8" t="s">
        <v>96</v>
      </c>
      <c r="C30" s="8" t="s">
        <v>87</v>
      </c>
      <c r="D30" s="101" t="s">
        <v>58</v>
      </c>
      <c r="E30" s="108" t="s">
        <v>51</v>
      </c>
      <c r="F30" s="135" t="s">
        <v>369</v>
      </c>
      <c r="G30" s="108">
        <v>10</v>
      </c>
      <c r="H30" s="154"/>
      <c r="I30" s="230"/>
      <c r="J30" s="133"/>
      <c r="K30" s="100">
        <f t="shared" si="0"/>
        <v>0</v>
      </c>
      <c r="L30" s="108">
        <f t="shared" si="1"/>
        <v>0</v>
      </c>
      <c r="M30" s="154"/>
      <c r="N30" s="231"/>
      <c r="O30" s="154"/>
      <c r="P30" s="231"/>
      <c r="Q30" s="243"/>
      <c r="R30" s="94"/>
      <c r="S30" s="94"/>
      <c r="T30" s="94"/>
      <c r="U30" s="94"/>
    </row>
    <row r="31" spans="1:21" ht="15" customHeight="1" x14ac:dyDescent="0.25">
      <c r="A31" s="100">
        <v>29</v>
      </c>
      <c r="B31" s="8" t="s">
        <v>97</v>
      </c>
      <c r="C31" s="8" t="s">
        <v>88</v>
      </c>
      <c r="D31" s="101" t="s">
        <v>58</v>
      </c>
      <c r="E31" s="108" t="s">
        <v>52</v>
      </c>
      <c r="F31" s="135" t="s">
        <v>372</v>
      </c>
      <c r="G31" s="108">
        <v>5</v>
      </c>
      <c r="H31" s="154">
        <v>23</v>
      </c>
      <c r="I31" s="228">
        <v>73</v>
      </c>
      <c r="J31" s="133"/>
      <c r="K31" s="100">
        <f t="shared" si="0"/>
        <v>0</v>
      </c>
      <c r="L31" s="108">
        <f t="shared" si="1"/>
        <v>0</v>
      </c>
      <c r="M31" s="154">
        <f>L31+L32+L33+L34+L35</f>
        <v>0</v>
      </c>
      <c r="N31" s="231">
        <f>M31/H31</f>
        <v>0</v>
      </c>
      <c r="O31" s="231">
        <f>N31+N36+N37</f>
        <v>0</v>
      </c>
      <c r="P31" s="231">
        <f>O31/I31</f>
        <v>0</v>
      </c>
      <c r="Q31" s="243"/>
      <c r="R31" s="94"/>
      <c r="S31" s="94"/>
      <c r="T31" s="94"/>
      <c r="U31" s="94"/>
    </row>
    <row r="32" spans="1:21" ht="15" customHeight="1" x14ac:dyDescent="0.25">
      <c r="A32" s="100">
        <v>30</v>
      </c>
      <c r="B32" s="8" t="s">
        <v>97</v>
      </c>
      <c r="C32" s="8" t="s">
        <v>88</v>
      </c>
      <c r="D32" s="101" t="s">
        <v>58</v>
      </c>
      <c r="E32" s="108" t="s">
        <v>54</v>
      </c>
      <c r="F32" s="135" t="s">
        <v>374</v>
      </c>
      <c r="G32" s="108">
        <v>4</v>
      </c>
      <c r="H32" s="154"/>
      <c r="I32" s="229"/>
      <c r="J32" s="133"/>
      <c r="K32" s="100">
        <f t="shared" si="0"/>
        <v>0</v>
      </c>
      <c r="L32" s="108">
        <f t="shared" si="1"/>
        <v>0</v>
      </c>
      <c r="M32" s="154"/>
      <c r="N32" s="231"/>
      <c r="O32" s="154"/>
      <c r="P32" s="231"/>
      <c r="Q32" s="243"/>
      <c r="R32" s="94"/>
      <c r="S32" s="94"/>
      <c r="T32" s="94"/>
      <c r="U32" s="94"/>
    </row>
    <row r="33" spans="1:21" ht="15" customHeight="1" x14ac:dyDescent="0.25">
      <c r="A33" s="100">
        <v>31</v>
      </c>
      <c r="B33" s="8" t="s">
        <v>97</v>
      </c>
      <c r="C33" s="8" t="s">
        <v>88</v>
      </c>
      <c r="D33" s="101" t="s">
        <v>58</v>
      </c>
      <c r="E33" s="108" t="s">
        <v>382</v>
      </c>
      <c r="F33" s="123" t="s">
        <v>383</v>
      </c>
      <c r="G33" s="108">
        <v>5</v>
      </c>
      <c r="H33" s="154"/>
      <c r="I33" s="229"/>
      <c r="J33" s="133"/>
      <c r="K33" s="100">
        <f t="shared" si="0"/>
        <v>0</v>
      </c>
      <c r="L33" s="108">
        <f t="shared" si="1"/>
        <v>0</v>
      </c>
      <c r="M33" s="154"/>
      <c r="N33" s="231"/>
      <c r="O33" s="154"/>
      <c r="P33" s="231"/>
      <c r="Q33" s="243"/>
      <c r="R33" s="94"/>
      <c r="S33" s="94"/>
      <c r="T33" s="94"/>
      <c r="U33" s="94"/>
    </row>
    <row r="34" spans="1:21" ht="15" customHeight="1" x14ac:dyDescent="0.25">
      <c r="A34" s="100">
        <v>32</v>
      </c>
      <c r="B34" s="8" t="s">
        <v>97</v>
      </c>
      <c r="C34" s="8" t="s">
        <v>88</v>
      </c>
      <c r="D34" s="101" t="s">
        <v>58</v>
      </c>
      <c r="E34" s="108" t="s">
        <v>384</v>
      </c>
      <c r="F34" s="123" t="s">
        <v>385</v>
      </c>
      <c r="G34" s="108">
        <v>4</v>
      </c>
      <c r="H34" s="154"/>
      <c r="I34" s="229"/>
      <c r="J34" s="133"/>
      <c r="K34" s="100">
        <f t="shared" si="0"/>
        <v>0</v>
      </c>
      <c r="L34" s="108">
        <f t="shared" si="1"/>
        <v>0</v>
      </c>
      <c r="M34" s="154"/>
      <c r="N34" s="231"/>
      <c r="O34" s="154"/>
      <c r="P34" s="231"/>
      <c r="Q34" s="243"/>
      <c r="R34" s="94"/>
      <c r="S34" s="94"/>
      <c r="T34" s="94"/>
      <c r="U34" s="94"/>
    </row>
    <row r="35" spans="1:21" ht="15" customHeight="1" x14ac:dyDescent="0.25">
      <c r="A35" s="100">
        <v>33</v>
      </c>
      <c r="B35" s="8" t="s">
        <v>97</v>
      </c>
      <c r="C35" s="8" t="s">
        <v>88</v>
      </c>
      <c r="D35" s="101" t="s">
        <v>58</v>
      </c>
      <c r="E35" s="108" t="s">
        <v>388</v>
      </c>
      <c r="F35" s="135" t="s">
        <v>389</v>
      </c>
      <c r="G35" s="108">
        <v>5</v>
      </c>
      <c r="H35" s="154"/>
      <c r="I35" s="229"/>
      <c r="J35" s="133"/>
      <c r="K35" s="100">
        <f t="shared" si="0"/>
        <v>0</v>
      </c>
      <c r="L35" s="108">
        <f t="shared" si="1"/>
        <v>0</v>
      </c>
      <c r="M35" s="154"/>
      <c r="N35" s="231"/>
      <c r="O35" s="154"/>
      <c r="P35" s="231"/>
      <c r="Q35" s="243"/>
      <c r="R35" s="94"/>
      <c r="S35" s="94"/>
      <c r="T35" s="94"/>
      <c r="U35" s="94"/>
    </row>
    <row r="36" spans="1:21" ht="15" customHeight="1" x14ac:dyDescent="0.25">
      <c r="A36" s="100">
        <v>34</v>
      </c>
      <c r="B36" s="8" t="s">
        <v>97</v>
      </c>
      <c r="C36" s="8" t="s">
        <v>89</v>
      </c>
      <c r="D36" s="101" t="s">
        <v>58</v>
      </c>
      <c r="E36" s="108" t="s">
        <v>56</v>
      </c>
      <c r="F36" s="135" t="s">
        <v>390</v>
      </c>
      <c r="G36" s="108">
        <v>30</v>
      </c>
      <c r="H36" s="108">
        <v>30</v>
      </c>
      <c r="I36" s="229"/>
      <c r="J36" s="133"/>
      <c r="K36" s="100">
        <f t="shared" si="0"/>
        <v>0</v>
      </c>
      <c r="L36" s="108">
        <f t="shared" si="1"/>
        <v>0</v>
      </c>
      <c r="M36" s="108">
        <f>L36</f>
        <v>0</v>
      </c>
      <c r="N36" s="124">
        <f>M36/H36</f>
        <v>0</v>
      </c>
      <c r="O36" s="154"/>
      <c r="P36" s="231"/>
      <c r="Q36" s="243"/>
      <c r="R36" s="94"/>
      <c r="S36" s="94"/>
      <c r="T36" s="94"/>
      <c r="U36" s="94"/>
    </row>
    <row r="37" spans="1:21" ht="15" customHeight="1" x14ac:dyDescent="0.25">
      <c r="A37" s="100">
        <v>35</v>
      </c>
      <c r="B37" s="8" t="s">
        <v>97</v>
      </c>
      <c r="C37" s="8" t="s">
        <v>90</v>
      </c>
      <c r="D37" s="101" t="s">
        <v>58</v>
      </c>
      <c r="E37" s="132" t="s">
        <v>57</v>
      </c>
      <c r="F37" s="123" t="s">
        <v>391</v>
      </c>
      <c r="G37" s="108">
        <v>20</v>
      </c>
      <c r="H37" s="108">
        <v>20</v>
      </c>
      <c r="I37" s="230"/>
      <c r="J37" s="133"/>
      <c r="K37" s="100">
        <f t="shared" si="0"/>
        <v>0</v>
      </c>
      <c r="L37" s="108">
        <f t="shared" si="1"/>
        <v>0</v>
      </c>
      <c r="M37" s="108">
        <f>L37</f>
        <v>0</v>
      </c>
      <c r="N37" s="108">
        <f>M37/H37</f>
        <v>0</v>
      </c>
      <c r="O37" s="154"/>
      <c r="P37" s="231"/>
      <c r="Q37" s="243"/>
      <c r="R37" s="94"/>
      <c r="S37" s="94"/>
      <c r="T37" s="94"/>
      <c r="U37" s="94"/>
    </row>
    <row r="38" spans="1:21" x14ac:dyDescent="0.25">
      <c r="Q38" s="94"/>
      <c r="R38" s="94"/>
      <c r="S38" s="94"/>
      <c r="T38" s="94"/>
      <c r="U38" s="94"/>
    </row>
    <row r="39" spans="1:21" ht="15.75" thickBot="1" x14ac:dyDescent="0.3"/>
    <row r="40" spans="1:21" ht="23.25" thickBot="1" x14ac:dyDescent="0.3">
      <c r="B40" s="89" t="s">
        <v>220</v>
      </c>
      <c r="C40" t="s">
        <v>455</v>
      </c>
      <c r="I40" s="160" t="s">
        <v>222</v>
      </c>
      <c r="J40" s="161"/>
      <c r="K40" s="161"/>
      <c r="L40" s="161"/>
      <c r="M40" s="161"/>
      <c r="N40" s="161"/>
      <c r="O40" s="161"/>
      <c r="P40" s="161"/>
      <c r="Q40" s="161"/>
      <c r="R40" s="161"/>
      <c r="S40" s="161"/>
      <c r="T40" s="162"/>
    </row>
    <row r="41" spans="1:21" x14ac:dyDescent="0.25">
      <c r="B41" s="90" t="s">
        <v>60</v>
      </c>
      <c r="C41" s="92">
        <v>30</v>
      </c>
    </row>
    <row r="42" spans="1:21" x14ac:dyDescent="0.25">
      <c r="B42" s="90" t="s">
        <v>62</v>
      </c>
      <c r="C42" s="92"/>
    </row>
    <row r="43" spans="1:21" ht="15.75" thickBot="1" x14ac:dyDescent="0.3">
      <c r="B43" s="90" t="s">
        <v>431</v>
      </c>
      <c r="C43" s="92">
        <v>15</v>
      </c>
    </row>
    <row r="44" spans="1:21" ht="19.5" thickBot="1" x14ac:dyDescent="0.35">
      <c r="B44" s="90" t="s">
        <v>432</v>
      </c>
      <c r="C44" s="92">
        <v>40</v>
      </c>
      <c r="I44" s="155" t="s">
        <v>227</v>
      </c>
      <c r="J44" s="156"/>
      <c r="K44" s="156"/>
      <c r="L44" s="156"/>
      <c r="M44" s="156"/>
      <c r="N44" s="156"/>
      <c r="O44" s="156"/>
      <c r="P44" s="156"/>
      <c r="Q44" s="156"/>
      <c r="R44" s="156"/>
      <c r="S44" s="156"/>
      <c r="T44" s="157"/>
    </row>
    <row r="45" spans="1:21" x14ac:dyDescent="0.25">
      <c r="B45" s="90" t="s">
        <v>67</v>
      </c>
      <c r="C45" s="92">
        <v>15</v>
      </c>
      <c r="F45" s="136" t="s">
        <v>220</v>
      </c>
      <c r="G45" t="s">
        <v>221</v>
      </c>
    </row>
    <row r="46" spans="1:21" x14ac:dyDescent="0.25">
      <c r="B46" s="90" t="s">
        <v>68</v>
      </c>
      <c r="C46" s="92">
        <v>30</v>
      </c>
      <c r="F46" s="90" t="s">
        <v>3</v>
      </c>
      <c r="G46" s="91">
        <v>0</v>
      </c>
    </row>
    <row r="47" spans="1:21" x14ac:dyDescent="0.25">
      <c r="B47" s="90" t="s">
        <v>433</v>
      </c>
      <c r="C47" s="92">
        <v>6</v>
      </c>
      <c r="F47" s="90" t="s">
        <v>6</v>
      </c>
      <c r="G47" s="91">
        <v>0</v>
      </c>
    </row>
    <row r="48" spans="1:21" x14ac:dyDescent="0.25">
      <c r="B48" s="90" t="s">
        <v>435</v>
      </c>
      <c r="C48" s="92">
        <v>5</v>
      </c>
      <c r="F48" s="90" t="s">
        <v>11</v>
      </c>
      <c r="G48" s="91">
        <v>0</v>
      </c>
    </row>
    <row r="49" spans="2:20" x14ac:dyDescent="0.25">
      <c r="B49" s="90" t="s">
        <v>438</v>
      </c>
      <c r="C49" s="92">
        <v>10</v>
      </c>
      <c r="F49" s="90" t="s">
        <v>12</v>
      </c>
      <c r="G49" s="91">
        <v>0</v>
      </c>
    </row>
    <row r="50" spans="2:20" x14ac:dyDescent="0.25">
      <c r="B50" s="90" t="s">
        <v>75</v>
      </c>
      <c r="C50" s="92">
        <v>10</v>
      </c>
      <c r="F50" s="90" t="s">
        <v>255</v>
      </c>
      <c r="G50" s="91">
        <v>0</v>
      </c>
    </row>
    <row r="51" spans="2:20" x14ac:dyDescent="0.25">
      <c r="B51" s="90" t="s">
        <v>76</v>
      </c>
      <c r="C51" s="92">
        <v>5</v>
      </c>
      <c r="F51" s="90" t="s">
        <v>259</v>
      </c>
      <c r="G51" s="91">
        <v>0</v>
      </c>
    </row>
    <row r="52" spans="2:20" x14ac:dyDescent="0.25">
      <c r="B52" s="90" t="s">
        <v>77</v>
      </c>
      <c r="C52" s="92">
        <v>8</v>
      </c>
      <c r="F52" s="90" t="s">
        <v>268</v>
      </c>
      <c r="G52" s="91">
        <v>0</v>
      </c>
    </row>
    <row r="53" spans="2:20" x14ac:dyDescent="0.25">
      <c r="B53" s="90" t="s">
        <v>78</v>
      </c>
      <c r="C53" s="92">
        <v>10</v>
      </c>
      <c r="F53" s="90" t="s">
        <v>16</v>
      </c>
      <c r="G53" s="91">
        <v>0</v>
      </c>
    </row>
    <row r="54" spans="2:20" x14ac:dyDescent="0.25">
      <c r="B54" s="90" t="s">
        <v>81</v>
      </c>
      <c r="C54" s="92">
        <v>10</v>
      </c>
      <c r="F54" s="90" t="s">
        <v>17</v>
      </c>
      <c r="G54" s="91">
        <v>0</v>
      </c>
    </row>
    <row r="55" spans="2:20" x14ac:dyDescent="0.25">
      <c r="B55" s="90" t="s">
        <v>82</v>
      </c>
      <c r="C55" s="92">
        <v>5</v>
      </c>
      <c r="F55" s="90" t="s">
        <v>19</v>
      </c>
      <c r="G55" s="91">
        <v>0</v>
      </c>
    </row>
    <row r="56" spans="2:20" x14ac:dyDescent="0.25">
      <c r="B56" s="90" t="s">
        <v>83</v>
      </c>
      <c r="C56" s="92">
        <v>10</v>
      </c>
      <c r="F56" s="90" t="s">
        <v>22</v>
      </c>
      <c r="G56" s="91">
        <v>0</v>
      </c>
    </row>
    <row r="57" spans="2:20" x14ac:dyDescent="0.25">
      <c r="B57" s="90" t="s">
        <v>84</v>
      </c>
      <c r="C57" s="92">
        <v>6</v>
      </c>
      <c r="F57" s="90" t="s">
        <v>300</v>
      </c>
      <c r="G57" s="91">
        <v>0</v>
      </c>
    </row>
    <row r="58" spans="2:20" x14ac:dyDescent="0.25">
      <c r="B58" s="90" t="s">
        <v>85</v>
      </c>
      <c r="C58" s="92">
        <v>4</v>
      </c>
      <c r="F58" s="90" t="s">
        <v>28</v>
      </c>
      <c r="G58" s="91">
        <v>0</v>
      </c>
    </row>
    <row r="59" spans="2:20" x14ac:dyDescent="0.25">
      <c r="B59" s="90" t="s">
        <v>86</v>
      </c>
      <c r="C59" s="92">
        <v>10</v>
      </c>
      <c r="F59" s="90" t="s">
        <v>29</v>
      </c>
      <c r="G59" s="91">
        <v>0</v>
      </c>
    </row>
    <row r="60" spans="2:20" x14ac:dyDescent="0.25">
      <c r="B60" s="90" t="s">
        <v>87</v>
      </c>
      <c r="C60" s="92">
        <v>20</v>
      </c>
      <c r="F60" s="90" t="s">
        <v>30</v>
      </c>
      <c r="G60" s="91">
        <v>0</v>
      </c>
    </row>
    <row r="61" spans="2:20" x14ac:dyDescent="0.25">
      <c r="B61" s="90" t="s">
        <v>88</v>
      </c>
      <c r="C61" s="92">
        <v>23</v>
      </c>
      <c r="F61" s="90" t="s">
        <v>31</v>
      </c>
      <c r="G61" s="91">
        <v>0</v>
      </c>
    </row>
    <row r="62" spans="2:20" ht="15.75" thickBot="1" x14ac:dyDescent="0.3">
      <c r="B62" s="90" t="s">
        <v>89</v>
      </c>
      <c r="C62" s="92">
        <v>30</v>
      </c>
      <c r="F62" s="90" t="s">
        <v>332</v>
      </c>
      <c r="G62" s="91">
        <v>0</v>
      </c>
    </row>
    <row r="63" spans="2:20" ht="19.5" thickBot="1" x14ac:dyDescent="0.35">
      <c r="B63" s="90" t="s">
        <v>90</v>
      </c>
      <c r="C63" s="92">
        <v>20</v>
      </c>
      <c r="F63" s="90" t="s">
        <v>41</v>
      </c>
      <c r="G63" s="91">
        <v>0</v>
      </c>
      <c r="I63" s="155" t="s">
        <v>228</v>
      </c>
      <c r="J63" s="156"/>
      <c r="K63" s="156"/>
      <c r="L63" s="156"/>
      <c r="M63" s="156"/>
      <c r="N63" s="156"/>
      <c r="O63" s="156"/>
      <c r="P63" s="156"/>
      <c r="Q63" s="156"/>
      <c r="R63" s="156"/>
      <c r="S63" s="156"/>
      <c r="T63" s="157"/>
    </row>
    <row r="64" spans="2:20" x14ac:dyDescent="0.25">
      <c r="B64" s="90" t="s">
        <v>216</v>
      </c>
      <c r="C64" s="92">
        <v>322</v>
      </c>
      <c r="F64" s="90" t="s">
        <v>42</v>
      </c>
      <c r="G64" s="91">
        <v>0</v>
      </c>
    </row>
    <row r="65" spans="6:7" x14ac:dyDescent="0.25">
      <c r="F65" s="90" t="s">
        <v>43</v>
      </c>
      <c r="G65" s="91">
        <v>0</v>
      </c>
    </row>
    <row r="66" spans="6:7" x14ac:dyDescent="0.25">
      <c r="F66" s="90" t="s">
        <v>352</v>
      </c>
      <c r="G66" s="91">
        <v>0</v>
      </c>
    </row>
    <row r="67" spans="6:7" x14ac:dyDescent="0.25">
      <c r="F67" s="90" t="s">
        <v>44</v>
      </c>
      <c r="G67" s="91">
        <v>0</v>
      </c>
    </row>
    <row r="68" spans="6:7" x14ac:dyDescent="0.25">
      <c r="F68" s="90" t="s">
        <v>45</v>
      </c>
      <c r="G68" s="91">
        <v>0</v>
      </c>
    </row>
    <row r="69" spans="6:7" x14ac:dyDescent="0.25">
      <c r="F69" s="90" t="s">
        <v>46</v>
      </c>
      <c r="G69" s="91">
        <v>0</v>
      </c>
    </row>
    <row r="70" spans="6:7" x14ac:dyDescent="0.25">
      <c r="F70" s="90" t="s">
        <v>49</v>
      </c>
      <c r="G70" s="91">
        <v>0</v>
      </c>
    </row>
    <row r="71" spans="6:7" x14ac:dyDescent="0.25">
      <c r="F71" s="90" t="s">
        <v>366</v>
      </c>
      <c r="G71" s="91">
        <v>0</v>
      </c>
    </row>
    <row r="72" spans="6:7" x14ac:dyDescent="0.25">
      <c r="F72" s="90" t="s">
        <v>50</v>
      </c>
      <c r="G72" s="91">
        <v>0</v>
      </c>
    </row>
    <row r="73" spans="6:7" x14ac:dyDescent="0.25">
      <c r="F73" s="90" t="s">
        <v>51</v>
      </c>
      <c r="G73" s="91">
        <v>0</v>
      </c>
    </row>
    <row r="74" spans="6:7" x14ac:dyDescent="0.25">
      <c r="F74" s="90" t="s">
        <v>52</v>
      </c>
      <c r="G74" s="91">
        <v>0</v>
      </c>
    </row>
    <row r="75" spans="6:7" x14ac:dyDescent="0.25">
      <c r="F75" s="90" t="s">
        <v>388</v>
      </c>
      <c r="G75" s="91">
        <v>0</v>
      </c>
    </row>
    <row r="76" spans="6:7" x14ac:dyDescent="0.25">
      <c r="F76" s="90" t="s">
        <v>54</v>
      </c>
      <c r="G76" s="91">
        <v>0</v>
      </c>
    </row>
    <row r="77" spans="6:7" x14ac:dyDescent="0.25">
      <c r="F77" s="90" t="s">
        <v>382</v>
      </c>
      <c r="G77" s="91">
        <v>0</v>
      </c>
    </row>
    <row r="78" spans="6:7" x14ac:dyDescent="0.25">
      <c r="F78" s="90" t="s">
        <v>384</v>
      </c>
      <c r="G78" s="91">
        <v>0</v>
      </c>
    </row>
    <row r="79" spans="6:7" x14ac:dyDescent="0.25">
      <c r="F79" s="90" t="s">
        <v>56</v>
      </c>
      <c r="G79" s="91">
        <v>0</v>
      </c>
    </row>
    <row r="80" spans="6:7" x14ac:dyDescent="0.25">
      <c r="F80" s="90" t="s">
        <v>57</v>
      </c>
      <c r="G80" s="91">
        <v>0</v>
      </c>
    </row>
    <row r="81" spans="6:20" x14ac:dyDescent="0.25">
      <c r="F81" s="90" t="s">
        <v>216</v>
      </c>
      <c r="G81" s="91">
        <v>0</v>
      </c>
    </row>
    <row r="82" spans="6:20" x14ac:dyDescent="0.25">
      <c r="F82" s="90"/>
      <c r="G82" s="91"/>
    </row>
    <row r="83" spans="6:20" x14ac:dyDescent="0.25">
      <c r="F83" s="90"/>
      <c r="G83" s="91"/>
    </row>
    <row r="84" spans="6:20" x14ac:dyDescent="0.25">
      <c r="F84" s="136" t="s">
        <v>220</v>
      </c>
      <c r="G84" t="s">
        <v>221</v>
      </c>
    </row>
    <row r="85" spans="6:20" ht="15.75" thickBot="1" x14ac:dyDescent="0.3">
      <c r="F85" s="90" t="s">
        <v>60</v>
      </c>
      <c r="G85" s="91">
        <v>0</v>
      </c>
    </row>
    <row r="86" spans="6:20" ht="19.5" thickBot="1" x14ac:dyDescent="0.35">
      <c r="F86" s="90" t="s">
        <v>62</v>
      </c>
      <c r="G86" s="91">
        <v>0</v>
      </c>
      <c r="I86" s="155" t="s">
        <v>226</v>
      </c>
      <c r="J86" s="156"/>
      <c r="K86" s="156"/>
      <c r="L86" s="156"/>
      <c r="M86" s="156"/>
      <c r="N86" s="156"/>
      <c r="O86" s="156"/>
      <c r="P86" s="156"/>
      <c r="Q86" s="156"/>
      <c r="R86" s="156"/>
      <c r="S86" s="156"/>
      <c r="T86" s="157"/>
    </row>
    <row r="87" spans="6:20" x14ac:dyDescent="0.25">
      <c r="F87" s="90" t="s">
        <v>431</v>
      </c>
      <c r="G87" s="91">
        <v>0</v>
      </c>
    </row>
    <row r="88" spans="6:20" x14ac:dyDescent="0.25">
      <c r="F88" s="90" t="s">
        <v>432</v>
      </c>
      <c r="G88" s="91">
        <v>0</v>
      </c>
    </row>
    <row r="89" spans="6:20" x14ac:dyDescent="0.25">
      <c r="F89" s="90" t="s">
        <v>67</v>
      </c>
      <c r="G89" s="91">
        <v>0</v>
      </c>
    </row>
    <row r="90" spans="6:20" x14ac:dyDescent="0.25">
      <c r="F90" s="90" t="s">
        <v>68</v>
      </c>
      <c r="G90" s="91">
        <v>0</v>
      </c>
    </row>
    <row r="91" spans="6:20" x14ac:dyDescent="0.25">
      <c r="F91" s="90" t="s">
        <v>433</v>
      </c>
      <c r="G91" s="91">
        <v>0</v>
      </c>
    </row>
    <row r="92" spans="6:20" x14ac:dyDescent="0.25">
      <c r="F92" s="90" t="s">
        <v>435</v>
      </c>
      <c r="G92" s="91">
        <v>0</v>
      </c>
    </row>
    <row r="93" spans="6:20" x14ac:dyDescent="0.25">
      <c r="F93" s="90" t="s">
        <v>438</v>
      </c>
      <c r="G93" s="91">
        <v>0</v>
      </c>
    </row>
    <row r="94" spans="6:20" x14ac:dyDescent="0.25">
      <c r="F94" s="90" t="s">
        <v>75</v>
      </c>
      <c r="G94" s="91">
        <v>0</v>
      </c>
    </row>
    <row r="95" spans="6:20" x14ac:dyDescent="0.25">
      <c r="F95" s="90" t="s">
        <v>76</v>
      </c>
      <c r="G95" s="91">
        <v>0</v>
      </c>
    </row>
    <row r="96" spans="6:20" x14ac:dyDescent="0.25">
      <c r="F96" s="90" t="s">
        <v>77</v>
      </c>
      <c r="G96" s="91">
        <v>0</v>
      </c>
    </row>
    <row r="97" spans="6:7" x14ac:dyDescent="0.25">
      <c r="F97" s="90" t="s">
        <v>78</v>
      </c>
      <c r="G97" s="91">
        <v>0</v>
      </c>
    </row>
    <row r="98" spans="6:7" x14ac:dyDescent="0.25">
      <c r="F98" s="90" t="s">
        <v>81</v>
      </c>
      <c r="G98" s="91">
        <v>0</v>
      </c>
    </row>
    <row r="99" spans="6:7" x14ac:dyDescent="0.25">
      <c r="F99" s="90" t="s">
        <v>82</v>
      </c>
      <c r="G99" s="91">
        <v>0</v>
      </c>
    </row>
    <row r="100" spans="6:7" x14ac:dyDescent="0.25">
      <c r="F100" s="90" t="s">
        <v>83</v>
      </c>
      <c r="G100" s="91">
        <v>0</v>
      </c>
    </row>
    <row r="101" spans="6:7" x14ac:dyDescent="0.25">
      <c r="F101" s="90" t="s">
        <v>84</v>
      </c>
      <c r="G101" s="91">
        <v>0</v>
      </c>
    </row>
    <row r="102" spans="6:7" x14ac:dyDescent="0.25">
      <c r="F102" s="90" t="s">
        <v>85</v>
      </c>
      <c r="G102" s="91">
        <v>0</v>
      </c>
    </row>
    <row r="103" spans="6:7" x14ac:dyDescent="0.25">
      <c r="F103" s="90" t="s">
        <v>86</v>
      </c>
      <c r="G103" s="91">
        <v>0</v>
      </c>
    </row>
    <row r="104" spans="6:7" x14ac:dyDescent="0.25">
      <c r="F104" s="90" t="s">
        <v>87</v>
      </c>
      <c r="G104" s="91">
        <v>0</v>
      </c>
    </row>
    <row r="105" spans="6:7" x14ac:dyDescent="0.25">
      <c r="F105" s="90" t="s">
        <v>88</v>
      </c>
      <c r="G105" s="91">
        <v>0</v>
      </c>
    </row>
    <row r="106" spans="6:7" x14ac:dyDescent="0.25">
      <c r="F106" s="90" t="s">
        <v>89</v>
      </c>
      <c r="G106" s="91">
        <v>0</v>
      </c>
    </row>
    <row r="107" spans="6:7" x14ac:dyDescent="0.25">
      <c r="F107" s="90" t="s">
        <v>90</v>
      </c>
      <c r="G107" s="91">
        <v>0</v>
      </c>
    </row>
    <row r="108" spans="6:7" x14ac:dyDescent="0.25">
      <c r="F108" s="90" t="s">
        <v>216</v>
      </c>
      <c r="G108" s="91">
        <v>0</v>
      </c>
    </row>
    <row r="109" spans="6:7" x14ac:dyDescent="0.25">
      <c r="F109" s="90"/>
      <c r="G109" s="91"/>
    </row>
    <row r="110" spans="6:7" x14ac:dyDescent="0.25">
      <c r="F110" s="136" t="s">
        <v>220</v>
      </c>
      <c r="G110" t="s">
        <v>221</v>
      </c>
    </row>
    <row r="111" spans="6:7" x14ac:dyDescent="0.25">
      <c r="F111" s="90" t="s">
        <v>91</v>
      </c>
      <c r="G111" s="91">
        <v>0</v>
      </c>
    </row>
    <row r="112" spans="6:7" x14ac:dyDescent="0.25">
      <c r="F112" s="90" t="s">
        <v>92</v>
      </c>
      <c r="G112" s="91">
        <v>0</v>
      </c>
    </row>
    <row r="113" spans="6:7" x14ac:dyDescent="0.25">
      <c r="F113" s="90" t="s">
        <v>93</v>
      </c>
      <c r="G113" s="91">
        <v>0</v>
      </c>
    </row>
    <row r="114" spans="6:7" x14ac:dyDescent="0.25">
      <c r="F114" s="90" t="s">
        <v>94</v>
      </c>
      <c r="G114" s="91">
        <v>0</v>
      </c>
    </row>
    <row r="115" spans="6:7" x14ac:dyDescent="0.25">
      <c r="F115" s="90" t="s">
        <v>95</v>
      </c>
      <c r="G115" s="91">
        <v>0</v>
      </c>
    </row>
    <row r="116" spans="6:7" x14ac:dyDescent="0.25">
      <c r="F116" s="90" t="s">
        <v>96</v>
      </c>
      <c r="G116" s="91">
        <v>0</v>
      </c>
    </row>
    <row r="117" spans="6:7" x14ac:dyDescent="0.25">
      <c r="F117" s="90" t="s">
        <v>97</v>
      </c>
      <c r="G117" s="91">
        <v>0</v>
      </c>
    </row>
    <row r="118" spans="6:7" x14ac:dyDescent="0.25">
      <c r="F118" s="90" t="s">
        <v>216</v>
      </c>
      <c r="G118" s="91">
        <v>0</v>
      </c>
    </row>
    <row r="119" spans="6:7" x14ac:dyDescent="0.25">
      <c r="F119"/>
    </row>
  </sheetData>
  <mergeCells count="58">
    <mergeCell ref="M27:M28"/>
    <mergeCell ref="M29:M30"/>
    <mergeCell ref="M31:M35"/>
    <mergeCell ref="O31:O37"/>
    <mergeCell ref="N31:N35"/>
    <mergeCell ref="Q12:Q14"/>
    <mergeCell ref="N15:N16"/>
    <mergeCell ref="Q15:Q19"/>
    <mergeCell ref="P20:P21"/>
    <mergeCell ref="Q20:Q21"/>
    <mergeCell ref="O12:O14"/>
    <mergeCell ref="O20:O21"/>
    <mergeCell ref="O15:O19"/>
    <mergeCell ref="P15:P19"/>
    <mergeCell ref="P12:P14"/>
    <mergeCell ref="Q3:Q4"/>
    <mergeCell ref="P5:P11"/>
    <mergeCell ref="Q5:Q11"/>
    <mergeCell ref="N6:N8"/>
    <mergeCell ref="N10:N11"/>
    <mergeCell ref="O5:O11"/>
    <mergeCell ref="O3:O4"/>
    <mergeCell ref="N3:N4"/>
    <mergeCell ref="P3:P4"/>
    <mergeCell ref="H24:H25"/>
    <mergeCell ref="H27:H28"/>
    <mergeCell ref="H29:H30"/>
    <mergeCell ref="H31:H35"/>
    <mergeCell ref="I31:I37"/>
    <mergeCell ref="I86:T86"/>
    <mergeCell ref="I63:T63"/>
    <mergeCell ref="I44:T44"/>
    <mergeCell ref="I40:T40"/>
    <mergeCell ref="I20:I21"/>
    <mergeCell ref="I22:I30"/>
    <mergeCell ref="N22:N23"/>
    <mergeCell ref="P22:P30"/>
    <mergeCell ref="Q22:Q30"/>
    <mergeCell ref="N24:N25"/>
    <mergeCell ref="N27:N28"/>
    <mergeCell ref="N29:N30"/>
    <mergeCell ref="P31:P37"/>
    <mergeCell ref="Q31:Q37"/>
    <mergeCell ref="O22:O30"/>
    <mergeCell ref="M24:M25"/>
    <mergeCell ref="M3:M4"/>
    <mergeCell ref="M6:M8"/>
    <mergeCell ref="M10:M11"/>
    <mergeCell ref="M15:M16"/>
    <mergeCell ref="M22:M23"/>
    <mergeCell ref="H22:H23"/>
    <mergeCell ref="I3:I4"/>
    <mergeCell ref="I15:I19"/>
    <mergeCell ref="I5:I11"/>
    <mergeCell ref="H6:H8"/>
    <mergeCell ref="H10:H11"/>
    <mergeCell ref="I12:I14"/>
    <mergeCell ref="H15:H16"/>
  </mergeCells>
  <pageMargins left="0.7" right="0.7" top="0.75" bottom="0.75" header="0.3" footer="0.3"/>
  <pageSetup paperSize="9" orientation="portrait" verticalDpi="0" r:id="rId5"/>
  <rowBreaks count="2" manualBreakCount="2">
    <brk id="38" max="16383" man="1"/>
    <brk id="99" max="16383" man="1"/>
  </rowBreaks>
  <colBreaks count="1" manualBreakCount="1">
    <brk id="8" max="1048575" man="1"/>
  </colBreaks>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
  <sheetViews>
    <sheetView view="pageBreakPreview" topLeftCell="A73" zoomScaleNormal="100" zoomScaleSheetLayoutView="100" workbookViewId="0">
      <selection activeCell="D7" sqref="D1:D1048576"/>
    </sheetView>
  </sheetViews>
  <sheetFormatPr defaultColWidth="9.140625" defaultRowHeight="14.25" x14ac:dyDescent="0.25"/>
  <cols>
    <col min="1" max="1" width="6" style="51" bestFit="1" customWidth="1"/>
    <col min="2" max="2" width="62.28515625" style="49" bestFit="1" customWidth="1"/>
    <col min="3" max="3" width="25.140625" style="51" customWidth="1"/>
    <col min="4" max="4" width="19" style="51" customWidth="1"/>
    <col min="5" max="5" width="18.85546875" style="51" customWidth="1"/>
    <col min="6" max="6" width="1.5703125" style="49" customWidth="1"/>
    <col min="7" max="7" width="20.28515625" style="49" hidden="1" customWidth="1"/>
    <col min="8" max="8" width="0" style="49" hidden="1" customWidth="1"/>
    <col min="9" max="9" width="14.42578125" style="49" hidden="1" customWidth="1"/>
    <col min="10" max="16384" width="9.140625" style="49"/>
  </cols>
  <sheetData>
    <row r="1" spans="1:9" ht="23.25" x14ac:dyDescent="0.25">
      <c r="A1" s="251" t="s">
        <v>206</v>
      </c>
      <c r="B1" s="251"/>
      <c r="C1" s="251"/>
      <c r="D1" s="251"/>
      <c r="E1" s="251"/>
    </row>
    <row r="2" spans="1:9" s="50" customFormat="1" ht="20.100000000000001" customHeight="1" x14ac:dyDescent="0.25">
      <c r="A2" s="252" t="s">
        <v>203</v>
      </c>
      <c r="B2" s="252"/>
      <c r="C2" s="252" t="str">
        <f>'Autonomous 107m'!$J$2</f>
        <v>Institute
Name</v>
      </c>
      <c r="D2" s="252"/>
      <c r="E2" s="252"/>
    </row>
    <row r="3" spans="1:9" s="50" customFormat="1" ht="20.100000000000001" customHeight="1" x14ac:dyDescent="0.25">
      <c r="A3" s="252" t="s">
        <v>204</v>
      </c>
      <c r="B3" s="252"/>
      <c r="C3" s="252" t="str">
        <f>'Autonomous 107m'!K$1</f>
        <v>Autonomous</v>
      </c>
      <c r="D3" s="252"/>
      <c r="E3" s="252"/>
    </row>
    <row r="4" spans="1:9" s="50" customFormat="1" ht="20.100000000000001" customHeight="1" x14ac:dyDescent="0.25">
      <c r="A4" s="249" t="s">
        <v>205</v>
      </c>
      <c r="B4" s="249"/>
      <c r="C4" s="250"/>
      <c r="D4" s="250"/>
      <c r="E4" s="250"/>
    </row>
    <row r="5" spans="1:9" s="51" customFormat="1" ht="113.25" customHeight="1" x14ac:dyDescent="0.25">
      <c r="A5" s="83" t="s">
        <v>163</v>
      </c>
      <c r="B5" s="83" t="s">
        <v>108</v>
      </c>
      <c r="C5" s="84" t="s">
        <v>130</v>
      </c>
      <c r="D5" s="139" t="s">
        <v>160</v>
      </c>
      <c r="E5" s="84" t="s">
        <v>214</v>
      </c>
      <c r="G5" s="52" t="s">
        <v>153</v>
      </c>
      <c r="H5" s="52" t="s">
        <v>154</v>
      </c>
      <c r="I5" s="53" t="s">
        <v>138</v>
      </c>
    </row>
    <row r="6" spans="1:9" s="57" customFormat="1" ht="50.1" customHeight="1" x14ac:dyDescent="0.25">
      <c r="A6" s="75">
        <v>1</v>
      </c>
      <c r="B6" s="76" t="s">
        <v>131</v>
      </c>
      <c r="C6" s="75">
        <v>30</v>
      </c>
      <c r="D6" s="75">
        <f>SUM('Ql (35m)'!O3:O4)</f>
        <v>0</v>
      </c>
      <c r="E6" s="77">
        <f>D6/C6</f>
        <v>0</v>
      </c>
      <c r="G6" s="59" t="s">
        <v>139</v>
      </c>
      <c r="H6" s="59" t="s">
        <v>140</v>
      </c>
      <c r="I6" s="59" t="s">
        <v>141</v>
      </c>
    </row>
    <row r="7" spans="1:9" s="57" customFormat="1" ht="50.1" customHeight="1" x14ac:dyDescent="0.25">
      <c r="A7" s="75">
        <v>2</v>
      </c>
      <c r="B7" s="76" t="s">
        <v>132</v>
      </c>
      <c r="C7" s="75">
        <v>100</v>
      </c>
      <c r="D7" s="77">
        <f>SUM('Ql (35m)'!O5:O11)</f>
        <v>0</v>
      </c>
      <c r="E7" s="77">
        <f t="shared" ref="E7:E12" si="0">D7/C7</f>
        <v>0</v>
      </c>
      <c r="G7" s="59" t="s">
        <v>142</v>
      </c>
      <c r="H7" s="59" t="s">
        <v>149</v>
      </c>
      <c r="I7" s="59" t="s">
        <v>141</v>
      </c>
    </row>
    <row r="8" spans="1:9" s="57" customFormat="1" ht="50.1" customHeight="1" x14ac:dyDescent="0.25">
      <c r="A8" s="75">
        <v>3</v>
      </c>
      <c r="B8" s="76" t="s">
        <v>133</v>
      </c>
      <c r="C8" s="75">
        <v>21</v>
      </c>
      <c r="D8" s="77">
        <f>SUM('Ql (35m)'!O12:O14)</f>
        <v>0</v>
      </c>
      <c r="E8" s="77">
        <f t="shared" si="0"/>
        <v>0</v>
      </c>
      <c r="G8" s="59" t="s">
        <v>143</v>
      </c>
      <c r="H8" s="59" t="s">
        <v>125</v>
      </c>
      <c r="I8" s="59" t="s">
        <v>141</v>
      </c>
    </row>
    <row r="9" spans="1:9" s="57" customFormat="1" ht="50.1" customHeight="1" x14ac:dyDescent="0.25">
      <c r="A9" s="75">
        <v>4</v>
      </c>
      <c r="B9" s="76" t="s">
        <v>134</v>
      </c>
      <c r="C9" s="75">
        <v>33</v>
      </c>
      <c r="D9" s="77">
        <f>SUM('Ql (35m)'!O15:O19)</f>
        <v>0</v>
      </c>
      <c r="E9" s="77">
        <f t="shared" si="0"/>
        <v>0</v>
      </c>
      <c r="G9" s="59" t="s">
        <v>144</v>
      </c>
      <c r="H9" s="59" t="s">
        <v>150</v>
      </c>
      <c r="I9" s="59" t="s">
        <v>141</v>
      </c>
    </row>
    <row r="10" spans="1:9" s="57" customFormat="1" ht="50.1" customHeight="1" x14ac:dyDescent="0.25">
      <c r="A10" s="75">
        <v>5</v>
      </c>
      <c r="B10" s="76" t="s">
        <v>135</v>
      </c>
      <c r="C10" s="75">
        <v>15</v>
      </c>
      <c r="D10" s="77">
        <f>SUM('Ql (35m)'!O20:O21)</f>
        <v>0</v>
      </c>
      <c r="E10" s="77">
        <f t="shared" si="0"/>
        <v>0</v>
      </c>
      <c r="G10" s="59" t="s">
        <v>145</v>
      </c>
      <c r="H10" s="59" t="s">
        <v>151</v>
      </c>
      <c r="I10" s="59" t="s">
        <v>141</v>
      </c>
    </row>
    <row r="11" spans="1:9" s="57" customFormat="1" ht="50.1" customHeight="1" x14ac:dyDescent="0.25">
      <c r="A11" s="75">
        <v>6</v>
      </c>
      <c r="B11" s="76" t="s">
        <v>136</v>
      </c>
      <c r="C11" s="75">
        <v>50</v>
      </c>
      <c r="D11" s="77">
        <f>SUM('Ql (35m)'!O22:O30)</f>
        <v>0</v>
      </c>
      <c r="E11" s="77">
        <f t="shared" si="0"/>
        <v>0</v>
      </c>
      <c r="G11" s="59" t="s">
        <v>146</v>
      </c>
      <c r="H11" s="59" t="s">
        <v>126</v>
      </c>
      <c r="I11" s="59" t="s">
        <v>141</v>
      </c>
    </row>
    <row r="12" spans="1:9" s="57" customFormat="1" ht="50.1" customHeight="1" x14ac:dyDescent="0.25">
      <c r="A12" s="75">
        <v>7</v>
      </c>
      <c r="B12" s="76" t="s">
        <v>137</v>
      </c>
      <c r="C12" s="75">
        <v>73</v>
      </c>
      <c r="D12" s="77">
        <f>SUM('Ql (35m)'!O31:O37)</f>
        <v>0</v>
      </c>
      <c r="E12" s="77">
        <f t="shared" si="0"/>
        <v>0</v>
      </c>
      <c r="G12" s="59" t="s">
        <v>148</v>
      </c>
      <c r="H12" s="59" t="s">
        <v>128</v>
      </c>
      <c r="I12" s="59" t="s">
        <v>141</v>
      </c>
    </row>
    <row r="13" spans="1:9" ht="66" customHeight="1" x14ac:dyDescent="0.25">
      <c r="A13" s="204" t="s">
        <v>215</v>
      </c>
      <c r="B13" s="204"/>
      <c r="C13" s="75">
        <f>SUM(C6:C12)</f>
        <v>322</v>
      </c>
      <c r="D13" s="75">
        <f>SUM(D6:D12)</f>
        <v>0</v>
      </c>
      <c r="E13" s="77">
        <f>D13/C13</f>
        <v>0</v>
      </c>
      <c r="G13" s="54" t="s">
        <v>147</v>
      </c>
      <c r="H13" s="54" t="s">
        <v>127</v>
      </c>
      <c r="I13" s="54" t="s">
        <v>152</v>
      </c>
    </row>
    <row r="14" spans="1:9" s="58" customFormat="1" ht="24.95" customHeight="1" thickBot="1" x14ac:dyDescent="0.3">
      <c r="A14" s="79"/>
      <c r="B14" s="80"/>
      <c r="C14" s="79"/>
      <c r="D14" s="79"/>
      <c r="E14" s="81"/>
    </row>
    <row r="15" spans="1:9" ht="73.5" customHeight="1" thickBot="1" x14ac:dyDescent="0.3">
      <c r="A15" s="170">
        <f>D13/C13</f>
        <v>0</v>
      </c>
      <c r="B15" s="171"/>
      <c r="C15" s="171"/>
      <c r="D15" s="171"/>
      <c r="E15" s="172"/>
    </row>
    <row r="16" spans="1:9" ht="18.75" thickBot="1" x14ac:dyDescent="0.3">
      <c r="A16" s="65"/>
      <c r="B16" s="66"/>
      <c r="C16" s="65"/>
      <c r="D16" s="82"/>
      <c r="E16" s="79"/>
    </row>
    <row r="17" spans="1:5" ht="33.75" customHeight="1" thickBot="1" x14ac:dyDescent="0.3">
      <c r="A17" s="163" t="str">
        <f>IF(AND($A$15&lt;=4,$A$15&gt;=3.51),"A++",IF(AND($A$15&lt;=3.5,$A$15&gt;=3.26),"A+",IF(AND($A$15&lt;=3.25,$A$15&gt;3.01),"A",IF(AND($A$15&lt;=3,$A$15&gt;=2.76),"B++",IF(AND($A$15&lt;=2.75,$A$15&gt;=2.51),"B+",IF(AND($A$15&lt;=2.5,$A$15&gt;=2.01),"B",IF(AND($A$15&lt;=2,$A$15&gt;=1.51),"C","D")))))))</f>
        <v>D</v>
      </c>
      <c r="B17" s="164"/>
      <c r="C17" s="164"/>
      <c r="D17" s="164"/>
      <c r="E17" s="165"/>
    </row>
    <row r="18" spans="1:5" x14ac:dyDescent="0.25">
      <c r="D18" s="55"/>
      <c r="E18" s="56"/>
    </row>
    <row r="19" spans="1:5" x14ac:dyDescent="0.25">
      <c r="D19" s="55"/>
      <c r="E19" s="56"/>
    </row>
    <row r="20" spans="1:5" ht="18" x14ac:dyDescent="0.25">
      <c r="A20" s="239" t="s">
        <v>206</v>
      </c>
      <c r="B20" s="239"/>
      <c r="C20" s="239"/>
      <c r="D20" s="239"/>
      <c r="E20" s="239"/>
    </row>
    <row r="21" spans="1:5" s="50" customFormat="1" ht="20.100000000000001" customHeight="1" x14ac:dyDescent="0.25">
      <c r="A21" s="212" t="s">
        <v>203</v>
      </c>
      <c r="B21" s="212"/>
      <c r="C21" s="212" t="str">
        <f>'Autonomous 107m'!$J$2</f>
        <v>Institute
Name</v>
      </c>
      <c r="D21" s="212"/>
      <c r="E21" s="212"/>
    </row>
    <row r="22" spans="1:5" s="50" customFormat="1" ht="20.100000000000001" customHeight="1" x14ac:dyDescent="0.25">
      <c r="A22" s="212" t="s">
        <v>204</v>
      </c>
      <c r="B22" s="212"/>
      <c r="C22" s="212" t="str">
        <f>'Autonomous 107m'!$K$1</f>
        <v>Autonomous</v>
      </c>
      <c r="D22" s="212"/>
      <c r="E22" s="212"/>
    </row>
    <row r="23" spans="1:5" s="50" customFormat="1" ht="20.100000000000001" customHeight="1" x14ac:dyDescent="0.25">
      <c r="A23" s="213" t="s">
        <v>205</v>
      </c>
      <c r="B23" s="213"/>
      <c r="C23" s="214"/>
      <c r="D23" s="214"/>
      <c r="E23" s="214"/>
    </row>
    <row r="24" spans="1:5" s="51" customFormat="1" ht="72" x14ac:dyDescent="0.25">
      <c r="A24" s="60" t="s">
        <v>163</v>
      </c>
      <c r="B24" s="60" t="s">
        <v>155</v>
      </c>
      <c r="C24" s="61" t="s">
        <v>207</v>
      </c>
      <c r="D24" s="215" t="s">
        <v>208</v>
      </c>
      <c r="E24" s="216"/>
    </row>
    <row r="25" spans="1:5" s="51" customFormat="1" ht="33" customHeight="1" x14ac:dyDescent="0.25">
      <c r="A25" s="178" t="s">
        <v>161</v>
      </c>
      <c r="B25" s="178"/>
      <c r="C25" s="178"/>
      <c r="D25" s="178"/>
      <c r="E25" s="178"/>
    </row>
    <row r="26" spans="1:5" ht="33" customHeight="1" x14ac:dyDescent="0.25">
      <c r="A26" s="62">
        <v>1.1000000000000001</v>
      </c>
      <c r="B26" s="63" t="s">
        <v>201</v>
      </c>
      <c r="C26" s="118">
        <v>20</v>
      </c>
      <c r="D26" s="173">
        <f>SUM('Ql (35m)'!M7)</f>
        <v>0</v>
      </c>
      <c r="E26" s="174"/>
    </row>
    <row r="27" spans="1:5" ht="33" customHeight="1" x14ac:dyDescent="0.25">
      <c r="A27" s="62">
        <v>1.3</v>
      </c>
      <c r="B27" s="63" t="s">
        <v>199</v>
      </c>
      <c r="C27" s="118">
        <v>10</v>
      </c>
      <c r="D27" s="173">
        <f>SUM('Ql (35m)'!M8)</f>
        <v>0</v>
      </c>
      <c r="E27" s="174"/>
    </row>
    <row r="28" spans="1:5" ht="33" customHeight="1" thickBot="1" x14ac:dyDescent="0.3">
      <c r="A28" s="179" t="s">
        <v>215</v>
      </c>
      <c r="B28" s="180"/>
      <c r="C28" s="120">
        <f>SUM(C26:C27)</f>
        <v>30</v>
      </c>
      <c r="D28" s="195">
        <f>SUM(D26:D27)</f>
        <v>0</v>
      </c>
      <c r="E28" s="195"/>
    </row>
    <row r="29" spans="1:5" ht="33" customHeight="1" thickBot="1" x14ac:dyDescent="0.3">
      <c r="A29" s="170">
        <f>D28/C28</f>
        <v>0</v>
      </c>
      <c r="B29" s="171"/>
      <c r="C29" s="171"/>
      <c r="D29" s="171"/>
      <c r="E29" s="172"/>
    </row>
    <row r="30" spans="1:5" ht="33" customHeight="1" x14ac:dyDescent="0.25">
      <c r="A30" s="203" t="s">
        <v>162</v>
      </c>
      <c r="B30" s="203"/>
      <c r="C30" s="203"/>
      <c r="D30" s="203"/>
      <c r="E30" s="203"/>
    </row>
    <row r="31" spans="1:5" ht="33" customHeight="1" x14ac:dyDescent="0.25">
      <c r="A31" s="62">
        <v>2.2000000000000002</v>
      </c>
      <c r="B31" s="63" t="s">
        <v>169</v>
      </c>
      <c r="C31" s="118">
        <v>15</v>
      </c>
      <c r="D31" s="173">
        <f>SUM('Ql (35m)'!M10)</f>
        <v>0</v>
      </c>
      <c r="E31" s="174"/>
    </row>
    <row r="32" spans="1:5" ht="33" customHeight="1" x14ac:dyDescent="0.25">
      <c r="A32" s="62">
        <v>2.2999999999999998</v>
      </c>
      <c r="B32" s="63" t="s">
        <v>456</v>
      </c>
      <c r="C32" s="118">
        <v>40</v>
      </c>
      <c r="D32" s="173">
        <f>SUM('Ql (35m)'!M11)</f>
        <v>0</v>
      </c>
      <c r="E32" s="174"/>
    </row>
    <row r="33" spans="1:5" ht="33" customHeight="1" x14ac:dyDescent="0.25">
      <c r="A33" s="118">
        <v>2.5</v>
      </c>
      <c r="B33" s="63" t="s">
        <v>165</v>
      </c>
      <c r="C33" s="118">
        <v>15</v>
      </c>
      <c r="D33" s="173">
        <f>SUM('Ql (35m)'!M12)</f>
        <v>0</v>
      </c>
      <c r="E33" s="174"/>
    </row>
    <row r="34" spans="1:5" ht="33" customHeight="1" x14ac:dyDescent="0.25">
      <c r="A34" s="62">
        <v>2.6</v>
      </c>
      <c r="B34" s="63" t="s">
        <v>166</v>
      </c>
      <c r="C34" s="118">
        <v>30</v>
      </c>
      <c r="D34" s="173">
        <f>SUM('Ql (35m)'!M12)</f>
        <v>0</v>
      </c>
      <c r="E34" s="174"/>
    </row>
    <row r="35" spans="1:5" ht="33" customHeight="1" x14ac:dyDescent="0.25">
      <c r="A35" s="195" t="s">
        <v>215</v>
      </c>
      <c r="B35" s="195"/>
      <c r="C35" s="120">
        <f>SUM(C31:C34)</f>
        <v>100</v>
      </c>
      <c r="D35" s="195">
        <f>SUM(D31:D34)</f>
        <v>0</v>
      </c>
      <c r="E35" s="195"/>
    </row>
    <row r="36" spans="1:5" ht="33" customHeight="1" x14ac:dyDescent="0.25">
      <c r="A36" s="240">
        <f>D35/C35</f>
        <v>0</v>
      </c>
      <c r="B36" s="240"/>
      <c r="C36" s="240"/>
      <c r="D36" s="240"/>
      <c r="E36" s="240"/>
    </row>
    <row r="37" spans="1:5" ht="33" customHeight="1" x14ac:dyDescent="0.25">
      <c r="A37" s="178" t="s">
        <v>171</v>
      </c>
      <c r="B37" s="178"/>
      <c r="C37" s="178"/>
      <c r="D37" s="178"/>
      <c r="E37" s="178"/>
    </row>
    <row r="38" spans="1:5" ht="33" customHeight="1" x14ac:dyDescent="0.25">
      <c r="A38" s="62">
        <v>3.1</v>
      </c>
      <c r="B38" s="63" t="s">
        <v>444</v>
      </c>
      <c r="C38" s="118">
        <v>6</v>
      </c>
      <c r="D38" s="173">
        <f>SUM('Ql (35m)'!M13)</f>
        <v>0</v>
      </c>
      <c r="E38" s="174"/>
    </row>
    <row r="39" spans="1:5" ht="33" customHeight="1" x14ac:dyDescent="0.25">
      <c r="A39" s="118">
        <v>3.3</v>
      </c>
      <c r="B39" s="63" t="s">
        <v>173</v>
      </c>
      <c r="C39" s="118">
        <v>5</v>
      </c>
      <c r="D39" s="173">
        <f>SUM('Ql (35m)'!M14)</f>
        <v>0</v>
      </c>
      <c r="E39" s="174"/>
    </row>
    <row r="40" spans="1:5" ht="33" customHeight="1" x14ac:dyDescent="0.25">
      <c r="A40" s="62">
        <v>3.6</v>
      </c>
      <c r="B40" s="63" t="s">
        <v>175</v>
      </c>
      <c r="C40" s="118">
        <v>10</v>
      </c>
      <c r="D40" s="173">
        <f>SUM('Ql (35m)'!M14:M15)</f>
        <v>0</v>
      </c>
      <c r="E40" s="174"/>
    </row>
    <row r="41" spans="1:5" ht="33" customHeight="1" x14ac:dyDescent="0.25">
      <c r="A41" s="195" t="s">
        <v>215</v>
      </c>
      <c r="B41" s="195"/>
      <c r="C41" s="120">
        <f>SUM(C38:C40)</f>
        <v>21</v>
      </c>
      <c r="D41" s="195">
        <f>SUM(D38:D40)</f>
        <v>0</v>
      </c>
      <c r="E41" s="195"/>
    </row>
    <row r="42" spans="1:5" ht="33" customHeight="1" x14ac:dyDescent="0.25">
      <c r="A42" s="248">
        <f>D41/C41</f>
        <v>0</v>
      </c>
      <c r="B42" s="248"/>
      <c r="C42" s="248"/>
      <c r="D42" s="248"/>
      <c r="E42" s="248"/>
    </row>
    <row r="43" spans="1:5" ht="33" customHeight="1" x14ac:dyDescent="0.25">
      <c r="A43" s="178" t="s">
        <v>177</v>
      </c>
      <c r="B43" s="178"/>
      <c r="C43" s="178"/>
      <c r="D43" s="178"/>
      <c r="E43" s="178"/>
    </row>
    <row r="44" spans="1:5" ht="33" customHeight="1" x14ac:dyDescent="0.25">
      <c r="A44" s="118">
        <v>4.0999999999999996</v>
      </c>
      <c r="B44" s="129" t="s">
        <v>178</v>
      </c>
      <c r="C44" s="118">
        <v>10</v>
      </c>
      <c r="D44" s="173">
        <f>SUM('Ql (35m)'!M16)</f>
        <v>0</v>
      </c>
      <c r="E44" s="174"/>
    </row>
    <row r="45" spans="1:5" ht="33" customHeight="1" x14ac:dyDescent="0.25">
      <c r="A45" s="118">
        <v>4.2</v>
      </c>
      <c r="B45" s="129" t="s">
        <v>179</v>
      </c>
      <c r="C45" s="118">
        <v>5</v>
      </c>
      <c r="D45" s="173">
        <f>SUM('Ql (35m)'!M17)</f>
        <v>0</v>
      </c>
      <c r="E45" s="174"/>
    </row>
    <row r="46" spans="1:5" ht="33" customHeight="1" x14ac:dyDescent="0.25">
      <c r="A46" s="118">
        <v>4.3</v>
      </c>
      <c r="B46" s="129" t="s">
        <v>180</v>
      </c>
      <c r="C46" s="118">
        <v>8</v>
      </c>
      <c r="D46" s="173">
        <f>SUM('Ql (35m)'!M18)</f>
        <v>0</v>
      </c>
      <c r="E46" s="174"/>
    </row>
    <row r="47" spans="1:5" ht="33" customHeight="1" x14ac:dyDescent="0.25">
      <c r="A47" s="118">
        <v>4.4000000000000004</v>
      </c>
      <c r="B47" s="129" t="s">
        <v>181</v>
      </c>
      <c r="C47" s="118">
        <v>10</v>
      </c>
      <c r="D47" s="173">
        <f>SUM('Ql (35m)'!M18)</f>
        <v>0</v>
      </c>
      <c r="E47" s="174"/>
    </row>
    <row r="48" spans="1:5" ht="33" customHeight="1" thickBot="1" x14ac:dyDescent="0.3">
      <c r="A48" s="179" t="s">
        <v>215</v>
      </c>
      <c r="B48" s="180"/>
      <c r="C48" s="121">
        <f>SUM(C44:C47)</f>
        <v>33</v>
      </c>
      <c r="D48" s="191">
        <f>SUM(D44:D47)</f>
        <v>0</v>
      </c>
      <c r="E48" s="192"/>
    </row>
    <row r="49" spans="1:5" ht="33" customHeight="1" x14ac:dyDescent="0.25">
      <c r="A49" s="214">
        <f>D48/C48</f>
        <v>0</v>
      </c>
      <c r="B49" s="214"/>
      <c r="C49" s="214"/>
      <c r="D49" s="214"/>
      <c r="E49" s="214"/>
    </row>
    <row r="50" spans="1:5" ht="33" customHeight="1" x14ac:dyDescent="0.25">
      <c r="A50" s="178" t="s">
        <v>182</v>
      </c>
      <c r="B50" s="178"/>
      <c r="C50" s="178"/>
      <c r="D50" s="178"/>
      <c r="E50" s="178"/>
    </row>
    <row r="51" spans="1:5" ht="33" customHeight="1" x14ac:dyDescent="0.25">
      <c r="A51" s="62">
        <v>5.3</v>
      </c>
      <c r="B51" s="63" t="s">
        <v>185</v>
      </c>
      <c r="C51" s="118">
        <v>10</v>
      </c>
      <c r="D51" s="173">
        <f>SUM('Ql (35m)'!M19)</f>
        <v>0</v>
      </c>
      <c r="E51" s="174"/>
    </row>
    <row r="52" spans="1:5" ht="33" customHeight="1" x14ac:dyDescent="0.25">
      <c r="A52" s="119">
        <v>5.4</v>
      </c>
      <c r="B52" s="138" t="s">
        <v>186</v>
      </c>
      <c r="C52" s="117">
        <v>5</v>
      </c>
      <c r="D52" s="173">
        <f>SUM('Ql (35m)'!M20)</f>
        <v>0</v>
      </c>
      <c r="E52" s="174"/>
    </row>
    <row r="53" spans="1:5" ht="33" customHeight="1" x14ac:dyDescent="0.25">
      <c r="A53" s="179" t="s">
        <v>215</v>
      </c>
      <c r="B53" s="180"/>
      <c r="C53" s="130">
        <f>SUM(C51:C52)</f>
        <v>15</v>
      </c>
      <c r="D53" s="246">
        <f>SUM(D51:D52)</f>
        <v>0</v>
      </c>
      <c r="E53" s="247"/>
    </row>
    <row r="54" spans="1:5" ht="33" customHeight="1" x14ac:dyDescent="0.25">
      <c r="A54" s="237">
        <f>D53/C53</f>
        <v>0</v>
      </c>
      <c r="B54" s="237"/>
      <c r="C54" s="237"/>
      <c r="D54" s="237"/>
      <c r="E54" s="237"/>
    </row>
    <row r="55" spans="1:5" ht="33" customHeight="1" x14ac:dyDescent="0.25">
      <c r="A55" s="178" t="s">
        <v>187</v>
      </c>
      <c r="B55" s="178"/>
      <c r="C55" s="178"/>
      <c r="D55" s="178"/>
      <c r="E55" s="178"/>
    </row>
    <row r="56" spans="1:5" ht="33" customHeight="1" x14ac:dyDescent="0.25">
      <c r="A56" s="62">
        <v>6.1</v>
      </c>
      <c r="B56" s="63" t="s">
        <v>188</v>
      </c>
      <c r="C56" s="118">
        <v>10</v>
      </c>
      <c r="D56" s="173">
        <f>SUM('Ql (35m)'!M20)</f>
        <v>0</v>
      </c>
      <c r="E56" s="174"/>
    </row>
    <row r="57" spans="1:5" ht="33" customHeight="1" x14ac:dyDescent="0.25">
      <c r="A57" s="62">
        <v>6.2</v>
      </c>
      <c r="B57" s="63" t="s">
        <v>189</v>
      </c>
      <c r="C57" s="118">
        <v>6</v>
      </c>
      <c r="D57" s="173">
        <f>SUM('Ql (35m)'!M21)</f>
        <v>0</v>
      </c>
      <c r="E57" s="174"/>
    </row>
    <row r="58" spans="1:5" ht="33" customHeight="1" x14ac:dyDescent="0.25">
      <c r="A58" s="62">
        <v>6.3</v>
      </c>
      <c r="B58" s="63" t="s">
        <v>190</v>
      </c>
      <c r="C58" s="118">
        <v>4</v>
      </c>
      <c r="D58" s="173">
        <f>SUM('Ql (35m)'!M22)</f>
        <v>0</v>
      </c>
      <c r="E58" s="174"/>
    </row>
    <row r="59" spans="1:5" ht="33" customHeight="1" x14ac:dyDescent="0.25">
      <c r="A59" s="62">
        <v>6.4</v>
      </c>
      <c r="B59" s="63" t="s">
        <v>191</v>
      </c>
      <c r="C59" s="118">
        <v>10</v>
      </c>
      <c r="D59" s="173">
        <f>SUM('Ql (35m)'!M23)</f>
        <v>0</v>
      </c>
      <c r="E59" s="174"/>
    </row>
    <row r="60" spans="1:5" ht="33" customHeight="1" x14ac:dyDescent="0.25">
      <c r="A60" s="62">
        <v>6.5</v>
      </c>
      <c r="B60" s="63" t="s">
        <v>192</v>
      </c>
      <c r="C60" s="118">
        <v>20</v>
      </c>
      <c r="D60" s="173">
        <f>SUM('Ql (35m)'!M24)</f>
        <v>0</v>
      </c>
      <c r="E60" s="174"/>
    </row>
    <row r="61" spans="1:5" ht="33" customHeight="1" thickBot="1" x14ac:dyDescent="0.3">
      <c r="A61" s="185" t="s">
        <v>215</v>
      </c>
      <c r="B61" s="186"/>
      <c r="C61" s="131">
        <f>SUM(C56:C60)</f>
        <v>50</v>
      </c>
      <c r="D61" s="187">
        <f>SUM(D56:D58)</f>
        <v>0</v>
      </c>
      <c r="E61" s="188"/>
    </row>
    <row r="62" spans="1:5" ht="33" customHeight="1" thickBot="1" x14ac:dyDescent="0.3">
      <c r="A62" s="170">
        <f>D61/C61</f>
        <v>0</v>
      </c>
      <c r="B62" s="171"/>
      <c r="C62" s="171"/>
      <c r="D62" s="171"/>
      <c r="E62" s="172"/>
    </row>
    <row r="63" spans="1:5" ht="33" customHeight="1" x14ac:dyDescent="0.25">
      <c r="A63" s="178" t="s">
        <v>193</v>
      </c>
      <c r="B63" s="178"/>
      <c r="C63" s="178"/>
      <c r="D63" s="178"/>
      <c r="E63" s="178"/>
    </row>
    <row r="64" spans="1:5" ht="33" customHeight="1" x14ac:dyDescent="0.25">
      <c r="A64" s="62">
        <v>7.1</v>
      </c>
      <c r="B64" s="63" t="s">
        <v>194</v>
      </c>
      <c r="C64" s="118">
        <v>23</v>
      </c>
      <c r="D64" s="173">
        <f>SUM('Ql (35m)'!M44:M45)</f>
        <v>0</v>
      </c>
      <c r="E64" s="174"/>
    </row>
    <row r="65" spans="1:5" ht="33" customHeight="1" x14ac:dyDescent="0.25">
      <c r="A65" s="62">
        <v>7.2</v>
      </c>
      <c r="B65" s="63" t="s">
        <v>129</v>
      </c>
      <c r="C65" s="118">
        <v>30</v>
      </c>
      <c r="D65" s="173">
        <f>SUM('Ql (35m)'!M46)</f>
        <v>0</v>
      </c>
      <c r="E65" s="174"/>
    </row>
    <row r="66" spans="1:5" ht="33" customHeight="1" x14ac:dyDescent="0.25">
      <c r="A66" s="62">
        <v>7.3</v>
      </c>
      <c r="B66" s="63" t="s">
        <v>195</v>
      </c>
      <c r="C66" s="118">
        <v>20</v>
      </c>
      <c r="D66" s="173">
        <f>SUM('Ql (35m)'!M47)</f>
        <v>0</v>
      </c>
      <c r="E66" s="174"/>
    </row>
    <row r="67" spans="1:5" ht="33" customHeight="1" x14ac:dyDescent="0.25">
      <c r="A67" s="179" t="s">
        <v>215</v>
      </c>
      <c r="B67" s="180"/>
      <c r="C67" s="121">
        <f>SUM(C64:C66)</f>
        <v>73</v>
      </c>
      <c r="D67" s="181">
        <f>SUM(D64:D64)</f>
        <v>0</v>
      </c>
      <c r="E67" s="182"/>
    </row>
    <row r="68" spans="1:5" ht="33" customHeight="1" x14ac:dyDescent="0.25">
      <c r="A68" s="183">
        <f>D67/C67</f>
        <v>0</v>
      </c>
      <c r="B68" s="183"/>
      <c r="C68" s="183"/>
      <c r="D68" s="183"/>
      <c r="E68" s="183"/>
    </row>
    <row r="69" spans="1:5" ht="33" customHeight="1" x14ac:dyDescent="0.25">
      <c r="A69" s="232" t="s">
        <v>216</v>
      </c>
      <c r="B69" s="233"/>
      <c r="C69" s="74">
        <f>SUM(C67,C61,C53,C48,C41,C35,C28)</f>
        <v>322</v>
      </c>
      <c r="D69" s="234">
        <f>SUM(D67,D61,D53,D48,D41,D35,D28)</f>
        <v>0</v>
      </c>
      <c r="E69" s="235"/>
    </row>
    <row r="70" spans="1:5" ht="71.25" customHeight="1" x14ac:dyDescent="0.25">
      <c r="A70" s="236">
        <f>D69/C69</f>
        <v>0</v>
      </c>
      <c r="B70" s="237"/>
      <c r="C70" s="237"/>
      <c r="D70" s="237"/>
      <c r="E70" s="238"/>
    </row>
    <row r="71" spans="1:5" ht="29.25" customHeight="1" x14ac:dyDescent="0.25">
      <c r="A71" s="245" t="str">
        <f>IF(AND($A$70&lt;=4,$A$70&gt;=3.51),"A++",IF(AND($A$70&lt;=3.5,$A$70&gt;=3.26),"A+",IF(AND($A$70&lt;=3.25,$A$70&gt;3.01),"A",IF(AND($A$70&lt;=3,$A$70&gt;=2.76),"B++",IF(AND($A$70&lt;=2.75,$A$70&gt;=2.51),"B+",IF(AND($A$70&lt;=2.5,$A$70&gt;=2.01),"B",IF(AND($A$70&lt;=2,$A$70&gt;=1.51),"C","D")))))))</f>
        <v>D</v>
      </c>
      <c r="B71" s="245"/>
      <c r="C71" s="245"/>
      <c r="D71" s="245"/>
      <c r="E71" s="245"/>
    </row>
  </sheetData>
  <mergeCells count="73">
    <mergeCell ref="A4:B4"/>
    <mergeCell ref="C4:E4"/>
    <mergeCell ref="A1:E1"/>
    <mergeCell ref="A2:B2"/>
    <mergeCell ref="C2:E2"/>
    <mergeCell ref="A3:B3"/>
    <mergeCell ref="C3:E3"/>
    <mergeCell ref="A25:E25"/>
    <mergeCell ref="A13:B13"/>
    <mergeCell ref="A15:E15"/>
    <mergeCell ref="A17:E17"/>
    <mergeCell ref="A20:E20"/>
    <mergeCell ref="A21:B21"/>
    <mergeCell ref="C21:E21"/>
    <mergeCell ref="A22:B22"/>
    <mergeCell ref="C22:E22"/>
    <mergeCell ref="A23:B23"/>
    <mergeCell ref="C23:E23"/>
    <mergeCell ref="D24:E24"/>
    <mergeCell ref="A30:E30"/>
    <mergeCell ref="D31:E31"/>
    <mergeCell ref="D32:E32"/>
    <mergeCell ref="D34:E34"/>
    <mergeCell ref="D26:E26"/>
    <mergeCell ref="D27:E27"/>
    <mergeCell ref="A28:B28"/>
    <mergeCell ref="D28:E28"/>
    <mergeCell ref="A29:E29"/>
    <mergeCell ref="D33:E33"/>
    <mergeCell ref="A41:B41"/>
    <mergeCell ref="D41:E41"/>
    <mergeCell ref="A42:E42"/>
    <mergeCell ref="A35:B35"/>
    <mergeCell ref="D35:E35"/>
    <mergeCell ref="A36:E36"/>
    <mergeCell ref="A37:E37"/>
    <mergeCell ref="D38:E38"/>
    <mergeCell ref="D40:E40"/>
    <mergeCell ref="D39:E39"/>
    <mergeCell ref="A43:E43"/>
    <mergeCell ref="D44:E44"/>
    <mergeCell ref="D45:E45"/>
    <mergeCell ref="D47:E47"/>
    <mergeCell ref="A48:B48"/>
    <mergeCell ref="D48:E48"/>
    <mergeCell ref="D46:E46"/>
    <mergeCell ref="A61:B61"/>
    <mergeCell ref="D61:E61"/>
    <mergeCell ref="D59:E59"/>
    <mergeCell ref="D60:E60"/>
    <mergeCell ref="A49:E49"/>
    <mergeCell ref="A50:E50"/>
    <mergeCell ref="D51:E51"/>
    <mergeCell ref="A53:B53"/>
    <mergeCell ref="D53:E53"/>
    <mergeCell ref="A54:E54"/>
    <mergeCell ref="A55:E55"/>
    <mergeCell ref="D56:E56"/>
    <mergeCell ref="D57:E57"/>
    <mergeCell ref="D58:E58"/>
    <mergeCell ref="D52:E52"/>
    <mergeCell ref="A71:E71"/>
    <mergeCell ref="A69:B69"/>
    <mergeCell ref="D69:E69"/>
    <mergeCell ref="A70:E70"/>
    <mergeCell ref="A62:E62"/>
    <mergeCell ref="A63:E63"/>
    <mergeCell ref="D64:E64"/>
    <mergeCell ref="A67:B67"/>
    <mergeCell ref="D67:E67"/>
    <mergeCell ref="A68:E68"/>
    <mergeCell ref="D65:E65"/>
    <mergeCell ref="D66:E66"/>
  </mergeCells>
  <printOptions horizontalCentered="1"/>
  <pageMargins left="0.19685039370078741" right="0.19685039370078741" top="0.78740157480314965" bottom="0.39370078740157483" header="0.31496062992125984" footer="0.31496062992125984"/>
  <pageSetup paperSize="9" scale="74" fitToHeight="0" orientation="portrait" verticalDpi="0" r:id="rId1"/>
  <headerFooter>
    <oddHeader>&amp;C
&amp;G</oddHeader>
  </headerFooter>
  <rowBreaks count="2" manualBreakCount="2">
    <brk id="19" max="16383" man="1"/>
    <brk id="49" max="16383" man="1"/>
  </rowBreaks>
  <colBreaks count="1" manualBreakCount="1">
    <brk id="5" max="1048575" man="1"/>
  </colBreaks>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view="pageBreakPreview" topLeftCell="A37" zoomScaleNormal="100" zoomScaleSheetLayoutView="100" workbookViewId="0">
      <selection activeCell="A56" sqref="A56:E58"/>
    </sheetView>
  </sheetViews>
  <sheetFormatPr defaultColWidth="9.140625" defaultRowHeight="15" x14ac:dyDescent="0.25"/>
  <cols>
    <col min="1" max="1" width="5.140625" style="1" bestFit="1" customWidth="1"/>
    <col min="2" max="2" width="52.7109375" style="41" bestFit="1" customWidth="1"/>
    <col min="3" max="3" width="14.140625" style="1" customWidth="1"/>
    <col min="4" max="4" width="16.5703125" style="1" customWidth="1"/>
    <col min="5" max="5" width="17.42578125" style="1" bestFit="1" customWidth="1"/>
    <col min="6" max="6" width="1.5703125" style="41" customWidth="1"/>
    <col min="7" max="7" width="20.28515625" style="41" bestFit="1" customWidth="1"/>
    <col min="8" max="8" width="9.140625" style="41"/>
    <col min="9" max="9" width="14.42578125" style="41" bestFit="1" customWidth="1"/>
    <col min="10" max="16384" width="9.140625" style="41"/>
  </cols>
  <sheetData>
    <row r="1" spans="1:9" ht="23.25" x14ac:dyDescent="0.25">
      <c r="A1" s="257" t="s">
        <v>202</v>
      </c>
      <c r="B1" s="257"/>
      <c r="C1" s="257"/>
      <c r="D1" s="257"/>
      <c r="E1" s="257"/>
    </row>
    <row r="2" spans="1:9" s="44" customFormat="1" ht="20.100000000000001" customHeight="1" x14ac:dyDescent="0.25">
      <c r="A2" s="258" t="s">
        <v>203</v>
      </c>
      <c r="B2" s="258"/>
      <c r="C2" s="260"/>
      <c r="D2" s="260"/>
      <c r="E2" s="260"/>
    </row>
    <row r="3" spans="1:9" s="44" customFormat="1" ht="20.100000000000001" customHeight="1" x14ac:dyDescent="0.25">
      <c r="A3" s="258" t="s">
        <v>204</v>
      </c>
      <c r="B3" s="258"/>
      <c r="C3" s="260"/>
      <c r="D3" s="260"/>
      <c r="E3" s="260"/>
    </row>
    <row r="4" spans="1:9" s="44" customFormat="1" ht="20.100000000000001" customHeight="1" x14ac:dyDescent="0.25">
      <c r="A4" s="259" t="s">
        <v>205</v>
      </c>
      <c r="B4" s="259"/>
      <c r="C4" s="260"/>
      <c r="D4" s="260"/>
      <c r="E4" s="260"/>
    </row>
    <row r="5" spans="1:9" s="1" customFormat="1" ht="60" x14ac:dyDescent="0.25">
      <c r="A5" s="27" t="s">
        <v>163</v>
      </c>
      <c r="B5" s="27" t="s">
        <v>108</v>
      </c>
      <c r="C5" s="28" t="s">
        <v>130</v>
      </c>
      <c r="D5" s="28" t="s">
        <v>160</v>
      </c>
      <c r="E5" s="28" t="s">
        <v>159</v>
      </c>
      <c r="G5" s="25" t="s">
        <v>153</v>
      </c>
      <c r="H5" s="25" t="s">
        <v>154</v>
      </c>
      <c r="I5" s="26" t="s">
        <v>138</v>
      </c>
    </row>
    <row r="6" spans="1:9" ht="24.95" customHeight="1" x14ac:dyDescent="0.25">
      <c r="A6" s="38">
        <v>1</v>
      </c>
      <c r="B6" s="15" t="s">
        <v>131</v>
      </c>
      <c r="C6" s="38">
        <v>30</v>
      </c>
      <c r="D6" s="46">
        <f>SUM('Ql (35m)'!O3:O4)</f>
        <v>0</v>
      </c>
      <c r="E6" s="32">
        <f>D6/C6</f>
        <v>0</v>
      </c>
      <c r="G6" s="38" t="s">
        <v>139</v>
      </c>
      <c r="H6" s="38" t="s">
        <v>140</v>
      </c>
      <c r="I6" s="38" t="s">
        <v>141</v>
      </c>
    </row>
    <row r="7" spans="1:9" ht="24.95" customHeight="1" x14ac:dyDescent="0.25">
      <c r="A7" s="38">
        <v>2</v>
      </c>
      <c r="B7" s="15" t="s">
        <v>132</v>
      </c>
      <c r="C7" s="38">
        <v>125</v>
      </c>
      <c r="D7" s="38">
        <f>SUM('Ql (35m)'!O5:O7)</f>
        <v>0</v>
      </c>
      <c r="E7" s="32">
        <f t="shared" ref="E7:E12" si="0">D7/C7</f>
        <v>0</v>
      </c>
      <c r="G7" s="38" t="s">
        <v>142</v>
      </c>
      <c r="H7" s="38" t="s">
        <v>149</v>
      </c>
      <c r="I7" s="38" t="s">
        <v>141</v>
      </c>
    </row>
    <row r="8" spans="1:9" ht="24.95" customHeight="1" x14ac:dyDescent="0.25">
      <c r="A8" s="38">
        <v>3</v>
      </c>
      <c r="B8" s="15" t="s">
        <v>133</v>
      </c>
      <c r="C8" s="38">
        <v>30</v>
      </c>
      <c r="D8" s="38">
        <f>SUM('Ql (35m)'!O8:O10)</f>
        <v>0</v>
      </c>
      <c r="E8" s="32">
        <f t="shared" si="0"/>
        <v>0</v>
      </c>
      <c r="G8" s="38" t="s">
        <v>143</v>
      </c>
      <c r="H8" s="38" t="s">
        <v>125</v>
      </c>
      <c r="I8" s="38" t="s">
        <v>141</v>
      </c>
    </row>
    <row r="9" spans="1:9" ht="24.95" customHeight="1" x14ac:dyDescent="0.25">
      <c r="A9" s="38">
        <v>4</v>
      </c>
      <c r="B9" s="15" t="s">
        <v>134</v>
      </c>
      <c r="C9" s="38">
        <v>60</v>
      </c>
      <c r="D9" s="38">
        <f>SUM('Ql (35m)'!O11:O13)</f>
        <v>0</v>
      </c>
      <c r="E9" s="32">
        <f t="shared" si="0"/>
        <v>0</v>
      </c>
      <c r="G9" s="38" t="s">
        <v>144</v>
      </c>
      <c r="H9" s="38" t="s">
        <v>150</v>
      </c>
      <c r="I9" s="38" t="s">
        <v>141</v>
      </c>
    </row>
    <row r="10" spans="1:9" ht="24.95" customHeight="1" x14ac:dyDescent="0.25">
      <c r="A10" s="38">
        <v>5</v>
      </c>
      <c r="B10" s="15" t="s">
        <v>135</v>
      </c>
      <c r="C10" s="38">
        <v>10</v>
      </c>
      <c r="D10" s="38">
        <f>SUM('Ql (35m)'!O14)</f>
        <v>0</v>
      </c>
      <c r="E10" s="32">
        <f t="shared" si="0"/>
        <v>0</v>
      </c>
      <c r="G10" s="38" t="s">
        <v>145</v>
      </c>
      <c r="H10" s="38" t="s">
        <v>151</v>
      </c>
      <c r="I10" s="38" t="s">
        <v>141</v>
      </c>
    </row>
    <row r="11" spans="1:9" ht="24.95" customHeight="1" x14ac:dyDescent="0.25">
      <c r="A11" s="38">
        <v>6</v>
      </c>
      <c r="B11" s="15" t="s">
        <v>136</v>
      </c>
      <c r="C11" s="38">
        <v>54</v>
      </c>
      <c r="D11" s="38">
        <f>SUM('Ql (35m)'!O15:O19)</f>
        <v>0</v>
      </c>
      <c r="E11" s="32">
        <f t="shared" si="0"/>
        <v>0</v>
      </c>
      <c r="G11" s="38" t="s">
        <v>146</v>
      </c>
      <c r="H11" s="38" t="s">
        <v>126</v>
      </c>
      <c r="I11" s="38" t="s">
        <v>141</v>
      </c>
    </row>
    <row r="12" spans="1:9" ht="24.95" customHeight="1" x14ac:dyDescent="0.25">
      <c r="A12" s="38">
        <v>7</v>
      </c>
      <c r="B12" s="15" t="s">
        <v>137</v>
      </c>
      <c r="C12" s="38">
        <v>70</v>
      </c>
      <c r="D12" s="38">
        <f>SUM('Ql (35m)'!O20:O23)</f>
        <v>0</v>
      </c>
      <c r="E12" s="32">
        <f t="shared" si="0"/>
        <v>0</v>
      </c>
      <c r="G12" s="38" t="s">
        <v>148</v>
      </c>
      <c r="H12" s="38" t="s">
        <v>128</v>
      </c>
      <c r="I12" s="38" t="s">
        <v>141</v>
      </c>
    </row>
    <row r="13" spans="1:9" ht="24.95" customHeight="1" thickBot="1" x14ac:dyDescent="0.3">
      <c r="C13" s="38">
        <f>SUM(C6:C12)</f>
        <v>379</v>
      </c>
      <c r="D13" s="38">
        <f>SUM(D6:D12)</f>
        <v>0</v>
      </c>
      <c r="E13" s="34">
        <f>D13/C13</f>
        <v>0</v>
      </c>
      <c r="G13" s="38" t="s">
        <v>147</v>
      </c>
      <c r="H13" s="38" t="s">
        <v>127</v>
      </c>
      <c r="I13" s="38" t="s">
        <v>152</v>
      </c>
    </row>
    <row r="14" spans="1:9" ht="24.95" customHeight="1" thickBot="1" x14ac:dyDescent="0.3">
      <c r="D14" s="43" t="s">
        <v>110</v>
      </c>
      <c r="E14" s="36" t="str">
        <f>IF(AND($E$13&lt;=4,$E$13&gt;=3.51),"A++",IF(AND($E$13&lt;=3.5,$E$13&gt;=3.26),"A+",IF(AND($E$13&lt;=3.25,$E$13&gt;3.01),"A",IF(AND($E$13&lt;=3,$E$13&gt;=2.76),"B++",IF(AND($E$13&lt;=2.75,$E$13&gt;=2.51),"B+",IF(AND($E$13&lt;=2.5,$E$13&gt;=2.01),"B",IF(AND($E$13&lt;=2,$E$13&gt;=1.51),"C","D")))))))</f>
        <v>D</v>
      </c>
    </row>
    <row r="15" spans="1:9" x14ac:dyDescent="0.25">
      <c r="D15" s="45"/>
      <c r="E15" s="29"/>
    </row>
    <row r="16" spans="1:9" ht="23.25" x14ac:dyDescent="0.25">
      <c r="A16" s="257" t="s">
        <v>202</v>
      </c>
      <c r="B16" s="257"/>
      <c r="C16" s="257"/>
      <c r="D16" s="257"/>
      <c r="E16" s="257"/>
    </row>
    <row r="17" spans="1:5" s="44" customFormat="1" ht="20.100000000000001" customHeight="1" x14ac:dyDescent="0.25">
      <c r="A17" s="258" t="s">
        <v>203</v>
      </c>
      <c r="B17" s="258"/>
      <c r="C17" s="260"/>
      <c r="D17" s="260"/>
      <c r="E17" s="260"/>
    </row>
    <row r="18" spans="1:5" s="44" customFormat="1" ht="20.100000000000001" customHeight="1" x14ac:dyDescent="0.25">
      <c r="A18" s="258" t="s">
        <v>204</v>
      </c>
      <c r="B18" s="258"/>
      <c r="C18" s="260"/>
      <c r="D18" s="260"/>
      <c r="E18" s="260"/>
    </row>
    <row r="19" spans="1:5" s="44" customFormat="1" ht="20.100000000000001" customHeight="1" x14ac:dyDescent="0.25">
      <c r="A19" s="259" t="s">
        <v>205</v>
      </c>
      <c r="B19" s="259"/>
      <c r="C19" s="260"/>
      <c r="D19" s="260"/>
      <c r="E19" s="260"/>
    </row>
    <row r="20" spans="1:5" s="1" customFormat="1" ht="75" x14ac:dyDescent="0.25">
      <c r="A20" s="27" t="s">
        <v>163</v>
      </c>
      <c r="B20" s="27" t="s">
        <v>155</v>
      </c>
      <c r="C20" s="28" t="s">
        <v>156</v>
      </c>
      <c r="D20" s="28" t="s">
        <v>157</v>
      </c>
      <c r="E20" s="28" t="s">
        <v>158</v>
      </c>
    </row>
    <row r="21" spans="1:5" s="1" customFormat="1" ht="18.95" customHeight="1" x14ac:dyDescent="0.25">
      <c r="A21" s="222" t="s">
        <v>161</v>
      </c>
      <c r="B21" s="222"/>
      <c r="C21" s="222"/>
      <c r="D21" s="222"/>
      <c r="E21" s="222"/>
    </row>
    <row r="22" spans="1:5" ht="18.95" customHeight="1" x14ac:dyDescent="0.25">
      <c r="A22" s="38">
        <v>1.1000000000000001</v>
      </c>
      <c r="B22" s="15" t="s">
        <v>201</v>
      </c>
      <c r="C22" s="38">
        <v>20</v>
      </c>
      <c r="D22" s="255">
        <f>SUM('Ql (35m)'!M3)</f>
        <v>0</v>
      </c>
      <c r="E22" s="256"/>
    </row>
    <row r="23" spans="1:5" ht="18.95" customHeight="1" x14ac:dyDescent="0.25">
      <c r="A23" s="38">
        <v>1.3</v>
      </c>
      <c r="B23" s="15" t="s">
        <v>199</v>
      </c>
      <c r="C23" s="38">
        <v>10</v>
      </c>
      <c r="D23" s="255">
        <f>SUM('Ql (35m)'!M4)</f>
        <v>0</v>
      </c>
      <c r="E23" s="256"/>
    </row>
    <row r="24" spans="1:5" ht="18.95" customHeight="1" thickBot="1" x14ac:dyDescent="0.3">
      <c r="C24" s="38">
        <f>SUM(C22:C23)</f>
        <v>30</v>
      </c>
      <c r="D24" s="253">
        <f>SUM(D22:D23)</f>
        <v>0</v>
      </c>
      <c r="E24" s="254"/>
    </row>
    <row r="25" spans="1:5" ht="18.95" customHeight="1" thickBot="1" x14ac:dyDescent="0.3">
      <c r="D25" s="43" t="s">
        <v>110</v>
      </c>
      <c r="E25" s="36" t="str">
        <f>IF(AND($E$24&lt;=4,$E$24&gt;=3.51),"A++",IF(AND($E$24&lt;=3.5,$E$24&gt;=3.26),"A+",IF(AND($E$24&lt;=3.25,$E$24&gt;3.01),"A",IF(AND($E$24&lt;=3,$E$24&gt;=2.76),"B++",IF(AND($E$24&lt;=2.75,$E$24&gt;=2.51),"B+",IF(AND($E$24&lt;=2.5,$E$24&gt;=2.01),"B",IF(AND($E$24&lt;=2,$E$24&gt;=1.51),"C","D")))))))</f>
        <v>D</v>
      </c>
    </row>
    <row r="26" spans="1:5" ht="18.95" customHeight="1" x14ac:dyDescent="0.25">
      <c r="A26" s="222" t="s">
        <v>162</v>
      </c>
      <c r="B26" s="222"/>
      <c r="C26" s="222"/>
      <c r="D26" s="222"/>
      <c r="E26" s="222"/>
    </row>
    <row r="27" spans="1:5" ht="18.95" customHeight="1" x14ac:dyDescent="0.25">
      <c r="A27" s="38">
        <v>2.2999999999999998</v>
      </c>
      <c r="B27" s="15" t="s">
        <v>170</v>
      </c>
      <c r="C27" s="38">
        <v>40</v>
      </c>
      <c r="D27" s="255">
        <f>SUM('Ql (35m)'!M5)</f>
        <v>0</v>
      </c>
      <c r="E27" s="256"/>
    </row>
    <row r="28" spans="1:5" ht="18.95" customHeight="1" x14ac:dyDescent="0.25">
      <c r="A28" s="38">
        <v>2.5</v>
      </c>
      <c r="B28" s="15" t="s">
        <v>165</v>
      </c>
      <c r="C28" s="38">
        <v>40</v>
      </c>
      <c r="D28" s="255">
        <f>SUM('Ql (35m)'!M6)</f>
        <v>0</v>
      </c>
      <c r="E28" s="256"/>
    </row>
    <row r="29" spans="1:5" ht="18.95" customHeight="1" x14ac:dyDescent="0.25">
      <c r="A29" s="38">
        <v>2.6</v>
      </c>
      <c r="B29" s="15" t="s">
        <v>166</v>
      </c>
      <c r="C29" s="38">
        <v>45</v>
      </c>
      <c r="D29" s="255">
        <f>SUM('Ql (35m)'!M7)</f>
        <v>0</v>
      </c>
      <c r="E29" s="256"/>
    </row>
    <row r="30" spans="1:5" ht="18.95" customHeight="1" thickBot="1" x14ac:dyDescent="0.3">
      <c r="C30" s="39">
        <f>SUM(C27:C29)</f>
        <v>125</v>
      </c>
      <c r="D30" s="253">
        <f>SUM(D27:D29)</f>
        <v>0</v>
      </c>
      <c r="E30" s="254"/>
    </row>
    <row r="31" spans="1:5" ht="18.95" customHeight="1" thickBot="1" x14ac:dyDescent="0.3">
      <c r="D31" s="43" t="s">
        <v>110</v>
      </c>
      <c r="E31" s="36" t="str">
        <f>IF(AND($E$30&lt;=4,$E$30&gt;=3.51),"A++",IF(AND($E$30&lt;=3.5,$E$30&gt;=3.26),"A+",IF(AND($E$30&lt;=3.25,$E$30&gt;3.01),"A",IF(AND($E$30&lt;=3,$E$30&gt;=2.76),"B++",IF(AND($E$30&lt;=2.75,$E$30&gt;=2.51),"B+",IF(AND($E$30&lt;=2.5,$E$30&gt;=2.01),"B",IF(AND($E$30&lt;=2,$E$30&gt;=1.51),"C","D")))))))</f>
        <v>D</v>
      </c>
    </row>
    <row r="32" spans="1:5" ht="18.95" customHeight="1" x14ac:dyDescent="0.25">
      <c r="A32" s="222" t="s">
        <v>171</v>
      </c>
      <c r="B32" s="222"/>
      <c r="C32" s="222"/>
      <c r="D32" s="222"/>
      <c r="E32" s="222"/>
    </row>
    <row r="33" spans="1:5" ht="18.95" customHeight="1" x14ac:dyDescent="0.25">
      <c r="A33" s="38">
        <v>3.2</v>
      </c>
      <c r="B33" s="15" t="s">
        <v>173</v>
      </c>
      <c r="C33" s="38">
        <v>10</v>
      </c>
      <c r="D33" s="255">
        <f>SUM('Ql (35m)'!M8)</f>
        <v>0</v>
      </c>
      <c r="E33" s="256"/>
    </row>
    <row r="34" spans="1:5" ht="18.95" customHeight="1" x14ac:dyDescent="0.25">
      <c r="A34" s="38">
        <v>3.4</v>
      </c>
      <c r="B34" s="15" t="s">
        <v>175</v>
      </c>
      <c r="C34" s="38">
        <v>20</v>
      </c>
      <c r="D34" s="255">
        <f>SUM('Ql (35m)'!M9:M10)</f>
        <v>0</v>
      </c>
      <c r="E34" s="256"/>
    </row>
    <row r="35" spans="1:5" ht="18.95" customHeight="1" thickBot="1" x14ac:dyDescent="0.3">
      <c r="C35" s="39">
        <f>SUM(C33:C34)</f>
        <v>30</v>
      </c>
      <c r="D35" s="253">
        <f>SUM(D33:D34)</f>
        <v>0</v>
      </c>
      <c r="E35" s="254"/>
    </row>
    <row r="36" spans="1:5" ht="18.95" customHeight="1" thickBot="1" x14ac:dyDescent="0.3">
      <c r="D36" s="43" t="s">
        <v>110</v>
      </c>
      <c r="E36" s="36" t="str">
        <f>IF(AND($E$41&lt;=4,$E$41&gt;=3.51),"A++",IF(AND($E$41&lt;=3.5,$E$41&gt;=3.26),"A+",IF(AND($E$41&lt;=3.25,$E$41&gt;3.01),"A",IF(AND($E$41&lt;=3,$E$41&gt;=2.76),"B++",IF(AND($E$41&lt;=2.75,$E$41&gt;=2.51),"B+",IF(AND($E$41&lt;=2.5,$E$41&gt;=2.01),"B",IF(AND($E$41&lt;=2,$E$41&gt;=1.51),"C","D")))))))</f>
        <v>D</v>
      </c>
    </row>
    <row r="37" spans="1:5" ht="18.95" customHeight="1" x14ac:dyDescent="0.25">
      <c r="A37" s="222" t="s">
        <v>177</v>
      </c>
      <c r="B37" s="222"/>
      <c r="C37" s="222"/>
      <c r="D37" s="222"/>
      <c r="E37" s="222"/>
    </row>
    <row r="38" spans="1:5" ht="18.95" customHeight="1" x14ac:dyDescent="0.25">
      <c r="A38" s="38">
        <v>4.0999999999999996</v>
      </c>
      <c r="B38" s="15" t="s">
        <v>178</v>
      </c>
      <c r="C38" s="38">
        <v>20</v>
      </c>
      <c r="D38" s="255">
        <f>SUM('Ql (35m)'!M11)</f>
        <v>0</v>
      </c>
      <c r="E38" s="256"/>
    </row>
    <row r="39" spans="1:5" ht="18.95" customHeight="1" x14ac:dyDescent="0.25">
      <c r="A39" s="38">
        <v>4.2</v>
      </c>
      <c r="B39" s="15" t="s">
        <v>179</v>
      </c>
      <c r="C39" s="38">
        <v>20</v>
      </c>
      <c r="D39" s="255">
        <f>SUM('Ql (35m)'!M12)</f>
        <v>0</v>
      </c>
      <c r="E39" s="256"/>
    </row>
    <row r="40" spans="1:5" ht="18.95" customHeight="1" x14ac:dyDescent="0.25">
      <c r="A40" s="38">
        <v>4.3</v>
      </c>
      <c r="B40" s="15" t="s">
        <v>180</v>
      </c>
      <c r="C40" s="38">
        <v>20</v>
      </c>
      <c r="D40" s="255">
        <f>SUM('Ql (35m)'!M13)</f>
        <v>0</v>
      </c>
      <c r="E40" s="256"/>
    </row>
    <row r="41" spans="1:5" ht="18.95" customHeight="1" thickBot="1" x14ac:dyDescent="0.3">
      <c r="C41" s="39">
        <f>SUM(C38:C40)</f>
        <v>60</v>
      </c>
      <c r="D41" s="253">
        <f>SUM(D38:D40)</f>
        <v>0</v>
      </c>
      <c r="E41" s="254"/>
    </row>
    <row r="42" spans="1:5" ht="18.95" customHeight="1" thickBot="1" x14ac:dyDescent="0.3">
      <c r="D42" s="43" t="s">
        <v>110</v>
      </c>
      <c r="E42" s="36" t="str">
        <f>IF(AND($E$41&lt;=4,$E$41&gt;=3.51),"A++",IF(AND($E$41&lt;=3.5,$E$41&gt;=3.26),"A+",IF(AND($E$41&lt;=3.25,$E$41&gt;3.01),"A",IF(AND($E$41&lt;=3,$E$41&gt;=2.76),"B++",IF(AND($E$41&lt;=2.75,$E$41&gt;=2.51),"B+",IF(AND($E$41&lt;=2.5,$E$41&gt;=2.01),"B",IF(AND($E$41&lt;=2,$E$41&gt;=1.51),"C","D")))))))</f>
        <v>D</v>
      </c>
    </row>
    <row r="43" spans="1:5" ht="18.95" customHeight="1" x14ac:dyDescent="0.25">
      <c r="A43" s="222" t="s">
        <v>182</v>
      </c>
      <c r="B43" s="222"/>
      <c r="C43" s="222"/>
      <c r="D43" s="222"/>
      <c r="E43" s="222"/>
    </row>
    <row r="44" spans="1:5" ht="18.95" customHeight="1" x14ac:dyDescent="0.25">
      <c r="A44" s="38">
        <v>5.4</v>
      </c>
      <c r="B44" s="15" t="s">
        <v>186</v>
      </c>
      <c r="C44" s="38">
        <v>10</v>
      </c>
      <c r="D44" s="255">
        <f>SUM('Ql (35m)'!M14)</f>
        <v>0</v>
      </c>
      <c r="E44" s="256"/>
    </row>
    <row r="45" spans="1:5" ht="18.95" customHeight="1" thickBot="1" x14ac:dyDescent="0.3">
      <c r="C45" s="39">
        <f>SUM(C44:C44)</f>
        <v>10</v>
      </c>
      <c r="D45" s="253">
        <f>SUM(D44:D44)</f>
        <v>0</v>
      </c>
      <c r="E45" s="254"/>
    </row>
    <row r="46" spans="1:5" ht="18.95" customHeight="1" thickBot="1" x14ac:dyDescent="0.3">
      <c r="D46" s="43" t="s">
        <v>110</v>
      </c>
      <c r="E46" s="36" t="str">
        <f>IF(AND($E$45&lt;=4,$E$45&gt;=3.51),"A++",IF(AND($E$45&lt;=3.5,$E$45&gt;=3.26),"A+",IF(AND($E$45&lt;=3.25,$E$45&gt;3.01),"A",IF(AND($E$45&lt;=3,$E$45&gt;=2.76),"B++",IF(AND($E$45&lt;=2.75,$E$45&gt;=2.51),"B+",IF(AND($E$45&lt;=2.5,$E$45&gt;=2.01),"B",IF(AND($E$45&lt;=2,$E$45&gt;=1.51),"C","D")))))))</f>
        <v>D</v>
      </c>
    </row>
    <row r="47" spans="1:5" ht="18.95" customHeight="1" x14ac:dyDescent="0.25">
      <c r="A47" s="222" t="s">
        <v>187</v>
      </c>
      <c r="B47" s="222"/>
      <c r="C47" s="222"/>
      <c r="D47" s="222"/>
      <c r="E47" s="222"/>
    </row>
    <row r="48" spans="1:5" ht="18.95" customHeight="1" x14ac:dyDescent="0.25">
      <c r="A48" s="38">
        <v>6.1</v>
      </c>
      <c r="B48" s="15" t="s">
        <v>188</v>
      </c>
      <c r="C48" s="38">
        <v>10</v>
      </c>
      <c r="D48" s="255">
        <f>SUM('Ql (35m)'!M15)</f>
        <v>0</v>
      </c>
      <c r="E48" s="256"/>
    </row>
    <row r="49" spans="1:5" ht="18.95" customHeight="1" x14ac:dyDescent="0.25">
      <c r="A49" s="38">
        <v>6.2</v>
      </c>
      <c r="B49" s="15" t="s">
        <v>189</v>
      </c>
      <c r="C49" s="38">
        <v>6</v>
      </c>
      <c r="D49" s="255">
        <f>SUM('Ql (35m)'!M16)</f>
        <v>0</v>
      </c>
      <c r="E49" s="256"/>
    </row>
    <row r="50" spans="1:5" ht="18.95" customHeight="1" x14ac:dyDescent="0.25">
      <c r="A50" s="38">
        <v>6.3</v>
      </c>
      <c r="B50" s="15" t="s">
        <v>190</v>
      </c>
      <c r="C50" s="38">
        <v>8</v>
      </c>
      <c r="D50" s="255">
        <f>SUM('Ql (35m)'!M17)</f>
        <v>0</v>
      </c>
      <c r="E50" s="256"/>
    </row>
    <row r="51" spans="1:5" ht="18.95" customHeight="1" x14ac:dyDescent="0.25">
      <c r="A51" s="38">
        <v>6.4</v>
      </c>
      <c r="B51" s="15" t="s">
        <v>191</v>
      </c>
      <c r="C51" s="38">
        <v>15</v>
      </c>
      <c r="D51" s="255">
        <f>SUM('Ql (35m)'!M18)</f>
        <v>0</v>
      </c>
      <c r="E51" s="256"/>
    </row>
    <row r="52" spans="1:5" ht="18.95" customHeight="1" x14ac:dyDescent="0.25">
      <c r="A52" s="38">
        <v>6.5</v>
      </c>
      <c r="B52" s="15" t="s">
        <v>192</v>
      </c>
      <c r="C52" s="38">
        <v>15</v>
      </c>
      <c r="D52" s="255">
        <f>SUM('Ql (35m)'!M19)</f>
        <v>0</v>
      </c>
      <c r="E52" s="256"/>
    </row>
    <row r="53" spans="1:5" ht="18.95" customHeight="1" thickBot="1" x14ac:dyDescent="0.3">
      <c r="C53" s="39">
        <f>SUM(C48:C52)</f>
        <v>54</v>
      </c>
      <c r="D53" s="253">
        <f>SUM(D48:D52)</f>
        <v>0</v>
      </c>
      <c r="E53" s="254"/>
    </row>
    <row r="54" spans="1:5" ht="18.95" customHeight="1" thickBot="1" x14ac:dyDescent="0.3">
      <c r="D54" s="43" t="s">
        <v>110</v>
      </c>
      <c r="E54" s="36" t="str">
        <f>IF(AND($E$53&lt;=4,$E$53&gt;=3.51),"A++",IF(AND($E$53&lt;=3.5,$E$53&gt;=3.26),"A+",IF(AND($E$53&lt;=3.25,$E$53&gt;3.01),"A",IF(AND($E$53&lt;=3,$E$53&gt;=2.76),"B++",IF(AND($E$53&lt;=2.75,$E$53&gt;=2.51),"B+",IF(AND($E$53&lt;=2.5,$E$53&gt;=2.01),"B",IF(AND($E$53&lt;=2,$E$53&gt;=1.51),"C","D")))))))</f>
        <v>D</v>
      </c>
    </row>
    <row r="55" spans="1:5" ht="18.95" customHeight="1" x14ac:dyDescent="0.25">
      <c r="A55" s="222" t="s">
        <v>193</v>
      </c>
      <c r="B55" s="222"/>
      <c r="C55" s="222"/>
      <c r="D55" s="222"/>
      <c r="E55" s="222"/>
    </row>
    <row r="56" spans="1:5" ht="18.95" customHeight="1" x14ac:dyDescent="0.25">
      <c r="A56" s="38">
        <v>7.1</v>
      </c>
      <c r="B56" s="15" t="s">
        <v>194</v>
      </c>
      <c r="C56" s="38">
        <v>20</v>
      </c>
      <c r="D56" s="255">
        <f>SUM('Ql (35m)'!M20:M21)</f>
        <v>0</v>
      </c>
      <c r="E56" s="256"/>
    </row>
    <row r="57" spans="1:5" ht="18.95" customHeight="1" x14ac:dyDescent="0.25">
      <c r="A57" s="38">
        <v>7.2</v>
      </c>
      <c r="B57" s="15" t="s">
        <v>129</v>
      </c>
      <c r="C57" s="38">
        <v>30</v>
      </c>
      <c r="D57" s="255">
        <f>SUM('Ql (35m)'!M22)</f>
        <v>0</v>
      </c>
      <c r="E57" s="256"/>
    </row>
    <row r="58" spans="1:5" ht="18.95" customHeight="1" x14ac:dyDescent="0.25">
      <c r="A58" s="38">
        <v>7.3</v>
      </c>
      <c r="B58" s="15" t="s">
        <v>195</v>
      </c>
      <c r="C58" s="38">
        <v>20</v>
      </c>
      <c r="D58" s="255">
        <f>SUM('Ql (35m)'!M23)</f>
        <v>0</v>
      </c>
      <c r="E58" s="256"/>
    </row>
    <row r="59" spans="1:5" ht="18.95" customHeight="1" thickBot="1" x14ac:dyDescent="0.3">
      <c r="C59" s="39">
        <f>SUM(C56:C58)</f>
        <v>70</v>
      </c>
      <c r="D59" s="253">
        <f>SUM(D56:D58)</f>
        <v>0</v>
      </c>
      <c r="E59" s="254"/>
    </row>
    <row r="60" spans="1:5" ht="18.95" customHeight="1" thickBot="1" x14ac:dyDescent="0.3">
      <c r="D60" s="43" t="s">
        <v>110</v>
      </c>
      <c r="E60" s="36" t="str">
        <f>IF(AND($E$59&lt;=4,$E$59&gt;=3.51),"A++",IF(AND($E$59&lt;=3.5,$E$59&gt;=3.26),"A+",IF(AND($E$59&lt;=3.25,$E$59&gt;3.01),"A",IF(AND($E$59&lt;=3,$E$59&gt;=2.76),"B++",IF(AND($E$59&lt;=2.75,$E$59&gt;=2.51),"B+",IF(AND($E$59&lt;=2.5,$E$59&gt;=2.01),"B",IF(AND($E$59&lt;=2,$E$59&gt;=1.51),"C","D")))))))</f>
        <v>D</v>
      </c>
    </row>
    <row r="61" spans="1:5" x14ac:dyDescent="0.25">
      <c r="C61" s="41"/>
      <c r="D61" s="41"/>
      <c r="E61" s="41"/>
    </row>
  </sheetData>
  <mergeCells count="47">
    <mergeCell ref="A21:E21"/>
    <mergeCell ref="A26:E26"/>
    <mergeCell ref="A32:E32"/>
    <mergeCell ref="A37:E37"/>
    <mergeCell ref="A43:E43"/>
    <mergeCell ref="D22:E22"/>
    <mergeCell ref="D23:E23"/>
    <mergeCell ref="D24:E24"/>
    <mergeCell ref="D27:E27"/>
    <mergeCell ref="D29:E29"/>
    <mergeCell ref="D28:E28"/>
    <mergeCell ref="D30:E30"/>
    <mergeCell ref="D33:E33"/>
    <mergeCell ref="D34:E34"/>
    <mergeCell ref="D35:E35"/>
    <mergeCell ref="D38:E38"/>
    <mergeCell ref="A1:E1"/>
    <mergeCell ref="A16:E16"/>
    <mergeCell ref="A17:B17"/>
    <mergeCell ref="A18:B18"/>
    <mergeCell ref="A19:B19"/>
    <mergeCell ref="C17:E17"/>
    <mergeCell ref="C4:E4"/>
    <mergeCell ref="C18:E18"/>
    <mergeCell ref="C19:E19"/>
    <mergeCell ref="A2:B2"/>
    <mergeCell ref="C2:E2"/>
    <mergeCell ref="A3:B3"/>
    <mergeCell ref="C3:E3"/>
    <mergeCell ref="A4:B4"/>
    <mergeCell ref="D39:E39"/>
    <mergeCell ref="D40:E40"/>
    <mergeCell ref="D41:E41"/>
    <mergeCell ref="D44:E44"/>
    <mergeCell ref="D45:E45"/>
    <mergeCell ref="D48:E48"/>
    <mergeCell ref="A47:E47"/>
    <mergeCell ref="D49:E49"/>
    <mergeCell ref="D50:E50"/>
    <mergeCell ref="D51:E51"/>
    <mergeCell ref="D59:E59"/>
    <mergeCell ref="A55:E55"/>
    <mergeCell ref="D52:E52"/>
    <mergeCell ref="D53:E53"/>
    <mergeCell ref="D56:E56"/>
    <mergeCell ref="D57:E57"/>
    <mergeCell ref="D58:E58"/>
  </mergeCells>
  <printOptions horizontalCentered="1"/>
  <pageMargins left="0.39370078740157483" right="0.39370078740157483" top="0.39370078740157483" bottom="0.39370078740157483" header="0.31496062992125984" footer="0.31496062992125984"/>
  <pageSetup paperSize="9" scale="88" fitToHeight="0" orientation="portrait" verticalDpi="0" r:id="rId1"/>
  <rowBreaks count="1" manualBreakCount="1">
    <brk id="15" max="16383" man="1"/>
  </rowBreaks>
  <colBreaks count="1" manualBreakCount="1">
    <brk id="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Extended Profile (EP)</vt:lpstr>
      <vt:lpstr>Response Score Calc.</vt:lpstr>
      <vt:lpstr>Autonomous 107m</vt:lpstr>
      <vt:lpstr>107(Qn&amp;Ql)m-GS</vt:lpstr>
      <vt:lpstr>55m-Gradesheet(GS)</vt:lpstr>
      <vt:lpstr>Qn (72m)</vt:lpstr>
      <vt:lpstr>72 Qnm-GS</vt:lpstr>
      <vt:lpstr>Ql (35m)</vt:lpstr>
      <vt:lpstr>35 Qlm-GS (2)</vt:lpstr>
      <vt:lpstr>21m-GS</vt:lpstr>
      <vt:lpstr>'107(Qn&amp;Ql)m-GS'!Print_Titles</vt:lpstr>
      <vt:lpstr>'21m-GS'!Print_Titles</vt:lpstr>
      <vt:lpstr>'35 Qlm-GS (2)'!Print_Titles</vt:lpstr>
      <vt:lpstr>'55m-Gradesheet(GS)'!Print_Titles</vt:lpstr>
      <vt:lpstr>'72 Qnm-GS'!Print_Titles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2022-09-15T09:11:36Z</dcterms:modified>
</cp:coreProperties>
</file>