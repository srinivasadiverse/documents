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35" windowWidth="20055" windowHeight="7950"/>
  </bookViews>
  <sheets>
    <sheet name="NAAC-U" sheetId="4" r:id="rId1"/>
    <sheet name="Sheet1" sheetId="1" r:id="rId2"/>
    <sheet name="Sheet2" sheetId="2" r:id="rId3"/>
    <sheet name="Sheet3" sheetId="3" r:id="rId4"/>
  </sheets>
  <externalReferences>
    <externalReference r:id="rId5"/>
  </externalReferences>
  <definedNames>
    <definedName name="_xlnm._FilterDatabase" localSheetId="0" hidden="1">'NAAC-U'!$A$1:$M$116</definedName>
  </definedNames>
  <calcPr calcId="124519"/>
</workbook>
</file>

<file path=xl/calcChain.xml><?xml version="1.0" encoding="utf-8"?>
<calcChain xmlns="http://schemas.openxmlformats.org/spreadsheetml/2006/main">
  <c r="I96" i="4"/>
  <c r="I95"/>
  <c r="I94"/>
  <c r="I93"/>
  <c r="I92"/>
  <c r="I91"/>
  <c r="I90"/>
  <c r="I89"/>
  <c r="I88"/>
  <c r="I87"/>
  <c r="I86"/>
  <c r="I85"/>
  <c r="I84"/>
  <c r="I83"/>
  <c r="I82"/>
  <c r="I81"/>
  <c r="I80"/>
  <c r="I79"/>
  <c r="I78"/>
  <c r="I77"/>
  <c r="I76"/>
  <c r="I75"/>
  <c r="I74"/>
  <c r="I73"/>
  <c r="I72"/>
  <c r="I71"/>
  <c r="I70"/>
  <c r="I69"/>
  <c r="I68"/>
  <c r="I67"/>
  <c r="I66"/>
  <c r="I65"/>
  <c r="I64"/>
  <c r="I63"/>
  <c r="I62"/>
  <c r="I61"/>
  <c r="I60"/>
  <c r="I59"/>
  <c r="I58"/>
  <c r="I57"/>
  <c r="I56"/>
  <c r="I55"/>
  <c r="I54"/>
  <c r="I53"/>
  <c r="I52"/>
  <c r="I51"/>
  <c r="I49"/>
  <c r="I48"/>
  <c r="I45"/>
  <c r="I44"/>
  <c r="I42"/>
  <c r="I41"/>
  <c r="I40"/>
  <c r="I39"/>
  <c r="I37"/>
  <c r="I36"/>
  <c r="I34"/>
  <c r="I33"/>
  <c r="I32"/>
  <c r="I31"/>
  <c r="I30"/>
  <c r="I29"/>
  <c r="I28"/>
  <c r="I27"/>
  <c r="I26"/>
  <c r="I25"/>
  <c r="I24"/>
  <c r="I22"/>
  <c r="I21"/>
  <c r="I20"/>
  <c r="I19"/>
  <c r="I18"/>
  <c r="I17"/>
  <c r="I10"/>
  <c r="I9"/>
  <c r="I8"/>
</calcChain>
</file>

<file path=xl/sharedStrings.xml><?xml version="1.0" encoding="utf-8"?>
<sst xmlns="http://schemas.openxmlformats.org/spreadsheetml/2006/main" count="610" uniqueCount="288">
  <si>
    <t>S.
No</t>
  </si>
  <si>
    <t>Metric
.No</t>
  </si>
  <si>
    <t xml:space="preserve">Metric </t>
  </si>
  <si>
    <t>Ql/
Qn</t>
  </si>
  <si>
    <t>Weight</t>
  </si>
  <si>
    <t>Faculty Dashboard</t>
  </si>
  <si>
    <t>Category</t>
  </si>
  <si>
    <t>U</t>
  </si>
  <si>
    <t>AU</t>
  </si>
  <si>
    <t>AF</t>
  </si>
  <si>
    <t>NBA T1</t>
  </si>
  <si>
    <t>NBA T2</t>
  </si>
  <si>
    <t>NIRF</t>
  </si>
  <si>
    <t>1.1.1</t>
  </si>
  <si>
    <t>Curricula developed and implemented  have relevance to the local, national, regional and global developmental needs, which  is reflected in the Programme outcomes (POs), Programme Specific Outcomes (PSOs) and Course Outcomes(COs) of the Programmes offered by the University</t>
  </si>
  <si>
    <t>Ql</t>
  </si>
  <si>
    <t>1.1.2</t>
  </si>
  <si>
    <t>Percentage of Programmes where syllabus revision was carried out during the last five years
1.1.2.1: How many Programmes were revised out of the total number of
Programmes offered during the last five years
1.1.2.2 : Number of all Programmes offered by the institution during the
last five years</t>
  </si>
  <si>
    <t>Qn</t>
  </si>
  <si>
    <t>1.1.3</t>
  </si>
  <si>
    <t>Average percentage of courses having focus on employability/ entrepreneurship/ skill development offered by the University
1.1.3.1: Number of courses having focus on employability/
entrepreneurship/ skill development year-wise during the last five years</t>
  </si>
  <si>
    <t>1.2.1</t>
  </si>
  <si>
    <t>Percentage of new courses introduced out of the total number of courses across all programmes offered during the last five years
1.2.1.1: How many new courses were introduced during the last five
years
1.2.1.2 : Number of courses offered by the institution across all
Programmes during the last five years</t>
  </si>
  <si>
    <t>1.2.2</t>
  </si>
  <si>
    <t>Percentage of Programmes in which Choice Based Credit System
(CBCS)/elective course system has been implemented  (Data to be
given for the latest completed academic year)
1.2.2.1: Number of Programmes in which CBCS/ Elective course
system was implemented.</t>
  </si>
  <si>
    <t>1.3.1</t>
  </si>
  <si>
    <t xml:space="preserve">Institution integrates cross-cutting issues relevant to Professional
Ethics ,Gender, Human Values, Environment and Sustainability into
the Curriculum </t>
  </si>
  <si>
    <t>1.3.2</t>
  </si>
  <si>
    <t>Number of value-added courses for imparting transferable and life
skills offered during the last five years  
1.3.2.1: How many new value-added courses were added during the last
5 years</t>
  </si>
  <si>
    <t xml:space="preserve">Co-Ordinator </t>
  </si>
  <si>
    <t>Academics</t>
  </si>
  <si>
    <t>-</t>
  </si>
  <si>
    <t>1.3.3</t>
  </si>
  <si>
    <t xml:space="preserve">Average Percentage of students enrolled in the courses under 1.3.2
as above 
1.3.3.1: Number of students enrolled in value-added courses imparting
transferable and life skills offered year-wise during the last five years </t>
  </si>
  <si>
    <t>1.3.4</t>
  </si>
  <si>
    <t>Percentage  of students undertaking  field projects / research projects /
internships  (Data to be given for the latest completed  academic year)
1.3.4.1:Number of students undertaking field projects or research
projects or internships</t>
  </si>
  <si>
    <t>1.4.1</t>
  </si>
  <si>
    <t>Structured feedback for design and review of syllabus – semester-
wise / year-wise is received from
1) Students, 2) Teachers, 3) Employers and  4) Alumni</t>
  </si>
  <si>
    <t>1.4.2</t>
  </si>
  <si>
    <t>Feedback processes of the institution may be classified as follows:
A. Feedback collected, analysed, action taken and feedback hosted on
the institutional website
B. Feedback collected, analysed and action has been taken
C. Feedback collected and analysed
D. Feedback collected
E. Feedback not collected</t>
  </si>
  <si>
    <t>2.1.1</t>
  </si>
  <si>
    <t xml:space="preserve">Demand Ratio (Average of last five years)
2.1.1.1: Number of seats available year-wise during the last five years </t>
  </si>
  <si>
    <t>2.1.2</t>
  </si>
  <si>
    <t>Average percentage of seats filled against reserved categories (SC, ST, OBC, Divyangjan, etc.) as per applicable  reservation policy during the last five years
2.1.2.1: Number of actual students admitted from the reserved categories
year-wise during the last five years</t>
  </si>
  <si>
    <t>2.2.1</t>
  </si>
  <si>
    <t>The institution assesses the learning levels of the students and organises special Programmes for advanced learners and slow learners.</t>
  </si>
  <si>
    <t>2.2.2</t>
  </si>
  <si>
    <t>Student - Full time teacher ratio (Data for the latest completed academic year)</t>
  </si>
  <si>
    <t>2.3.1</t>
  </si>
  <si>
    <t>Student centric methods, such as experiential learning, participative learning and problem solving methodologies are used for enhancing their learning experiences</t>
  </si>
  <si>
    <t>Centric Methods</t>
  </si>
  <si>
    <t>2.3.2</t>
  </si>
  <si>
    <t>Teachers use ICT- enabled tools including online resources for effective teaching and learning processes</t>
  </si>
  <si>
    <t>Teaching Pedagology</t>
  </si>
  <si>
    <t>2.3.3</t>
  </si>
  <si>
    <t>Ratio of students mentored  for academic and other related issues (Data to be provided only for the latest completed academic year) 
2.3.3.1: Number of mentors
            Number of students assigned to each Mentor
Formula: Mentor : Mentee</t>
  </si>
  <si>
    <t>Mentor</t>
  </si>
  <si>
    <t>Counselling</t>
  </si>
  <si>
    <t>2.4.1</t>
  </si>
  <si>
    <t>Average percentage of full time teachers appointed against the number of sanctioned posts during the last five years</t>
  </si>
  <si>
    <t>2.4.2</t>
  </si>
  <si>
    <t xml:space="preserve">Average percentage of full time teachers with Ph.D./D.M/M.Ch./D.N.B
Superspeciality/D.Sc./D’Lit. during the last five years
2.4.2.1: Number of full time teachers with Ph.D./D.M/M.Ch./D.N.B
Superspeciality/D.Sc./D’Lit.year-wise during the last five years </t>
  </si>
  <si>
    <t>Qualification</t>
  </si>
  <si>
    <t>Profile</t>
  </si>
  <si>
    <t>1.C</t>
  </si>
  <si>
    <t>2.4.3</t>
  </si>
  <si>
    <t>Average teaching experience of full time teachers in the same institution (Data to be provided only for the latest completed academic year, in number of years)
2.4.3.1: Total experience of full-time teachers</t>
  </si>
  <si>
    <t>2.4.4</t>
  </si>
  <si>
    <t>Average percentage of full time teachers who received awards, recognition, fellowships at the State, National, International level from Government/Govt. recognised bodies during the last five years 
2.4.4.1: Number of full time teachers who have received awards from state
/national /international level from Government/Govt. recognized bodies yearwise during the last five years</t>
  </si>
  <si>
    <t>Awards</t>
  </si>
  <si>
    <t>2.5.1</t>
  </si>
  <si>
    <t>Average number of days from the date of last semester-end/ year- end examination till the declaration of  results during the last  five years
2.5.1.1: Number of days from the date of last semester-end/ year- end
examination till the declaration of results year-wise during the last five years</t>
  </si>
  <si>
    <t>2.5.2</t>
  </si>
  <si>
    <t>Average percentage of student complaints/ grievances about evaluation against total number appeared in the examinations during the last five years
2.5.2.1: Number of complaints/grievances about evaluation year-wise
during the last five years</t>
  </si>
  <si>
    <t>2.5.3</t>
  </si>
  <si>
    <t>IT integration and reforms in the xamination procedures and processes (continuous internal assessment and end-semester assessment) have brought in considerable improvement in examination management system of the institution</t>
  </si>
  <si>
    <t>2.5.4</t>
  </si>
  <si>
    <t xml:space="preserve">Status of automation of Examination division along with approved Examination Manual
A. 100% automation of entire division &amp; implementation of Examination Management System (EMS)
B. Only student registration, Hall ticket issue &amp; Result Processing
C. Only student registration and result processing
D. Only result processing
E. Only manual methodology </t>
  </si>
  <si>
    <t>2.6.1</t>
  </si>
  <si>
    <t>The institution has stated learning outcomes  (generic and programme specific)/ graduate attributes which are integrated into the assessment process and widely publicized through the website and other documents</t>
  </si>
  <si>
    <t>2.6.2</t>
  </si>
  <si>
    <t>Attainment of Programme Outcomes, Programme Specific Outcomes and Course Outcomes are evaluated by the institution</t>
  </si>
  <si>
    <t>Attainment</t>
  </si>
  <si>
    <t>2.6.3</t>
  </si>
  <si>
    <t xml:space="preserve">Pass percentage of students (Data to be provided only  for the latest completed academic year)
2.6.3.1: Total number of final year students who passed the examination
conducted by Institution
2.6.3.2: Total number of final year students who appeared for the
examination conducted by Institution
</t>
  </si>
  <si>
    <t>Pass %</t>
  </si>
  <si>
    <t>3.B</t>
  </si>
  <si>
    <t>2.7.1</t>
  </si>
  <si>
    <t xml:space="preserve">Online Student Satisfaction Survey regarding the teaching-learning process. (Online survey to be conducted) </t>
  </si>
  <si>
    <t>3.1.1</t>
  </si>
  <si>
    <t xml:space="preserve">The institution’s Research facilities are frequently updated and  there is a well defined policy for promotion of research which  is uploaded on the institutional website and implemented </t>
  </si>
  <si>
    <t>3.1.2</t>
  </si>
  <si>
    <t xml:space="preserve">The institution provides seed money to its teachers for research (average per year; INR in Lakhs) 
3.1.2.1: The amount of seed money provided by institution to its faculty yearwise during the last five years(INR in lakhs) 
</t>
  </si>
  <si>
    <t>Seed Money</t>
  </si>
  <si>
    <t>Sponsered  Project</t>
  </si>
  <si>
    <t>3.1.3</t>
  </si>
  <si>
    <t xml:space="preserve">Percentage  of teachers receiving national/ international fellowship/financial support by various agencies for advanced studies/ research  during the last five years
3.1.3.1: Number of teachers who received national/ international fellowship/ financial support from various agencies, for advanced studies / research; year-wise during the last five years </t>
  </si>
  <si>
    <t>3.1.4</t>
  </si>
  <si>
    <t>Number of JRFs, SRFs, Post Doctoral Fellows, Research Associates and other research fellows enrolled in the institution during the last five years
3.1.4.1: The Number of JRFs, SRFs, Post Doctoral Fellows, Research Associates and other research fellows enrolled in the institution year-wise during the last five years</t>
  </si>
  <si>
    <t>Scholars</t>
  </si>
  <si>
    <t>Academic Research</t>
  </si>
  <si>
    <t>5.8.2</t>
  </si>
  <si>
    <t>5.7.1</t>
  </si>
  <si>
    <t>3.1.5</t>
  </si>
  <si>
    <t>Institution has the following facilities to support research:
1. Central Instrumentation Centre
2. Animal House/Green House
3. Museum
4. Media laboratory/Studios
5. Business Lab
6. Research/Statistical Databases
7. Mootcourt
8. Theatre
9. Art Gallery
10. Any other facility to support research</t>
  </si>
  <si>
    <t>3.1.6</t>
  </si>
  <si>
    <t>Percentage of departments with UGC-SAP, CAS, DST-FIST, DBT, ICSSR  and other recognitions by national and international  agencies (Data for the latest completed academic year)
3.1.6.1: The Number of departments with UGC-SAP, CAS, DST-FIST , DBT, ICSSR and other similar recognitions by national and international agencies</t>
  </si>
  <si>
    <t>3.2.1</t>
  </si>
  <si>
    <t xml:space="preserve">Extramural funding for Research (Grants sponsored by nongovernment sources such as industry, corporate houses, international bodies for research projects), endowments, Chairs in the University during the last five years (INR in Lakhs) 
3.2.1.1: Total Grants for research projects sponsored by non-government sources such as industry, corporate houses, international bodies, endowments, Institution of Chairs in the institution year-wise during the last five years (INR in Lakhs) </t>
  </si>
  <si>
    <t>Govt/ Non-Govt</t>
  </si>
  <si>
    <t>3.2.2</t>
  </si>
  <si>
    <t xml:space="preserve">Grants  for research projects sponsored by government agencies during the last five years (INR in Lakhs)
3.2.2.1: Total Grants for research projects sponsored by government
agencies year-wise during the last five years (INR in Lakhs) </t>
  </si>
  <si>
    <t>2.C</t>
  </si>
  <si>
    <t>3.2.3</t>
  </si>
  <si>
    <t>Number of research projects per teacher funded by government and non-government agencies during the last five years
3.2.3.1: Number of research projects funded by government and nongovernment agencies during the last five years
3.2.3.2 : Number of full time teachers with research projectsworking in the institution during the last 5 years</t>
  </si>
  <si>
    <t>3.3.1</t>
  </si>
  <si>
    <t xml:space="preserve">Institution has created an ecosystem for innovations, including Incubation centre and other initiatives for the creation and transfer of knowledge </t>
  </si>
  <si>
    <t>3.3.2</t>
  </si>
  <si>
    <t xml:space="preserve">Number of workshops/seminars conducted on Research methodology, Intellectual Property Rights (IPR), Entrepreneurship, Skill development during the last five years
3.3.2.1: Total number of workshops/seminars conducted on Research methodology, Intellectual Property Rights (IPR),Entrepreneurship, Skill development year wise during the last five years </t>
  </si>
  <si>
    <t>Coordinator</t>
  </si>
  <si>
    <t>Workshops/ Seminars/ Conferences</t>
  </si>
  <si>
    <t>3.3.3</t>
  </si>
  <si>
    <t>Number of awards / recognitions received for research/innovations  by the institution/ teachers/ research scholars/students during the last five years
3.3.3.1: Total number of awards / recognitions received for research/innovations won by institution/teachers/research scholars/students year wise during the last five years</t>
  </si>
  <si>
    <t>3.4.1</t>
  </si>
  <si>
    <t>The institution ensures implementation of its stated Code of Ethics for research
3.4.1.1The institution has a stated Code of Ethics for research and the implementation of which is ensured through the following:
1. Inclusion of research ethics in the research methodology course work
2. Presence of institutional Ethics committees (Animal, chemical,bio-ethics etc.,)
3. Plagiarism check
4. Research Advisory Committee</t>
  </si>
  <si>
    <t>3.4.2</t>
  </si>
  <si>
    <t>The institution provides incentives to teachers who receive state, national and international recognitions/awards
1.Commendation and monetary incentive at a University function
2.Commendation and medal at a University function
3.Certificate of honor
4.Announcement in the Newsletter / website</t>
  </si>
  <si>
    <t>3.4.3</t>
  </si>
  <si>
    <t xml:space="preserve">Number of  Patents published/awarded during the last five years 
3.4.3.1: Total number of Patents published/awarded year-wise during
the last five years </t>
  </si>
  <si>
    <t>Patents (IPR)</t>
  </si>
  <si>
    <t>3.4.4</t>
  </si>
  <si>
    <t>Number  of Ph.Ds awarded per teacher during the last five years
3.4.4.1: How many Ph.D’s were awarded during last 5 years
3.4.4.2 : Number of teachers recognized as guides during the last five years</t>
  </si>
  <si>
    <t>Ph.D Awarded/ Superwise</t>
  </si>
  <si>
    <t>3.D</t>
  </si>
  <si>
    <t>3.4.5</t>
  </si>
  <si>
    <t xml:space="preserve">Number of research papers published per teacher in the Journals as notified on UGC website during the last five years   
3.4.5.1: Number of research papers published in the Journals as notified on UGC website during the last five years </t>
  </si>
  <si>
    <t>Publications</t>
  </si>
  <si>
    <t>3.4.6</t>
  </si>
  <si>
    <t xml:space="preserve">Number of books and  chapters in edited volumes published per teacher during the last five years
3.4.6.1: Total number of books and chapters in edited volumes / books published, and papers in national/international conference-proceedings year- wise during the last five years </t>
  </si>
  <si>
    <t>Books/ Book Chapter/ Conference Procedings</t>
  </si>
  <si>
    <t>3.4.7</t>
  </si>
  <si>
    <t>E-content is developed by teachers :
1. For e-PG-Pathshala
2. For CEC (Undergraduate)
3. For SWAYAM
4. For other MOOCs platforms
5. Any other Government Initiatives
6. For Institutional LMS</t>
  </si>
  <si>
    <t>Contenet Developed</t>
  </si>
  <si>
    <t>5.8.3</t>
  </si>
  <si>
    <t>5.7.3</t>
  </si>
  <si>
    <t>3.4.8</t>
  </si>
  <si>
    <t>Bibliometrics of the publications during the last five years based on average Citation Index in Scopus/ Web of Science/PubMed</t>
  </si>
  <si>
    <t>Citations</t>
  </si>
  <si>
    <t>2.A</t>
  </si>
  <si>
    <t>3.4.9</t>
  </si>
  <si>
    <t xml:space="preserve">Bibliometrics of the publications during the last five years based on Scopus/ Web of  Science – h-Index of the University  </t>
  </si>
  <si>
    <t>h-Index</t>
  </si>
  <si>
    <t>3.5.1</t>
  </si>
  <si>
    <t>Institution has a policy for consultancy including revenue sharing between the institution and the individual  and encourages its faculty to undertake consultancy</t>
  </si>
  <si>
    <t>3.5.2</t>
  </si>
  <si>
    <t xml:space="preserve">Revenue generated from consultancy and corporate training during thelast five years (INR in Lakhs) 
3.5.2.1: Total amount generated from consultancy and corporate training year-wise during the last five years (INR in lakhs) </t>
  </si>
  <si>
    <t>Consultancy</t>
  </si>
  <si>
    <t>Sponsered Research</t>
  </si>
  <si>
    <t>5.8.4</t>
  </si>
  <si>
    <t>5.7.4</t>
  </si>
  <si>
    <t>3.6.1</t>
  </si>
  <si>
    <t>Extension activities in the neighborhood community in terms of impact and  sensitizing the students to social issues and holistic development during the last five years</t>
  </si>
  <si>
    <t>3.6.2</t>
  </si>
  <si>
    <t xml:space="preserve">Number of awards received by the Institution, its teachers and students from Government /Government-recognised bodies in recognition of the extension activities carried out  during the last five years
3.6.2.1: Total number of awards and recognitions received for extension activities from Government / Government-recognised bodies year-wise during the last five years </t>
  </si>
  <si>
    <t>3.6.3</t>
  </si>
  <si>
    <t>Number of extension and outreach programs conducted  by the institution including those through NSS/NCC/Red cross/YRC during the last five years( including  Government-initiated programs such as Swachh Bharat, Aids Awareness, Gender Issue, etc. and those organised in collaboration with industry, community and NGOs)
3.6.3.1: Number of extension and outreach programs conducted by the institution through NSS/NCC, Government and Government recognised bodies during the last five years.</t>
  </si>
  <si>
    <t>3.6.4</t>
  </si>
  <si>
    <t xml:space="preserve">Average percentage of students participating in extension activities listed at 3.6.3 above,  during the last five years
3.6.4.1: Total number of students who participate in extension activities listed at 3.6.3 above year-wise during the last five years </t>
  </si>
  <si>
    <t>3.7.1</t>
  </si>
  <si>
    <t xml:space="preserve">Number of collaborative activities with other institutions/ research establishment /industry for  research and academic development of faculty and students  per year 
3.7.1.1: Total number of Collaborative activities with other institutions/ research establishment/ industry for research and academic development of faculty and students year-wise during the last five years </t>
  </si>
  <si>
    <t>Coollaborations/ Linkages</t>
  </si>
  <si>
    <t>3.7.2</t>
  </si>
  <si>
    <t xml:space="preserve">Number of functional MoUs with institutions/ industries  in India and abroad for internship, on-the-job training, project work, student / faculty exchange and  collaborative research  during the last five years
3.7.2.1: Number of functional MoUs with institutions/ industries in India and abroad for internship, on-the-job training, project work, student / faculty exchange and collaborative research during the last five years </t>
  </si>
  <si>
    <t>4.1.1</t>
  </si>
  <si>
    <t>The institution has adequate facilities for teaching - learning. viz., classrooms, laboratories, computing equipment, etc.</t>
  </si>
  <si>
    <t>4.1.2</t>
  </si>
  <si>
    <t>The institution has adequate facilities for cultural activities, yoga, games and sports (indoor &amp; outdoor); (gymnasium, yoga centre, auditorium, etc.,)</t>
  </si>
  <si>
    <t>4.1.3</t>
  </si>
  <si>
    <t>Availability of general campus facilities and overall ambience</t>
  </si>
  <si>
    <t>4.1.4</t>
  </si>
  <si>
    <t xml:space="preserve">Average percentage of expenditure excluding salary, for infrastructure augmentation during the last five years (INR in Lakhs)
4.1.4.1: Expenditure for infrastructure augmentation excluding salary, during
the last five years (INR in lakhs) </t>
  </si>
  <si>
    <t>4.2.1</t>
  </si>
  <si>
    <t>Library is automated using Integrated Library Management System  (ILMS)  and has digitisation facility</t>
  </si>
  <si>
    <t>4.2.2</t>
  </si>
  <si>
    <t>Institution has subscription for e-Library resources
Library has regular subscription for the following:
1. e – journals
2. e-books
3. e-ShodhSindhu
4. Shodhganga
5. Databases</t>
  </si>
  <si>
    <t>4.2.3</t>
  </si>
  <si>
    <t>Average annual expenditure for purchase of books/ e-books and subscription to journals/e-journals during the last five years (INR in Lakhs)
4.2.3.1: Annual expenditure for purchase of books and journals yearwise during the last five years (INR in lakhs)</t>
  </si>
  <si>
    <t>4.2.4</t>
  </si>
  <si>
    <t>Percentage per day usage of library by teachers and students ( foot falls and login data for online access) (Data to be provided only for the latest completed academic year)
4.2.4.1: Number of teachers and students using library per day over the last one year</t>
  </si>
  <si>
    <t>4.3.1</t>
  </si>
  <si>
    <t>Percentage of classrooms and seminar halls with ICT - enabled facilities  such as LCD, smart board, Wi-Fi/LAN, audio video recording facilities.(Data to be provided only for the latest completed academic year) 
4.3.1.1: Number of classrooms and seminar halls with ICT facilities</t>
  </si>
  <si>
    <t>4.3.2</t>
  </si>
  <si>
    <t>Institution has an IT policy, makes appropriate budgetary provisions and updates its IT facilities including the Wi-Fi facility</t>
  </si>
  <si>
    <t>4.3.3</t>
  </si>
  <si>
    <t>Student - Computer ratio (Data to be provided only for the latest
completed academic year)
Number of students : Number of Computers available to students for
academic purposes</t>
  </si>
  <si>
    <t>4.3.4</t>
  </si>
  <si>
    <t>Available bandwidth of internet connection in the Institution
Options:
A. ≥1 GBPS
B. 500 MBPS - 1 GBPS
C. 250 MBPS - 500 MBPS
D. 50 MBPS - 250 MBPS
E. &lt;50 MBPS</t>
  </si>
  <si>
    <t>4.3.5</t>
  </si>
  <si>
    <t>Institution has the following Facilities for e-content development
1. Media centre
2. Audio visual centre
3. Lecture Capturing System(LCS)
4. Mixing equipments and software for editing</t>
  </si>
  <si>
    <t>4.4.1</t>
  </si>
  <si>
    <t xml:space="preserve">Average percentage expenditure incurred on maintenance of physical facilities and academic support facilities excluding salary component during the last five years
4.4.1.1: Expenditure incurred on maintenance of physical facilities and academic support facilities excluding salary component year-wise during the last five years (INR in lakhs) </t>
  </si>
  <si>
    <t>4.4.2</t>
  </si>
  <si>
    <t>There are established systems and procedures for maintaining and utilising physical, academic and support facilities -laboratory, library, sports complex,  computers, classrooms etc.</t>
  </si>
  <si>
    <t>5.1.1</t>
  </si>
  <si>
    <t>Average percentage of students benefited by scholarships and freeships provided by the institution, Government and nongovernment agencies (NGOs) during the last five years (other than the students receiving scholarships under the government schemes for reserved categories) 
5.1.1.1: Number of students benefited by scholarships and freeships provided by the institution, Government and non-government bodies, industries, individuals, philanthropists year-wise during the last five years</t>
  </si>
  <si>
    <t>5.1.2</t>
  </si>
  <si>
    <t xml:space="preserve">Average percentage of students benefited by career counseling and guidance for competitive examinations as offered by the Institution, during the last five years
5.1.2.1: Number of students benefited by career counseling and guidance for competitive examinations as offered by the institution year-wise, during the last five years </t>
  </si>
  <si>
    <t>5.1.3</t>
  </si>
  <si>
    <t>Following Capacity development and skills enhancement initiatives
are undertaken by the institution
1. Soft skills
2. Language and communication skills
3. Life skills (Yoga, physical fitness, health and hygiene)
4. Awareness of trends in technology</t>
  </si>
  <si>
    <t>5.1.4</t>
  </si>
  <si>
    <t>The Institution adopts  the following for redressal of student grievances including sexual harassment and ragging cases
1. Implementation of guidelines of statutory/regulatory bodies
2. Organisation-wide awareness and undertakings on policies with zero tolerance
3. Mechanisms for submission of online/offline students’ grievances
4. Timely redressal of the grievances through appropriate committees</t>
  </si>
  <si>
    <t>5.2.1</t>
  </si>
  <si>
    <t xml:space="preserve">Average percentage of students qualifying in state/ national/ international level examinations during the last five years (eg: NET/SLET/GATE/GMAT/CAT/GRE /JAM/IELTS/TOEFL/CLAT/  Civil Services/State government examinations)
5.2.1.1: Number of students qualifying in state/ national/ international level examinations (eg: NET/SLET/GATE/GMAT/CAT/GRE/JAM/IELTS/TOEFL/ CLAT/Civil services/ State government examinations) year-wise during the last five years </t>
  </si>
  <si>
    <t>5.2.2</t>
  </si>
  <si>
    <t xml:space="preserve">Average percentage of placement of outgoing students during the last five years
5.2.2.1: Number of outgoing students placed year wise during the last five years </t>
  </si>
  <si>
    <t>5.2.3</t>
  </si>
  <si>
    <t>Percentage of recently-graduated students who have progressed to higher education (previous graduating batch)
5.2.3.1: Number of outgoing students progressing to higher education</t>
  </si>
  <si>
    <t>5.3.1</t>
  </si>
  <si>
    <t xml:space="preserve">Number of awards/medals  won by students for outstanding performance in sports/cultural activities at  inter-university/ state/national/international events (award for a team event should be counted as one) during the last five years
5.3.1.1: Number of awards/medals won by students for outstanding performance in sports/cultural activities at inter-university/state/ national/international level (award for a team event should be counted as one) year-wise during the last five years </t>
  </si>
  <si>
    <t>5.3.2</t>
  </si>
  <si>
    <t xml:space="preserve">Presence of Student Council and its  activities for institutional development and student welfare. </t>
  </si>
  <si>
    <t>5.3.3</t>
  </si>
  <si>
    <t>Average number of sports and cultural events / competitions organised by the institution per year 
5.3.3.1: Number of sports and cultural events / competitions organised by the institution year-wise during the last five years</t>
  </si>
  <si>
    <t>5.4.1</t>
  </si>
  <si>
    <t xml:space="preserve">The Alumni Association/Chapters (registered and functional) contributes significantly to the development of the institution through financial and other support services during the last five years </t>
  </si>
  <si>
    <t>5.4.2</t>
  </si>
  <si>
    <t xml:space="preserve">Alumni contribution during the last five years (INR in lakhs)
Options:
A. ≥ 100 Lakhs
B. 50Lakhs - 100 Lakhs
C. 20 Lakhs - 50 Lakhs
D. 5 Lakhs - 20 Lakhs
E. &lt;5 Lakhs </t>
  </si>
  <si>
    <t>6.1.1</t>
  </si>
  <si>
    <t xml:space="preserve">The institution has a clearly stated vision and mission which are reflected in its academic and administrative governance                                      </t>
  </si>
  <si>
    <t>6.1.2</t>
  </si>
  <si>
    <t xml:space="preserve">Effective leadership is reflected in various institutional practices such as decentralization and participative  management.  
</t>
  </si>
  <si>
    <t>6.2.1</t>
  </si>
  <si>
    <t>The institutional Strategic plan is effectively deployed.</t>
  </si>
  <si>
    <t>6.2.2</t>
  </si>
  <si>
    <t>Functioning of the institutional bodies is effective and efficient as visible from policies, administrative setup, appointment, service rules, and procedures, etc,</t>
  </si>
  <si>
    <t>6.2.3</t>
  </si>
  <si>
    <t>Institution Implements e-governance in its areas of operations
6.2.3.1 e-governance is implemented covering the following areas of
operations:
1. Administration
2. Finance and Accounts
3. Student Admission and Support
4. Examinations</t>
  </si>
  <si>
    <t>6.3.1</t>
  </si>
  <si>
    <t xml:space="preserve">The institution has a performance appraisal system, promotional avenues and effective welfare measures for teaching and non-teaching staff </t>
  </si>
  <si>
    <t>6.3.2</t>
  </si>
  <si>
    <t xml:space="preserve">Average percentage of teachers provided with financial support to attend conferences /workshops and towards membership fee of professional bodies during last five years
6.3.2.1: Number of teachers provided with financial support to attend conferences/ workshops and towards membership fee of professional bodies year-wise during the last five years </t>
  </si>
  <si>
    <t>Membership</t>
  </si>
  <si>
    <t>6.3.3</t>
  </si>
  <si>
    <t>Average number of professional development / administrative training 
Programmes organized by the institution for teaching and non teaching staff during the last five years
6.3.3.1: Total number of professional development / administrative training Programmes organized by the Institution for teaching and non teaching staff year-wise during the last five years</t>
  </si>
  <si>
    <t>Professional development</t>
  </si>
  <si>
    <t>6.3.4</t>
  </si>
  <si>
    <t xml:space="preserve">Average percentage of teachers undergoing online/ face-to-face Faculty Development Programmes (FDP)during the last five years (Professional Development Programmes, Orientation / Induction Programmes, Refresher Course, Short Term Course) 
6.3.4.1: Total number of teachers who have undergone online/ face-toface Faculty Development Programmes (FDP)during the last five years (Professional Development Programmes, Orientation / Induction Programmes, Refresher Course, Short Term Course )year-wise during the last five years </t>
  </si>
  <si>
    <t>FDP/ STC/ Refresher cource/, Orientation / Induction Programmes</t>
  </si>
  <si>
    <t>6.4.1</t>
  </si>
  <si>
    <t>Institutional strategies for mobilisation of funds and the optimal utilisation of resources</t>
  </si>
  <si>
    <t>6.4.2</t>
  </si>
  <si>
    <t xml:space="preserve">Funds / Grants received from government bodies during the last five years for development and maintenance of infrastructure (not covered under Criteria III and V )     (INR in Lakhs)
6.4.2.1: Total Grants received from government bodies for development and maintenance of infrastructure (not covered under Criteria III and V) year-wise during the last five years (INR in Lakhs) </t>
  </si>
  <si>
    <t>6.4.3</t>
  </si>
  <si>
    <t xml:space="preserve">Funds / Grants received from non-government bodies, individuals, philanthropists during the last five  years for development and maintenance of infrastructure (not covered under Criteria III and V)  (INR in Lakhs)
6.4.3.1: Total Grants received from non-government bodies, individuals, philanthropists year-wise during the last five years (INR in Lakhs) </t>
  </si>
  <si>
    <t>6.4.4</t>
  </si>
  <si>
    <t xml:space="preserve">Institution regularly conducts internal and external financial  audits </t>
  </si>
  <si>
    <t>6.5.1</t>
  </si>
  <si>
    <t>Internal Quality Assurance Cell (IQAC) has contributed significantly for institutionalizing the quality assurance strategies and processes, by constantly reviewing the teaching-learning process, structures &amp; methodologies of operations and learning outcomes, at periodic intervals</t>
  </si>
  <si>
    <t>6.5.2</t>
  </si>
  <si>
    <t>Institution has adopted the following for Quality assurance:
1. Academic and Administrative Audit (AAA) and follow up action taken
2.Conferences, Seminars, Workshops on quality conducted
3. Collaborative quality initiatives with other institution(s)
4.Orientation programme on quality issues for teachers and students
5. Participation in NIRF
6.Any other quality audit recognized by state, national or international
agencies (ISO Certification, NBA and such oth</t>
  </si>
  <si>
    <t>6.5.3</t>
  </si>
  <si>
    <t>Incremental improvements made for the preceding five years with regard to quality  (in case of first cycle NAAC A/A)</t>
  </si>
  <si>
    <t>7.1.1</t>
  </si>
  <si>
    <t>Measures initiated by the Institution for the promotion of gender equity during the last five years.</t>
  </si>
  <si>
    <t>7.1.2</t>
  </si>
  <si>
    <t xml:space="preserve">The Institution has facilities for alternate sources of energy and energy
conservation measures
1. Solar energy
2. Biogas plant
3. Wheeling to the Grid
4. Sensor-based energy conservation
5. Use of LED bulbs/ power efficient equipment </t>
  </si>
  <si>
    <t>7.1.3</t>
  </si>
  <si>
    <t>Describe the facilities in the Institution for the management of the following
types of degradable and non-degradable waste (within 500 words)
 Solid waste management
 Liquid waste management
 Biomedical waste management
 E-waste management
 Waste recycling system
 Hazardous chemicals and radioactive waste management</t>
  </si>
  <si>
    <t>7.1.4</t>
  </si>
  <si>
    <t xml:space="preserve">Water conservation facilities available in the Institution:
1. Rainwater harvesting
2. Borewell /Open well recharge
3. Construction of tanks and bunds
4. Wastewater recycling
5. Maintenance of water bodies and distribution system in the campus
</t>
  </si>
  <si>
    <t>7.1.5</t>
  </si>
  <si>
    <t>Green campus initiatives
7.1.5.1. The institutional initiatives for greening the campus are as follows:
1. Restricted entry of automobiles 
2. Use of Bicycles/ Battery powered vehicles
3. Pedestrian Friendly pathways
4. Ban on use of Plastic
5. landscaping with trees and plants</t>
  </si>
  <si>
    <t>7.1.6</t>
  </si>
  <si>
    <t xml:space="preserve">Quality audits on environment and energy are regularly undertaken by the
institution
7.1.6.1.The institutional environment and energy initiatives are confirmed
through the following
1.Green audit
2. Energy audit
3.Environmental audit
4.Clean and green campus recognitions/awards
5. Beyond the campus environmental promotional activities </t>
  </si>
  <si>
    <t>7.1.7</t>
  </si>
  <si>
    <t xml:space="preserve">The Institution has friendly, barrier free environment
1. Built environment with ramps/lifts for easy access to classrooms.
2. Divyangjan friendly washrooms
3. Signage including tactile path, lights, display boards and signposts
4. Assistive technology and facilities for Divyangjan accessible website,
screen-reading software, mechanized equipment
5. Provision for enquiry and information : Human assistance, reader,  scribe, soft copies of reading material, screen reading, font enlargement etc., </t>
  </si>
  <si>
    <t>7.1.8</t>
  </si>
  <si>
    <t>Describe the Institutional efforts/initiatives in providing an inclusive environment i.e., tolerance and harmony towards cultural, regional, linguistic, communal, socio-economic and such other diversities (within 500 words).</t>
  </si>
  <si>
    <t>7.1.9</t>
  </si>
  <si>
    <t>Sensitization of students and employees of the Institution to the constitutional obligations: values, rights, duties and responsibilities of citizens</t>
  </si>
  <si>
    <t>7.1.10</t>
  </si>
  <si>
    <t>The Institution has a prescribed code of conduct for students, teachers,
administrators and other staff and conducts periodic programmes in this
regard.
1. The institutional Code of Conduct principles are displayed on the website
2. There is a committee to monitor adherence to the institutional Code of Conduct principles
3. Institution organizes professional ethics programmes for students, teachers, administrators and other staff
4. Annual awareness programmes on Code of Conduct are organized</t>
  </si>
  <si>
    <t>7.1.11</t>
  </si>
  <si>
    <t xml:space="preserve">Institution celebrates / organizes national and international commemorative days, events and festivals </t>
  </si>
  <si>
    <t>7.2.1</t>
  </si>
  <si>
    <t xml:space="preserve">Describe two Best practices successfully implemented by the Institution as per the NAAC format provided in the Manual. </t>
  </si>
  <si>
    <t>7.3.1</t>
  </si>
  <si>
    <t xml:space="preserve">Portray  the performance of the Institution in one area distinctive to its priority and thrust within 1000 words </t>
  </si>
</sst>
</file>

<file path=xl/styles.xml><?xml version="1.0" encoding="utf-8"?>
<styleSheet xmlns="http://schemas.openxmlformats.org/spreadsheetml/2006/main">
  <fonts count="5">
    <font>
      <sz val="11"/>
      <color theme="1"/>
      <name val="Calibri"/>
      <family val="2"/>
      <scheme val="minor"/>
    </font>
    <font>
      <b/>
      <sz val="11"/>
      <color theme="1"/>
      <name val="Arial"/>
      <family val="2"/>
    </font>
    <font>
      <b/>
      <sz val="12"/>
      <color theme="1"/>
      <name val="Arial"/>
      <family val="2"/>
    </font>
    <font>
      <sz val="11"/>
      <color theme="1"/>
      <name val="Arial"/>
      <family val="2"/>
    </font>
    <font>
      <sz val="11"/>
      <color rgb="FFFF0000"/>
      <name val="Arial"/>
      <family val="2"/>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0" xfId="0" applyFont="1"/>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1" fillId="0"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xf numFmtId="0" fontId="3" fillId="0" borderId="0" xfId="0" applyFont="1"/>
    <xf numFmtId="0" fontId="3" fillId="0" borderId="1" xfId="0" applyFont="1" applyFill="1" applyBorder="1" applyAlignment="1">
      <alignment horizontal="center" vertical="center"/>
    </xf>
    <xf numFmtId="0" fontId="4"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3" fillId="0" borderId="0" xfId="0" applyFont="1" applyAlignment="1">
      <alignment horizontal="center" vertical="center"/>
    </xf>
    <xf numFmtId="0" fontId="3" fillId="0" borderId="1" xfId="0" applyFont="1" applyBorder="1" applyAlignment="1">
      <alignment horizontal="left" wrapText="1"/>
    </xf>
    <xf numFmtId="0" fontId="3" fillId="0" borderId="1" xfId="0" applyFont="1" applyBorder="1" applyAlignment="1">
      <alignment horizontal="left" vertical="top" wrapText="1"/>
    </xf>
    <xf numFmtId="0" fontId="3" fillId="0" borderId="2" xfId="0" applyFont="1" applyBorder="1" applyAlignment="1">
      <alignment horizontal="center" vertical="center"/>
    </xf>
    <xf numFmtId="0" fontId="3" fillId="0" borderId="2" xfId="0" applyFont="1" applyBorder="1" applyAlignment="1">
      <alignment horizontal="left" vertical="center" wrapText="1"/>
    </xf>
    <xf numFmtId="0" fontId="1" fillId="0" borderId="2" xfId="0" applyFont="1" applyFill="1" applyBorder="1" applyAlignment="1">
      <alignment horizontal="center" vertical="center"/>
    </xf>
    <xf numFmtId="0" fontId="3" fillId="2" borderId="2" xfId="0" applyFont="1" applyFill="1" applyBorder="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left" vertical="center" wrapText="1"/>
    </xf>
  </cellXfs>
  <cellStyles count="1">
    <cellStyle name="Normal" xfId="0" builtinId="0"/>
  </cellStyles>
  <dxfs count="1">
    <dxf>
      <font>
        <color rgb="FF9C0006"/>
      </font>
      <fill>
        <patternFill>
          <bgColor rgb="FFFFC7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12%20NAAC%20Manuals%20comparison%20for%20common%20Metric(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2 Manuals"/>
      <sheetName val="Analysis"/>
      <sheetName val="Summary"/>
      <sheetName val="Summary-2"/>
      <sheetName val="Common"/>
      <sheetName val="Affliated UG vs PG"/>
    </sheetNames>
    <sheetDataSet>
      <sheetData sheetId="0"/>
      <sheetData sheetId="1"/>
      <sheetData sheetId="2"/>
      <sheetData sheetId="3">
        <row r="2">
          <cell r="C2" t="str">
            <v>1.1.1</v>
          </cell>
          <cell r="D2" t="str">
            <v>1.1.1</v>
          </cell>
        </row>
        <row r="3">
          <cell r="C3" t="str">
            <v>1.1.2</v>
          </cell>
          <cell r="D3" t="str">
            <v>1.1.2</v>
          </cell>
        </row>
        <row r="4">
          <cell r="C4" t="str">
            <v>1.1.3</v>
          </cell>
          <cell r="D4" t="str">
            <v>1.1.3</v>
          </cell>
        </row>
        <row r="5">
          <cell r="C5" t="str">
            <v>1.2.1</v>
          </cell>
          <cell r="D5" t="str">
            <v>1.2.1</v>
          </cell>
        </row>
        <row r="6">
          <cell r="C6" t="str">
            <v>1.2.2</v>
          </cell>
          <cell r="D6" t="str">
            <v>1.2.2</v>
          </cell>
        </row>
        <row r="7">
          <cell r="C7" t="str">
            <v>1.3.1</v>
          </cell>
          <cell r="D7" t="str">
            <v>1.3.1</v>
          </cell>
        </row>
        <row r="8">
          <cell r="C8" t="str">
            <v>1.3.2</v>
          </cell>
          <cell r="D8" t="str">
            <v>1.3.2</v>
          </cell>
        </row>
        <row r="9">
          <cell r="C9" t="str">
            <v>1.3.3</v>
          </cell>
          <cell r="D9" t="str">
            <v>1.3.3</v>
          </cell>
        </row>
        <row r="10">
          <cell r="C10" t="str">
            <v>1.3.4</v>
          </cell>
          <cell r="D10" t="str">
            <v>1.3.4</v>
          </cell>
        </row>
        <row r="11">
          <cell r="C11" t="str">
            <v>1.4.1</v>
          </cell>
          <cell r="D11" t="str">
            <v>1.4.1</v>
          </cell>
        </row>
        <row r="12">
          <cell r="C12" t="str">
            <v>1.4.2</v>
          </cell>
          <cell r="D12" t="str">
            <v>1.4.2</v>
          </cell>
        </row>
        <row r="13">
          <cell r="C13">
            <v>11</v>
          </cell>
          <cell r="D13">
            <v>11</v>
          </cell>
        </row>
        <row r="14">
          <cell r="C14" t="str">
            <v>2.1.1</v>
          </cell>
          <cell r="D14"/>
        </row>
        <row r="15">
          <cell r="C15" t="str">
            <v>2.1.2</v>
          </cell>
          <cell r="D15" t="str">
            <v>2.1.2</v>
          </cell>
        </row>
        <row r="16">
          <cell r="C16" t="str">
            <v>2.2.1</v>
          </cell>
          <cell r="D16" t="str">
            <v>2.2.1</v>
          </cell>
        </row>
        <row r="17">
          <cell r="C17" t="str">
            <v>2.2.2</v>
          </cell>
          <cell r="D17" t="str">
            <v>2.2.2</v>
          </cell>
        </row>
        <row r="18">
          <cell r="C18" t="str">
            <v>2.3.1</v>
          </cell>
          <cell r="D18" t="str">
            <v>2.3.1</v>
          </cell>
        </row>
        <row r="19">
          <cell r="C19" t="str">
            <v>2.3.2</v>
          </cell>
          <cell r="D19" t="str">
            <v>2.3.2</v>
          </cell>
        </row>
        <row r="20">
          <cell r="C20" t="str">
            <v>2.3.3</v>
          </cell>
          <cell r="D20" t="str">
            <v>2.3.3</v>
          </cell>
        </row>
        <row r="21">
          <cell r="C21" t="str">
            <v>2.4.1</v>
          </cell>
          <cell r="D21" t="str">
            <v>2.4.1</v>
          </cell>
        </row>
        <row r="22">
          <cell r="C22" t="str">
            <v>2.4.2</v>
          </cell>
          <cell r="D22" t="str">
            <v>2.4.2</v>
          </cell>
        </row>
        <row r="23">
          <cell r="C23" t="str">
            <v>2.4.3</v>
          </cell>
          <cell r="D23" t="str">
            <v>2.4.3</v>
          </cell>
        </row>
        <row r="24">
          <cell r="C24" t="str">
            <v>2.4.4</v>
          </cell>
          <cell r="D24"/>
        </row>
        <row r="25">
          <cell r="C25" t="str">
            <v>2.5.1</v>
          </cell>
          <cell r="D25" t="str">
            <v>2.5.1</v>
          </cell>
        </row>
        <row r="26">
          <cell r="C26" t="str">
            <v>2.5.2</v>
          </cell>
          <cell r="D26" t="str">
            <v>2.5.2</v>
          </cell>
        </row>
        <row r="27">
          <cell r="C27" t="str">
            <v>2.5.3</v>
          </cell>
          <cell r="D27" t="str">
            <v>2.5.3</v>
          </cell>
        </row>
        <row r="28">
          <cell r="C28" t="str">
            <v>2.5.4</v>
          </cell>
          <cell r="D28"/>
        </row>
        <row r="29">
          <cell r="C29" t="str">
            <v>2.6.1</v>
          </cell>
          <cell r="D29" t="str">
            <v>2.6.1</v>
          </cell>
        </row>
        <row r="30">
          <cell r="C30" t="str">
            <v>2.6.2</v>
          </cell>
          <cell r="D30" t="str">
            <v>2.6.2</v>
          </cell>
        </row>
        <row r="31">
          <cell r="C31" t="str">
            <v>2.6.3</v>
          </cell>
          <cell r="D31" t="str">
            <v>2.6.3</v>
          </cell>
        </row>
        <row r="32">
          <cell r="C32" t="str">
            <v>2.7.1</v>
          </cell>
          <cell r="D32" t="str">
            <v>2.7.1</v>
          </cell>
        </row>
        <row r="33">
          <cell r="C33">
            <v>19</v>
          </cell>
          <cell r="D33">
            <v>16</v>
          </cell>
        </row>
        <row r="34">
          <cell r="C34" t="str">
            <v>3.1.1</v>
          </cell>
          <cell r="D34" t="str">
            <v>3.1.1</v>
          </cell>
        </row>
        <row r="35">
          <cell r="C35" t="str">
            <v>3.1.2</v>
          </cell>
          <cell r="D35" t="str">
            <v>3.1.2</v>
          </cell>
        </row>
        <row r="36">
          <cell r="C36" t="str">
            <v>3.1.3</v>
          </cell>
          <cell r="D36" t="str">
            <v>3.1.3</v>
          </cell>
        </row>
        <row r="37">
          <cell r="C37" t="str">
            <v>3.1.4</v>
          </cell>
          <cell r="D37"/>
        </row>
        <row r="38">
          <cell r="C38" t="str">
            <v>3.1.5</v>
          </cell>
          <cell r="D38"/>
        </row>
        <row r="39">
          <cell r="C39" t="str">
            <v>3.1.6</v>
          </cell>
          <cell r="D39"/>
        </row>
        <row r="40">
          <cell r="C40" t="str">
            <v>3.2.1</v>
          </cell>
          <cell r="D40"/>
        </row>
        <row r="41">
          <cell r="C41" t="str">
            <v>3.2.2</v>
          </cell>
          <cell r="D41" t="str">
            <v>3.2.1</v>
          </cell>
        </row>
        <row r="42">
          <cell r="C42" t="str">
            <v>3.2.3</v>
          </cell>
          <cell r="D42" t="str">
            <v>3.2.2</v>
          </cell>
        </row>
        <row r="43">
          <cell r="C43" t="str">
            <v>3.3.1</v>
          </cell>
          <cell r="D43"/>
        </row>
        <row r="44">
          <cell r="C44" t="str">
            <v>3.3.2</v>
          </cell>
          <cell r="D44" t="str">
            <v>3.3.2</v>
          </cell>
        </row>
        <row r="45">
          <cell r="C45" t="str">
            <v>3.3.3</v>
          </cell>
          <cell r="D45"/>
        </row>
        <row r="46">
          <cell r="C46" t="str">
            <v>3.4.1</v>
          </cell>
          <cell r="D46" t="str">
            <v>3.4.1</v>
          </cell>
        </row>
        <row r="47">
          <cell r="C47" t="str">
            <v>3.4.2</v>
          </cell>
          <cell r="D47"/>
        </row>
        <row r="48">
          <cell r="C48" t="str">
            <v>3.4.3</v>
          </cell>
          <cell r="D48"/>
        </row>
        <row r="49">
          <cell r="C49" t="str">
            <v>3.4.4</v>
          </cell>
          <cell r="D49"/>
        </row>
        <row r="50">
          <cell r="C50" t="str">
            <v>3.4.5</v>
          </cell>
          <cell r="D50" t="str">
            <v>3.4.3</v>
          </cell>
        </row>
        <row r="51">
          <cell r="C51" t="str">
            <v>3.4.6</v>
          </cell>
          <cell r="D51" t="str">
            <v>3.4.4</v>
          </cell>
        </row>
        <row r="52">
          <cell r="C52" t="str">
            <v>3.4.7</v>
          </cell>
          <cell r="D52"/>
        </row>
        <row r="53">
          <cell r="C53" t="str">
            <v>3.4.8</v>
          </cell>
          <cell r="D53" t="str">
            <v>3.4.5</v>
          </cell>
        </row>
        <row r="54">
          <cell r="C54" t="str">
            <v>3.4.9</v>
          </cell>
          <cell r="D54" t="str">
            <v>3.4.6</v>
          </cell>
        </row>
        <row r="55">
          <cell r="C55" t="str">
            <v>3.5.1</v>
          </cell>
        </row>
        <row r="56">
          <cell r="C56" t="str">
            <v>3.5.2</v>
          </cell>
          <cell r="D56" t="str">
            <v>3.5.1</v>
          </cell>
        </row>
        <row r="57">
          <cell r="C57" t="str">
            <v>3.6.1</v>
          </cell>
          <cell r="D57" t="str">
            <v>3.6.1</v>
          </cell>
        </row>
        <row r="58">
          <cell r="C58" t="str">
            <v>3.6.2</v>
          </cell>
          <cell r="D58" t="str">
            <v>3.6.2</v>
          </cell>
        </row>
        <row r="59">
          <cell r="C59" t="str">
            <v>3.6.3</v>
          </cell>
          <cell r="D59" t="str">
            <v>3.6.3</v>
          </cell>
        </row>
        <row r="60">
          <cell r="C60" t="str">
            <v>3.6.4</v>
          </cell>
          <cell r="D60" t="str">
            <v>3.6.4</v>
          </cell>
        </row>
        <row r="61">
          <cell r="C61" t="str">
            <v>3.7.1</v>
          </cell>
          <cell r="D61" t="str">
            <v>3.7.1</v>
          </cell>
        </row>
        <row r="62">
          <cell r="C62" t="str">
            <v>3.7.2</v>
          </cell>
          <cell r="D62" t="str">
            <v>3.7.2</v>
          </cell>
        </row>
        <row r="63">
          <cell r="C63">
            <v>29</v>
          </cell>
          <cell r="D63">
            <v>18</v>
          </cell>
        </row>
        <row r="64">
          <cell r="C64" t="str">
            <v>4.1.1</v>
          </cell>
          <cell r="D64" t="str">
            <v>4.1.1</v>
          </cell>
        </row>
        <row r="65">
          <cell r="C65" t="str">
            <v>4.1.2</v>
          </cell>
          <cell r="D65" t="str">
            <v>4.1.2</v>
          </cell>
        </row>
        <row r="66">
          <cell r="C66" t="str">
            <v>4.1.3</v>
          </cell>
          <cell r="D66"/>
        </row>
        <row r="67">
          <cell r="C67" t="str">
            <v>4.1.4</v>
          </cell>
          <cell r="D67" t="str">
            <v>4.1.4</v>
          </cell>
        </row>
        <row r="68">
          <cell r="C68" t="str">
            <v>4.2.1</v>
          </cell>
          <cell r="D68" t="str">
            <v>4.2.1</v>
          </cell>
        </row>
        <row r="69">
          <cell r="C69" t="str">
            <v>4.2.2</v>
          </cell>
          <cell r="D69" t="str">
            <v>4.2.2</v>
          </cell>
        </row>
        <row r="70">
          <cell r="C70" t="str">
            <v>4.2.3</v>
          </cell>
          <cell r="D70" t="str">
            <v>4.2.3</v>
          </cell>
        </row>
        <row r="71">
          <cell r="C71" t="str">
            <v>4.2.4</v>
          </cell>
          <cell r="D71" t="str">
            <v>4.2.4</v>
          </cell>
        </row>
        <row r="72">
          <cell r="C72" t="str">
            <v>4.3.1</v>
          </cell>
          <cell r="D72" t="str">
            <v>4.1.3</v>
          </cell>
        </row>
        <row r="73">
          <cell r="C73" t="str">
            <v>4.3.2</v>
          </cell>
          <cell r="D73" t="str">
            <v>4.3.1</v>
          </cell>
        </row>
        <row r="74">
          <cell r="C74" t="str">
            <v>4.3.3</v>
          </cell>
          <cell r="D74" t="str">
            <v>4.3.2</v>
          </cell>
        </row>
        <row r="75">
          <cell r="C75" t="str">
            <v>4.3.4</v>
          </cell>
          <cell r="D75" t="str">
            <v>4.3.3</v>
          </cell>
        </row>
        <row r="76">
          <cell r="C76" t="str">
            <v>4.3.5</v>
          </cell>
          <cell r="D76" t="str">
            <v>4.3.4</v>
          </cell>
        </row>
        <row r="77">
          <cell r="C77" t="str">
            <v>4.4.1</v>
          </cell>
          <cell r="D77" t="str">
            <v>4.4.1</v>
          </cell>
        </row>
        <row r="78">
          <cell r="C78" t="str">
            <v>4.4.2</v>
          </cell>
          <cell r="D78" t="str">
            <v>4.4.2</v>
          </cell>
        </row>
        <row r="79">
          <cell r="C79">
            <v>15</v>
          </cell>
          <cell r="D79">
            <v>14</v>
          </cell>
        </row>
        <row r="80">
          <cell r="C80" t="str">
            <v>5.1.1</v>
          </cell>
          <cell r="D80" t="str">
            <v>5.1.1</v>
          </cell>
        </row>
        <row r="81">
          <cell r="C81" t="str">
            <v>5.1.2</v>
          </cell>
          <cell r="D81" t="str">
            <v>5.1.4</v>
          </cell>
        </row>
        <row r="82">
          <cell r="C82" t="str">
            <v>5.1.3</v>
          </cell>
          <cell r="D82" t="str">
            <v>5.1.3</v>
          </cell>
        </row>
        <row r="83">
          <cell r="C83" t="str">
            <v>5.1.4</v>
          </cell>
          <cell r="D83" t="str">
            <v>5.1.5</v>
          </cell>
        </row>
        <row r="84">
          <cell r="C84" t="str">
            <v>5.2.1</v>
          </cell>
          <cell r="D84" t="str">
            <v>5.2.3</v>
          </cell>
        </row>
        <row r="85">
          <cell r="C85" t="str">
            <v>5.2.2</v>
          </cell>
          <cell r="D85" t="str">
            <v>5.2.1</v>
          </cell>
        </row>
        <row r="86">
          <cell r="C86" t="str">
            <v>5.2.3</v>
          </cell>
          <cell r="D86" t="str">
            <v>5.2.2</v>
          </cell>
        </row>
        <row r="87">
          <cell r="C87" t="str">
            <v>5.3.1</v>
          </cell>
          <cell r="D87" t="str">
            <v>5.3.1</v>
          </cell>
        </row>
        <row r="88">
          <cell r="C88" t="str">
            <v>5.3.2</v>
          </cell>
          <cell r="D88" t="str">
            <v>5.3.2</v>
          </cell>
        </row>
        <row r="89">
          <cell r="C89" t="str">
            <v>5.3.3</v>
          </cell>
          <cell r="D89" t="str">
            <v>5.3.3</v>
          </cell>
        </row>
        <row r="90">
          <cell r="C90" t="str">
            <v>5.4.1</v>
          </cell>
          <cell r="D90" t="str">
            <v>5.4.1</v>
          </cell>
        </row>
        <row r="91">
          <cell r="C91" t="str">
            <v>5.4.2</v>
          </cell>
          <cell r="D91" t="str">
            <v>5.4.2</v>
          </cell>
        </row>
        <row r="92">
          <cell r="C92">
            <v>12</v>
          </cell>
          <cell r="D92">
            <v>12</v>
          </cell>
        </row>
        <row r="93">
          <cell r="C93" t="str">
            <v>6.1.1</v>
          </cell>
          <cell r="D93" t="str">
            <v>6.1.1</v>
          </cell>
        </row>
        <row r="94">
          <cell r="C94" t="str">
            <v>6.1.2</v>
          </cell>
          <cell r="D94" t="str">
            <v>6.1.2</v>
          </cell>
        </row>
        <row r="95">
          <cell r="C95" t="str">
            <v>6.2.1</v>
          </cell>
          <cell r="D95" t="str">
            <v>6.2.1</v>
          </cell>
        </row>
        <row r="96">
          <cell r="C96" t="str">
            <v>6.2.2</v>
          </cell>
          <cell r="D96" t="str">
            <v>6.2.2</v>
          </cell>
        </row>
        <row r="97">
          <cell r="C97" t="str">
            <v>6.2.3</v>
          </cell>
          <cell r="D97" t="str">
            <v>6.2.3</v>
          </cell>
        </row>
        <row r="98">
          <cell r="C98" t="str">
            <v>6.3.1</v>
          </cell>
          <cell r="D98" t="str">
            <v>6.3.1</v>
          </cell>
        </row>
        <row r="99">
          <cell r="C99" t="str">
            <v>6.3.2</v>
          </cell>
          <cell r="D99" t="str">
            <v>6.3.2</v>
          </cell>
        </row>
        <row r="100">
          <cell r="C100" t="str">
            <v>6.3.3</v>
          </cell>
          <cell r="D100" t="str">
            <v>6.3.3</v>
          </cell>
        </row>
        <row r="101">
          <cell r="C101" t="str">
            <v>6.3.4</v>
          </cell>
          <cell r="D101" t="str">
            <v>6.3.4</v>
          </cell>
        </row>
        <row r="102">
          <cell r="C102" t="str">
            <v>6.4.1</v>
          </cell>
          <cell r="D102" t="str">
            <v>6.4.3</v>
          </cell>
        </row>
        <row r="103">
          <cell r="C103" t="str">
            <v>6.4.2</v>
          </cell>
          <cell r="D103"/>
        </row>
        <row r="104">
          <cell r="C104" t="str">
            <v>6.4.3</v>
          </cell>
          <cell r="D104" t="str">
            <v>6.4.2</v>
          </cell>
        </row>
        <row r="105">
          <cell r="C105" t="str">
            <v>6.4.4</v>
          </cell>
          <cell r="D105" t="str">
            <v>6.4.1</v>
          </cell>
        </row>
        <row r="106">
          <cell r="C106" t="str">
            <v>6.5.1</v>
          </cell>
          <cell r="D106" t="str">
            <v>6.5.1</v>
          </cell>
        </row>
        <row r="107">
          <cell r="C107" t="str">
            <v>6.5.2</v>
          </cell>
          <cell r="D107" t="str">
            <v>6.5.3</v>
          </cell>
        </row>
        <row r="108">
          <cell r="C108" t="str">
            <v>6.5.3</v>
          </cell>
          <cell r="D108" t="str">
            <v>6.5.2</v>
          </cell>
        </row>
        <row r="109">
          <cell r="C109">
            <v>16</v>
          </cell>
          <cell r="D109">
            <v>15</v>
          </cell>
        </row>
        <row r="110">
          <cell r="C110" t="str">
            <v>7.1.1</v>
          </cell>
          <cell r="D110" t="str">
            <v>7.1.1</v>
          </cell>
        </row>
        <row r="111">
          <cell r="C111" t="str">
            <v>7.1.2</v>
          </cell>
          <cell r="D111" t="str">
            <v>7.1.2</v>
          </cell>
        </row>
        <row r="112">
          <cell r="C112" t="str">
            <v>7.1.3</v>
          </cell>
          <cell r="D112" t="str">
            <v>7.1.3</v>
          </cell>
        </row>
        <row r="113">
          <cell r="C113" t="str">
            <v>7.1.4</v>
          </cell>
          <cell r="D113" t="str">
            <v>7.1.4</v>
          </cell>
        </row>
        <row r="114">
          <cell r="C114" t="str">
            <v>7.1.5</v>
          </cell>
          <cell r="D114" t="str">
            <v>7.1.5</v>
          </cell>
        </row>
        <row r="115">
          <cell r="C115" t="str">
            <v>7.1.6</v>
          </cell>
          <cell r="D115" t="str">
            <v>7.1.6</v>
          </cell>
        </row>
        <row r="116">
          <cell r="C116" t="str">
            <v>7.1.7</v>
          </cell>
          <cell r="D116" t="str">
            <v>7.1.7</v>
          </cell>
        </row>
      </sheetData>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1"/>
  <dimension ref="A1:N116"/>
  <sheetViews>
    <sheetView tabSelected="1" workbookViewId="0">
      <selection activeCell="F10" sqref="F10"/>
    </sheetView>
  </sheetViews>
  <sheetFormatPr defaultRowHeight="14.25"/>
  <cols>
    <col min="1" max="1" width="5" style="16" bestFit="1" customWidth="1"/>
    <col min="2" max="2" width="7.140625" style="16" bestFit="1" customWidth="1"/>
    <col min="3" max="3" width="69.42578125" style="24" customWidth="1"/>
    <col min="4" max="4" width="5.7109375" style="23" customWidth="1"/>
    <col min="5" max="5" width="9.140625" style="12" customWidth="1"/>
    <col min="6" max="7" width="13.85546875" style="23" customWidth="1"/>
    <col min="8" max="9" width="9.140625" style="12" customWidth="1"/>
    <col min="10" max="12" width="9.140625" style="16" customWidth="1"/>
    <col min="13" max="13" width="9.140625" style="16"/>
    <col min="14" max="16384" width="9.140625" style="12"/>
  </cols>
  <sheetData>
    <row r="1" spans="1:13" s="5" customFormat="1" ht="45">
      <c r="A1" s="1" t="s">
        <v>0</v>
      </c>
      <c r="B1" s="1" t="s">
        <v>1</v>
      </c>
      <c r="C1" s="1" t="s">
        <v>2</v>
      </c>
      <c r="D1" s="2" t="s">
        <v>3</v>
      </c>
      <c r="E1" s="2" t="s">
        <v>4</v>
      </c>
      <c r="F1" s="3" t="s">
        <v>5</v>
      </c>
      <c r="G1" s="3" t="s">
        <v>6</v>
      </c>
      <c r="H1" s="4" t="s">
        <v>7</v>
      </c>
      <c r="I1" s="4" t="s">
        <v>8</v>
      </c>
      <c r="J1" s="4" t="s">
        <v>9</v>
      </c>
      <c r="K1" s="4" t="s">
        <v>10</v>
      </c>
      <c r="L1" s="4" t="s">
        <v>11</v>
      </c>
      <c r="M1" s="4" t="s">
        <v>12</v>
      </c>
    </row>
    <row r="2" spans="1:13" ht="71.25" hidden="1">
      <c r="A2" s="6">
        <v>1</v>
      </c>
      <c r="B2" s="6" t="s">
        <v>13</v>
      </c>
      <c r="C2" s="7" t="s">
        <v>14</v>
      </c>
      <c r="D2" s="8" t="s">
        <v>15</v>
      </c>
      <c r="E2" s="9">
        <v>20</v>
      </c>
      <c r="F2" s="10"/>
      <c r="G2" s="10"/>
      <c r="H2" s="11"/>
      <c r="I2" s="11"/>
      <c r="J2" s="11"/>
      <c r="K2" s="6"/>
      <c r="L2" s="6"/>
      <c r="M2" s="6"/>
    </row>
    <row r="3" spans="1:13" ht="114" hidden="1">
      <c r="A3" s="6">
        <v>2</v>
      </c>
      <c r="B3" s="6" t="s">
        <v>16</v>
      </c>
      <c r="C3" s="7" t="s">
        <v>17</v>
      </c>
      <c r="D3" s="8" t="s">
        <v>18</v>
      </c>
      <c r="E3" s="6">
        <v>20</v>
      </c>
      <c r="F3" s="10"/>
      <c r="G3" s="10"/>
      <c r="H3" s="11"/>
      <c r="I3" s="11"/>
      <c r="J3" s="11"/>
      <c r="K3" s="6"/>
      <c r="L3" s="6"/>
      <c r="M3" s="6"/>
    </row>
    <row r="4" spans="1:13" ht="71.25" hidden="1">
      <c r="A4" s="6">
        <v>3</v>
      </c>
      <c r="B4" s="6" t="s">
        <v>19</v>
      </c>
      <c r="C4" s="7" t="s">
        <v>20</v>
      </c>
      <c r="D4" s="8" t="s">
        <v>18</v>
      </c>
      <c r="E4" s="6">
        <v>10</v>
      </c>
      <c r="F4" s="10"/>
      <c r="G4" s="10"/>
      <c r="H4" s="11"/>
      <c r="I4" s="11"/>
      <c r="J4" s="11"/>
      <c r="K4" s="6"/>
      <c r="L4" s="6"/>
      <c r="M4" s="6"/>
    </row>
    <row r="5" spans="1:13" ht="99.75" hidden="1">
      <c r="A5" s="6">
        <v>4</v>
      </c>
      <c r="B5" s="6" t="s">
        <v>21</v>
      </c>
      <c r="C5" s="7" t="s">
        <v>22</v>
      </c>
      <c r="D5" s="8" t="s">
        <v>18</v>
      </c>
      <c r="E5" s="6">
        <v>30</v>
      </c>
      <c r="F5" s="10"/>
      <c r="G5" s="10"/>
      <c r="H5" s="11"/>
      <c r="I5" s="11"/>
      <c r="J5" s="11"/>
      <c r="K5" s="6"/>
      <c r="L5" s="6"/>
      <c r="M5" s="6"/>
    </row>
    <row r="6" spans="1:13" ht="85.5" hidden="1">
      <c r="A6" s="6">
        <v>5</v>
      </c>
      <c r="B6" s="13" t="s">
        <v>23</v>
      </c>
      <c r="C6" s="7" t="s">
        <v>24</v>
      </c>
      <c r="D6" s="8" t="s">
        <v>18</v>
      </c>
      <c r="E6" s="6">
        <v>20</v>
      </c>
      <c r="F6" s="10"/>
      <c r="G6" s="10"/>
      <c r="H6" s="11"/>
      <c r="I6" s="11"/>
      <c r="J6" s="11"/>
      <c r="K6" s="6"/>
      <c r="L6" s="6"/>
      <c r="M6" s="6"/>
    </row>
    <row r="7" spans="1:13" ht="42.75" hidden="1">
      <c r="A7" s="6">
        <v>6</v>
      </c>
      <c r="B7" s="6" t="s">
        <v>25</v>
      </c>
      <c r="C7" s="7" t="s">
        <v>26</v>
      </c>
      <c r="D7" s="8" t="s">
        <v>15</v>
      </c>
      <c r="E7" s="9">
        <v>5</v>
      </c>
      <c r="F7" s="10"/>
      <c r="G7" s="10"/>
      <c r="H7" s="11"/>
      <c r="I7" s="11"/>
      <c r="J7" s="11"/>
      <c r="K7" s="6"/>
      <c r="L7" s="6"/>
      <c r="M7" s="6"/>
    </row>
    <row r="8" spans="1:13" ht="85.5">
      <c r="A8" s="6">
        <v>7</v>
      </c>
      <c r="B8" s="6" t="s">
        <v>27</v>
      </c>
      <c r="C8" s="7" t="s">
        <v>28</v>
      </c>
      <c r="D8" s="8" t="s">
        <v>18</v>
      </c>
      <c r="E8" s="14">
        <v>10</v>
      </c>
      <c r="F8" s="10" t="s">
        <v>29</v>
      </c>
      <c r="G8" s="10" t="s">
        <v>30</v>
      </c>
      <c r="H8" s="6" t="s">
        <v>27</v>
      </c>
      <c r="I8" s="6" t="str">
        <f>VLOOKUP(H8,'[1]Summary-2'!$C$2:$D$116,2,0)</f>
        <v>1.3.2</v>
      </c>
      <c r="J8" s="6" t="s">
        <v>21</v>
      </c>
      <c r="K8" s="6" t="s">
        <v>31</v>
      </c>
      <c r="L8" s="6" t="s">
        <v>31</v>
      </c>
      <c r="M8" s="6" t="s">
        <v>31</v>
      </c>
    </row>
    <row r="9" spans="1:13" ht="71.25">
      <c r="A9" s="6">
        <v>8</v>
      </c>
      <c r="B9" s="6" t="s">
        <v>32</v>
      </c>
      <c r="C9" s="7" t="s">
        <v>33</v>
      </c>
      <c r="D9" s="8" t="s">
        <v>18</v>
      </c>
      <c r="E9" s="14">
        <v>10</v>
      </c>
      <c r="F9" s="10" t="s">
        <v>29</v>
      </c>
      <c r="G9" s="10" t="s">
        <v>30</v>
      </c>
      <c r="H9" s="6" t="s">
        <v>32</v>
      </c>
      <c r="I9" s="6" t="str">
        <f>VLOOKUP(H9,'[1]Summary-2'!$C$2:$D$116,2,0)</f>
        <v>1.3.3</v>
      </c>
      <c r="J9" s="6" t="s">
        <v>23</v>
      </c>
      <c r="K9" s="6" t="s">
        <v>31</v>
      </c>
      <c r="L9" s="6" t="s">
        <v>31</v>
      </c>
      <c r="M9" s="6" t="s">
        <v>31</v>
      </c>
    </row>
    <row r="10" spans="1:13" ht="71.25">
      <c r="A10" s="6">
        <v>9</v>
      </c>
      <c r="B10" s="6" t="s">
        <v>34</v>
      </c>
      <c r="C10" s="7" t="s">
        <v>35</v>
      </c>
      <c r="D10" s="8" t="s">
        <v>18</v>
      </c>
      <c r="E10" s="14">
        <v>5</v>
      </c>
      <c r="F10" s="10" t="s">
        <v>29</v>
      </c>
      <c r="G10" s="10" t="s">
        <v>30</v>
      </c>
      <c r="H10" s="6" t="s">
        <v>34</v>
      </c>
      <c r="I10" s="6" t="str">
        <f>VLOOKUP(H10,'[1]Summary-2'!$C$2:$D$116,2,0)</f>
        <v>1.3.4</v>
      </c>
      <c r="J10" s="6" t="s">
        <v>27</v>
      </c>
      <c r="K10" s="6" t="s">
        <v>31</v>
      </c>
      <c r="L10" s="6" t="s">
        <v>31</v>
      </c>
      <c r="M10" s="6" t="s">
        <v>31</v>
      </c>
    </row>
    <row r="11" spans="1:13" ht="42.75" hidden="1">
      <c r="A11" s="6">
        <v>10</v>
      </c>
      <c r="B11" s="6" t="s">
        <v>36</v>
      </c>
      <c r="C11" s="7" t="s">
        <v>37</v>
      </c>
      <c r="D11" s="8" t="s">
        <v>18</v>
      </c>
      <c r="E11" s="6">
        <v>10</v>
      </c>
      <c r="F11" s="10"/>
      <c r="G11" s="10"/>
      <c r="H11" s="11"/>
      <c r="I11" s="11"/>
      <c r="J11" s="11"/>
      <c r="K11" s="6"/>
      <c r="L11" s="6"/>
      <c r="M11" s="6"/>
    </row>
    <row r="12" spans="1:13" ht="99.75" hidden="1">
      <c r="A12" s="6">
        <v>11</v>
      </c>
      <c r="B12" s="6" t="s">
        <v>38</v>
      </c>
      <c r="C12" s="7" t="s">
        <v>39</v>
      </c>
      <c r="D12" s="8" t="s">
        <v>18</v>
      </c>
      <c r="E12" s="6">
        <v>10</v>
      </c>
      <c r="F12" s="10"/>
      <c r="G12" s="10"/>
      <c r="H12" s="11"/>
      <c r="I12" s="11"/>
      <c r="J12" s="11"/>
      <c r="K12" s="6"/>
      <c r="L12" s="6"/>
      <c r="M12" s="6"/>
    </row>
    <row r="13" spans="1:13" ht="42.75" hidden="1">
      <c r="A13" s="6">
        <v>12</v>
      </c>
      <c r="B13" s="13" t="s">
        <v>40</v>
      </c>
      <c r="C13" s="7" t="s">
        <v>41</v>
      </c>
      <c r="D13" s="8" t="s">
        <v>18</v>
      </c>
      <c r="E13" s="6">
        <v>5</v>
      </c>
      <c r="F13" s="10"/>
      <c r="G13" s="10"/>
      <c r="H13" s="11"/>
      <c r="I13" s="11"/>
      <c r="J13" s="11"/>
      <c r="K13" s="6"/>
      <c r="L13" s="6"/>
      <c r="M13" s="6"/>
    </row>
    <row r="14" spans="1:13" ht="99.75" hidden="1">
      <c r="A14" s="6">
        <v>13</v>
      </c>
      <c r="B14" s="13" t="s">
        <v>42</v>
      </c>
      <c r="C14" s="7" t="s">
        <v>43</v>
      </c>
      <c r="D14" s="8" t="s">
        <v>18</v>
      </c>
      <c r="E14" s="6">
        <v>5</v>
      </c>
      <c r="F14" s="10"/>
      <c r="G14" s="10"/>
      <c r="H14" s="11"/>
      <c r="I14" s="11"/>
      <c r="J14" s="11"/>
      <c r="K14" s="6"/>
      <c r="L14" s="6"/>
      <c r="M14" s="6"/>
    </row>
    <row r="15" spans="1:13" ht="42.75" hidden="1">
      <c r="A15" s="6">
        <v>14</v>
      </c>
      <c r="B15" s="13" t="s">
        <v>44</v>
      </c>
      <c r="C15" s="7" t="s">
        <v>45</v>
      </c>
      <c r="D15" s="8" t="s">
        <v>15</v>
      </c>
      <c r="E15" s="9">
        <v>10</v>
      </c>
      <c r="F15" s="10"/>
      <c r="G15" s="10"/>
      <c r="H15" s="11"/>
      <c r="I15" s="11"/>
      <c r="J15" s="11"/>
      <c r="K15" s="6"/>
      <c r="L15" s="6"/>
      <c r="M15" s="6"/>
    </row>
    <row r="16" spans="1:13" ht="28.5" hidden="1">
      <c r="A16" s="6">
        <v>15</v>
      </c>
      <c r="B16" s="13" t="s">
        <v>46</v>
      </c>
      <c r="C16" s="7" t="s">
        <v>47</v>
      </c>
      <c r="D16" s="8" t="s">
        <v>18</v>
      </c>
      <c r="E16" s="6">
        <v>10</v>
      </c>
      <c r="F16" s="10"/>
      <c r="G16" s="10"/>
      <c r="H16" s="11"/>
      <c r="I16" s="11"/>
      <c r="J16" s="11"/>
      <c r="K16" s="6"/>
      <c r="L16" s="6"/>
      <c r="M16" s="6"/>
    </row>
    <row r="17" spans="1:13" ht="42.75">
      <c r="A17" s="6">
        <v>16</v>
      </c>
      <c r="B17" s="13" t="s">
        <v>48</v>
      </c>
      <c r="C17" s="7" t="s">
        <v>49</v>
      </c>
      <c r="D17" s="8" t="s">
        <v>15</v>
      </c>
      <c r="E17" s="14">
        <v>6</v>
      </c>
      <c r="F17" s="10" t="s">
        <v>50</v>
      </c>
      <c r="G17" s="10" t="s">
        <v>30</v>
      </c>
      <c r="H17" s="13" t="s">
        <v>48</v>
      </c>
      <c r="I17" s="6" t="str">
        <f>VLOOKUP(H17,'[1]Summary-2'!$C$2:$D$116,2,0)</f>
        <v>2.3.1</v>
      </c>
      <c r="J17" s="6" t="s">
        <v>48</v>
      </c>
      <c r="K17" s="6" t="s">
        <v>31</v>
      </c>
      <c r="L17" s="6" t="s">
        <v>31</v>
      </c>
      <c r="M17" s="6" t="s">
        <v>31</v>
      </c>
    </row>
    <row r="18" spans="1:13" ht="28.5">
      <c r="A18" s="6">
        <v>17</v>
      </c>
      <c r="B18" s="13" t="s">
        <v>51</v>
      </c>
      <c r="C18" s="7" t="s">
        <v>52</v>
      </c>
      <c r="D18" s="8" t="s">
        <v>15</v>
      </c>
      <c r="E18" s="14">
        <v>6</v>
      </c>
      <c r="F18" s="10" t="s">
        <v>53</v>
      </c>
      <c r="G18" s="10" t="s">
        <v>30</v>
      </c>
      <c r="H18" s="13" t="s">
        <v>51</v>
      </c>
      <c r="I18" s="6" t="str">
        <f>VLOOKUP(H18,'[1]Summary-2'!$C$2:$D$116,2,0)</f>
        <v>2.3.2</v>
      </c>
      <c r="J18" s="6" t="s">
        <v>51</v>
      </c>
      <c r="K18" s="6" t="s">
        <v>31</v>
      </c>
      <c r="L18" s="6" t="s">
        <v>31</v>
      </c>
      <c r="M18" s="6" t="s">
        <v>31</v>
      </c>
    </row>
    <row r="19" spans="1:13" ht="85.5">
      <c r="A19" s="6">
        <v>18</v>
      </c>
      <c r="B19" s="13" t="s">
        <v>54</v>
      </c>
      <c r="C19" s="7" t="s">
        <v>55</v>
      </c>
      <c r="D19" s="8" t="s">
        <v>18</v>
      </c>
      <c r="E19" s="14">
        <v>8</v>
      </c>
      <c r="F19" s="15" t="s">
        <v>56</v>
      </c>
      <c r="G19" s="10" t="s">
        <v>57</v>
      </c>
      <c r="H19" s="13" t="s">
        <v>54</v>
      </c>
      <c r="I19" s="6" t="str">
        <f>VLOOKUP(H19,'[1]Summary-2'!$C$2:$D$116,2,0)</f>
        <v>2.3.3</v>
      </c>
      <c r="J19" s="6" t="s">
        <v>31</v>
      </c>
      <c r="K19" s="6">
        <v>9.1</v>
      </c>
      <c r="L19" s="6">
        <v>9.1</v>
      </c>
      <c r="M19" s="6" t="s">
        <v>31</v>
      </c>
    </row>
    <row r="20" spans="1:13" ht="28.5" hidden="1">
      <c r="A20" s="6">
        <v>19</v>
      </c>
      <c r="B20" s="13" t="s">
        <v>58</v>
      </c>
      <c r="C20" s="7" t="s">
        <v>59</v>
      </c>
      <c r="D20" s="8" t="s">
        <v>18</v>
      </c>
      <c r="E20" s="6">
        <v>15</v>
      </c>
      <c r="F20" s="10"/>
      <c r="G20" s="10"/>
      <c r="H20" s="13" t="s">
        <v>58</v>
      </c>
      <c r="I20" s="6" t="str">
        <f>VLOOKUP(H20,'[1]Summary-2'!$C$2:$D$116,2,0)</f>
        <v>2.4.1</v>
      </c>
      <c r="J20" s="11"/>
      <c r="K20" s="6"/>
      <c r="L20" s="6"/>
      <c r="M20" s="6"/>
    </row>
    <row r="21" spans="1:13" ht="71.25">
      <c r="A21" s="6">
        <v>20</v>
      </c>
      <c r="B21" s="13" t="s">
        <v>60</v>
      </c>
      <c r="C21" s="7" t="s">
        <v>61</v>
      </c>
      <c r="D21" s="8" t="s">
        <v>18</v>
      </c>
      <c r="E21" s="6">
        <v>15</v>
      </c>
      <c r="F21" s="15" t="s">
        <v>62</v>
      </c>
      <c r="G21" s="10" t="s">
        <v>63</v>
      </c>
      <c r="H21" s="13" t="s">
        <v>60</v>
      </c>
      <c r="I21" s="6" t="str">
        <f>VLOOKUP(H21,'[1]Summary-2'!$C$2:$D$116,2,0)</f>
        <v>2.4.2</v>
      </c>
      <c r="J21" s="6" t="s">
        <v>60</v>
      </c>
      <c r="K21" s="6">
        <v>5.3</v>
      </c>
      <c r="L21" s="6">
        <v>5.3</v>
      </c>
      <c r="M21" s="6" t="s">
        <v>64</v>
      </c>
    </row>
    <row r="22" spans="1:13" ht="71.25">
      <c r="A22" s="6">
        <v>21</v>
      </c>
      <c r="B22" s="13" t="s">
        <v>65</v>
      </c>
      <c r="C22" s="7" t="s">
        <v>66</v>
      </c>
      <c r="D22" s="8" t="s">
        <v>18</v>
      </c>
      <c r="E22" s="6">
        <v>10</v>
      </c>
      <c r="F22" s="15" t="s">
        <v>62</v>
      </c>
      <c r="G22" s="10" t="s">
        <v>63</v>
      </c>
      <c r="H22" s="13" t="s">
        <v>65</v>
      </c>
      <c r="I22" s="6" t="str">
        <f>VLOOKUP(H22,'[1]Summary-2'!$C$2:$D$116,2,0)</f>
        <v>2.4.3</v>
      </c>
      <c r="J22" s="6" t="s">
        <v>31</v>
      </c>
      <c r="K22" s="6">
        <v>5.3</v>
      </c>
      <c r="L22" s="6">
        <v>5.3</v>
      </c>
      <c r="M22" s="6" t="s">
        <v>64</v>
      </c>
    </row>
    <row r="23" spans="1:13" ht="114">
      <c r="A23" s="6">
        <v>22</v>
      </c>
      <c r="B23" s="13" t="s">
        <v>67</v>
      </c>
      <c r="C23" s="7" t="s">
        <v>68</v>
      </c>
      <c r="D23" s="8" t="s">
        <v>18</v>
      </c>
      <c r="E23" s="6">
        <v>10</v>
      </c>
      <c r="F23" s="10" t="s">
        <v>69</v>
      </c>
      <c r="G23" s="10" t="s">
        <v>63</v>
      </c>
      <c r="H23" s="13" t="s">
        <v>67</v>
      </c>
      <c r="I23" s="6" t="s">
        <v>31</v>
      </c>
      <c r="J23" s="6" t="s">
        <v>31</v>
      </c>
      <c r="K23" s="6" t="s">
        <v>31</v>
      </c>
      <c r="L23" s="6" t="s">
        <v>31</v>
      </c>
      <c r="M23" s="6" t="s">
        <v>31</v>
      </c>
    </row>
    <row r="24" spans="1:13" ht="85.5" hidden="1">
      <c r="A24" s="6">
        <v>23</v>
      </c>
      <c r="B24" s="13" t="s">
        <v>70</v>
      </c>
      <c r="C24" s="7" t="s">
        <v>71</v>
      </c>
      <c r="D24" s="8" t="s">
        <v>18</v>
      </c>
      <c r="E24" s="6">
        <v>15</v>
      </c>
      <c r="F24" s="10"/>
      <c r="G24" s="10"/>
      <c r="H24" s="13" t="s">
        <v>70</v>
      </c>
      <c r="I24" s="6" t="str">
        <f>VLOOKUP(H24,'[1]Summary-2'!$C$2:$D$116,2,0)</f>
        <v>2.5.1</v>
      </c>
      <c r="J24" s="11"/>
      <c r="K24" s="6"/>
      <c r="L24" s="6"/>
      <c r="M24" s="6"/>
    </row>
    <row r="25" spans="1:13" ht="85.5" hidden="1">
      <c r="A25" s="6">
        <v>24</v>
      </c>
      <c r="B25" s="13" t="s">
        <v>72</v>
      </c>
      <c r="C25" s="7" t="s">
        <v>73</v>
      </c>
      <c r="D25" s="8" t="s">
        <v>18</v>
      </c>
      <c r="E25" s="6">
        <v>10</v>
      </c>
      <c r="F25" s="10"/>
      <c r="G25" s="10"/>
      <c r="H25" s="13" t="s">
        <v>72</v>
      </c>
      <c r="I25" s="6" t="str">
        <f>VLOOKUP(H25,'[1]Summary-2'!$C$2:$D$116,2,0)</f>
        <v>2.5.2</v>
      </c>
      <c r="J25" s="11"/>
      <c r="K25" s="6"/>
      <c r="L25" s="6"/>
      <c r="M25" s="6"/>
    </row>
    <row r="26" spans="1:13" ht="57" hidden="1">
      <c r="A26" s="6">
        <v>25</v>
      </c>
      <c r="B26" s="13" t="s">
        <v>74</v>
      </c>
      <c r="C26" s="7" t="s">
        <v>75</v>
      </c>
      <c r="D26" s="8" t="s">
        <v>15</v>
      </c>
      <c r="E26" s="9">
        <v>10</v>
      </c>
      <c r="F26" s="10"/>
      <c r="G26" s="10"/>
      <c r="H26" s="13" t="s">
        <v>74</v>
      </c>
      <c r="I26" s="6" t="str">
        <f>VLOOKUP(H26,'[1]Summary-2'!$C$2:$D$116,2,0)</f>
        <v>2.5.3</v>
      </c>
      <c r="J26" s="11"/>
      <c r="K26" s="6"/>
      <c r="L26" s="6"/>
      <c r="M26" s="6"/>
    </row>
    <row r="27" spans="1:13" ht="114" hidden="1">
      <c r="A27" s="6">
        <v>26</v>
      </c>
      <c r="B27" s="13" t="s">
        <v>76</v>
      </c>
      <c r="C27" s="7" t="s">
        <v>77</v>
      </c>
      <c r="D27" s="8" t="s">
        <v>18</v>
      </c>
      <c r="E27" s="6">
        <v>5</v>
      </c>
      <c r="F27" s="10"/>
      <c r="G27" s="10"/>
      <c r="H27" s="13" t="s">
        <v>76</v>
      </c>
      <c r="I27" s="6">
        <f>VLOOKUP(H27,'[1]Summary-2'!$C$2:$D$116,2,0)</f>
        <v>0</v>
      </c>
      <c r="J27" s="11"/>
      <c r="K27" s="6"/>
      <c r="L27" s="6"/>
      <c r="M27" s="6"/>
    </row>
    <row r="28" spans="1:13" ht="57" hidden="1">
      <c r="A28" s="6">
        <v>27</v>
      </c>
      <c r="B28" s="13" t="s">
        <v>78</v>
      </c>
      <c r="C28" s="7" t="s">
        <v>79</v>
      </c>
      <c r="D28" s="8" t="s">
        <v>15</v>
      </c>
      <c r="E28" s="9">
        <v>10</v>
      </c>
      <c r="F28" s="10"/>
      <c r="G28" s="10"/>
      <c r="H28" s="13" t="s">
        <v>78</v>
      </c>
      <c r="I28" s="6" t="str">
        <f>VLOOKUP(H28,'[1]Summary-2'!$C$2:$D$116,2,0)</f>
        <v>2.6.1</v>
      </c>
      <c r="J28" s="11"/>
      <c r="K28" s="6"/>
      <c r="L28" s="6"/>
      <c r="M28" s="6"/>
    </row>
    <row r="29" spans="1:13" ht="28.5">
      <c r="A29" s="6">
        <v>28</v>
      </c>
      <c r="B29" s="13" t="s">
        <v>80</v>
      </c>
      <c r="C29" s="7" t="s">
        <v>81</v>
      </c>
      <c r="D29" s="8" t="s">
        <v>15</v>
      </c>
      <c r="E29" s="9">
        <v>10</v>
      </c>
      <c r="F29" s="10" t="s">
        <v>82</v>
      </c>
      <c r="G29" s="10" t="s">
        <v>30</v>
      </c>
      <c r="H29" s="13" t="s">
        <v>80</v>
      </c>
      <c r="I29" s="6" t="str">
        <f>VLOOKUP(H29,'[1]Summary-2'!$C$2:$D$116,2,0)</f>
        <v>2.6.2</v>
      </c>
      <c r="J29" s="6" t="s">
        <v>78</v>
      </c>
      <c r="K29" s="6">
        <v>3.3</v>
      </c>
      <c r="L29" s="6">
        <v>3.3</v>
      </c>
      <c r="M29" s="6" t="s">
        <v>31</v>
      </c>
    </row>
    <row r="30" spans="1:13" ht="128.25">
      <c r="A30" s="6">
        <v>29</v>
      </c>
      <c r="B30" s="13" t="s">
        <v>83</v>
      </c>
      <c r="C30" s="7" t="s">
        <v>84</v>
      </c>
      <c r="D30" s="8" t="s">
        <v>18</v>
      </c>
      <c r="E30" s="6">
        <v>10</v>
      </c>
      <c r="F30" s="10" t="s">
        <v>85</v>
      </c>
      <c r="G30" s="10" t="s">
        <v>30</v>
      </c>
      <c r="H30" s="13" t="s">
        <v>83</v>
      </c>
      <c r="I30" s="6" t="str">
        <f>VLOOKUP(H30,'[1]Summary-2'!$C$2:$D$116,2,0)</f>
        <v>2.6.3</v>
      </c>
      <c r="J30" s="6" t="s">
        <v>80</v>
      </c>
      <c r="K30" s="6">
        <v>7.1</v>
      </c>
      <c r="L30" s="6">
        <v>7.1</v>
      </c>
      <c r="M30" s="6" t="s">
        <v>86</v>
      </c>
    </row>
    <row r="31" spans="1:13" ht="28.5" hidden="1">
      <c r="A31" s="6">
        <v>30</v>
      </c>
      <c r="B31" s="13" t="s">
        <v>87</v>
      </c>
      <c r="C31" s="7" t="s">
        <v>88</v>
      </c>
      <c r="D31" s="8" t="s">
        <v>18</v>
      </c>
      <c r="E31" s="6">
        <v>30</v>
      </c>
      <c r="F31" s="10"/>
      <c r="G31" s="10"/>
      <c r="H31" s="13" t="s">
        <v>87</v>
      </c>
      <c r="I31" s="6" t="str">
        <f>VLOOKUP(H31,'[1]Summary-2'!$C$2:$D$116,2,0)</f>
        <v>2.7.1</v>
      </c>
      <c r="J31" s="11"/>
      <c r="K31" s="6"/>
      <c r="L31" s="6"/>
      <c r="M31" s="6"/>
    </row>
    <row r="32" spans="1:13" ht="42.75" hidden="1">
      <c r="A32" s="6">
        <v>31</v>
      </c>
      <c r="B32" s="13" t="s">
        <v>89</v>
      </c>
      <c r="C32" s="7" t="s">
        <v>90</v>
      </c>
      <c r="D32" s="8" t="s">
        <v>15</v>
      </c>
      <c r="E32" s="9">
        <v>2</v>
      </c>
      <c r="F32" s="10"/>
      <c r="G32" s="10"/>
      <c r="H32" s="13" t="s">
        <v>89</v>
      </c>
      <c r="I32" s="6" t="str">
        <f>VLOOKUP(H32,'[1]Summary-2'!$C$2:$D$116,2,0)</f>
        <v>3.1.1</v>
      </c>
      <c r="J32" s="11"/>
      <c r="K32" s="6"/>
      <c r="L32" s="6"/>
      <c r="M32" s="6"/>
    </row>
    <row r="33" spans="1:13" ht="85.5">
      <c r="A33" s="6">
        <v>32</v>
      </c>
      <c r="B33" s="13" t="s">
        <v>91</v>
      </c>
      <c r="C33" s="7" t="s">
        <v>92</v>
      </c>
      <c r="D33" s="8" t="s">
        <v>18</v>
      </c>
      <c r="E33" s="6">
        <v>3</v>
      </c>
      <c r="F33" s="15" t="s">
        <v>93</v>
      </c>
      <c r="G33" s="15" t="s">
        <v>94</v>
      </c>
      <c r="H33" s="13" t="s">
        <v>91</v>
      </c>
      <c r="I33" s="6" t="str">
        <f>VLOOKUP(H33,'[1]Summary-2'!$C$2:$D$116,2,0)</f>
        <v>3.1.2</v>
      </c>
      <c r="J33" s="6" t="s">
        <v>31</v>
      </c>
      <c r="K33" s="6" t="s">
        <v>31</v>
      </c>
      <c r="L33" s="6" t="s">
        <v>31</v>
      </c>
      <c r="M33" s="6" t="s">
        <v>31</v>
      </c>
    </row>
    <row r="34" spans="1:13" ht="99.75" hidden="1">
      <c r="A34" s="6">
        <v>33</v>
      </c>
      <c r="B34" s="13" t="s">
        <v>95</v>
      </c>
      <c r="C34" s="7" t="s">
        <v>96</v>
      </c>
      <c r="D34" s="8" t="s">
        <v>18</v>
      </c>
      <c r="E34" s="6">
        <v>3</v>
      </c>
      <c r="F34" s="10"/>
      <c r="G34" s="10"/>
      <c r="H34" s="13" t="s">
        <v>95</v>
      </c>
      <c r="I34" s="6" t="str">
        <f>VLOOKUP(H34,'[1]Summary-2'!$C$2:$D$116,2,0)</f>
        <v>3.1.3</v>
      </c>
      <c r="J34" s="11"/>
      <c r="K34" s="6"/>
      <c r="L34" s="6"/>
      <c r="M34" s="6"/>
    </row>
    <row r="35" spans="1:13" ht="99.75">
      <c r="A35" s="6">
        <v>34</v>
      </c>
      <c r="B35" s="13" t="s">
        <v>97</v>
      </c>
      <c r="C35" s="7" t="s">
        <v>98</v>
      </c>
      <c r="D35" s="8" t="s">
        <v>18</v>
      </c>
      <c r="E35" s="6">
        <v>4</v>
      </c>
      <c r="F35" s="10" t="s">
        <v>99</v>
      </c>
      <c r="G35" s="10" t="s">
        <v>100</v>
      </c>
      <c r="H35" s="13" t="s">
        <v>97</v>
      </c>
      <c r="I35" s="6" t="s">
        <v>31</v>
      </c>
      <c r="J35" s="6" t="s">
        <v>31</v>
      </c>
      <c r="K35" s="6" t="s">
        <v>101</v>
      </c>
      <c r="L35" s="6" t="s">
        <v>102</v>
      </c>
      <c r="M35" s="6" t="s">
        <v>31</v>
      </c>
    </row>
    <row r="36" spans="1:13" ht="156.75" hidden="1">
      <c r="A36" s="6">
        <v>35</v>
      </c>
      <c r="B36" s="13" t="s">
        <v>103</v>
      </c>
      <c r="C36" s="7" t="s">
        <v>104</v>
      </c>
      <c r="D36" s="8" t="s">
        <v>18</v>
      </c>
      <c r="E36" s="6">
        <v>3</v>
      </c>
      <c r="F36" s="10"/>
      <c r="G36" s="10"/>
      <c r="H36" s="13" t="s">
        <v>103</v>
      </c>
      <c r="I36" s="6">
        <f>VLOOKUP(H36,'[1]Summary-2'!$C$2:$D$116,2,0)</f>
        <v>0</v>
      </c>
      <c r="J36" s="11"/>
      <c r="K36" s="6"/>
      <c r="L36" s="6"/>
      <c r="M36" s="6"/>
    </row>
    <row r="37" spans="1:13" ht="99.75" hidden="1">
      <c r="A37" s="6">
        <v>36</v>
      </c>
      <c r="B37" s="13" t="s">
        <v>105</v>
      </c>
      <c r="C37" s="7" t="s">
        <v>106</v>
      </c>
      <c r="D37" s="8" t="s">
        <v>18</v>
      </c>
      <c r="E37" s="6">
        <v>5</v>
      </c>
      <c r="F37" s="10"/>
      <c r="G37" s="10"/>
      <c r="H37" s="13" t="s">
        <v>105</v>
      </c>
      <c r="I37" s="6">
        <f>VLOOKUP(H37,'[1]Summary-2'!$C$2:$D$116,2,0)</f>
        <v>0</v>
      </c>
      <c r="J37" s="11"/>
      <c r="K37" s="6"/>
      <c r="L37" s="6"/>
      <c r="M37" s="6"/>
    </row>
    <row r="38" spans="1:13" ht="128.25">
      <c r="A38" s="6">
        <v>37</v>
      </c>
      <c r="B38" s="13" t="s">
        <v>107</v>
      </c>
      <c r="C38" s="7" t="s">
        <v>108</v>
      </c>
      <c r="D38" s="8" t="s">
        <v>18</v>
      </c>
      <c r="E38" s="6">
        <v>5</v>
      </c>
      <c r="F38" s="10" t="s">
        <v>109</v>
      </c>
      <c r="G38" s="15" t="s">
        <v>94</v>
      </c>
      <c r="H38" s="13" t="s">
        <v>107</v>
      </c>
      <c r="I38" s="6" t="s">
        <v>31</v>
      </c>
      <c r="J38" s="16" t="s">
        <v>31</v>
      </c>
      <c r="K38" s="6" t="s">
        <v>31</v>
      </c>
      <c r="L38" s="6" t="s">
        <v>31</v>
      </c>
      <c r="M38" s="6" t="s">
        <v>31</v>
      </c>
    </row>
    <row r="39" spans="1:13" ht="71.25">
      <c r="A39" s="6">
        <v>38</v>
      </c>
      <c r="B39" s="13" t="s">
        <v>110</v>
      </c>
      <c r="C39" s="7" t="s">
        <v>111</v>
      </c>
      <c r="D39" s="8" t="s">
        <v>18</v>
      </c>
      <c r="E39" s="6">
        <v>10</v>
      </c>
      <c r="F39" s="10" t="s">
        <v>109</v>
      </c>
      <c r="G39" s="15" t="s">
        <v>94</v>
      </c>
      <c r="H39" s="13" t="s">
        <v>110</v>
      </c>
      <c r="I39" s="6" t="str">
        <f>VLOOKUP(H39,'[1]Summary-2'!$C$2:$D$116,2,0)</f>
        <v>3.2.1</v>
      </c>
      <c r="J39" s="6" t="s">
        <v>89</v>
      </c>
      <c r="K39" s="6" t="s">
        <v>31</v>
      </c>
      <c r="L39" s="6" t="s">
        <v>31</v>
      </c>
      <c r="M39" s="6" t="s">
        <v>112</v>
      </c>
    </row>
    <row r="40" spans="1:13" ht="114" hidden="1">
      <c r="A40" s="6">
        <v>39</v>
      </c>
      <c r="B40" s="13" t="s">
        <v>113</v>
      </c>
      <c r="C40" s="7" t="s">
        <v>114</v>
      </c>
      <c r="D40" s="8" t="s">
        <v>18</v>
      </c>
      <c r="E40" s="6">
        <v>5</v>
      </c>
      <c r="F40" s="10"/>
      <c r="G40" s="10"/>
      <c r="H40" s="13" t="s">
        <v>113</v>
      </c>
      <c r="I40" s="6" t="str">
        <f>VLOOKUP(H40,'[1]Summary-2'!$C$2:$D$116,2,0)</f>
        <v>3.2.2</v>
      </c>
      <c r="J40" s="11"/>
      <c r="K40" s="6"/>
      <c r="L40" s="6"/>
      <c r="M40" s="6"/>
    </row>
    <row r="41" spans="1:13" ht="42.75" hidden="1">
      <c r="A41" s="6">
        <v>40</v>
      </c>
      <c r="B41" s="13" t="s">
        <v>115</v>
      </c>
      <c r="C41" s="7" t="s">
        <v>116</v>
      </c>
      <c r="D41" s="8" t="s">
        <v>15</v>
      </c>
      <c r="E41" s="9">
        <v>10</v>
      </c>
      <c r="F41" s="10"/>
      <c r="G41" s="10"/>
      <c r="H41" s="13" t="s">
        <v>115</v>
      </c>
      <c r="I41" s="6">
        <f>VLOOKUP(H41,'[1]Summary-2'!$C$2:$D$116,2,0)</f>
        <v>0</v>
      </c>
      <c r="J41" s="11"/>
      <c r="K41" s="6"/>
      <c r="L41" s="6"/>
      <c r="M41" s="6"/>
    </row>
    <row r="42" spans="1:13" ht="99.75">
      <c r="A42" s="6">
        <v>41</v>
      </c>
      <c r="B42" s="13" t="s">
        <v>117</v>
      </c>
      <c r="C42" s="7" t="s">
        <v>118</v>
      </c>
      <c r="D42" s="8" t="s">
        <v>18</v>
      </c>
      <c r="E42" s="6">
        <v>10</v>
      </c>
      <c r="F42" s="10" t="s">
        <v>119</v>
      </c>
      <c r="G42" s="10" t="s">
        <v>120</v>
      </c>
      <c r="H42" s="13" t="s">
        <v>117</v>
      </c>
      <c r="I42" s="6" t="str">
        <f>VLOOKUP(H42,'[1]Summary-2'!$C$2:$D$116,2,0)</f>
        <v>3.3.2</v>
      </c>
      <c r="J42" s="6" t="s">
        <v>110</v>
      </c>
      <c r="K42" s="6" t="s">
        <v>31</v>
      </c>
      <c r="L42" s="6" t="s">
        <v>31</v>
      </c>
      <c r="M42" s="6" t="s">
        <v>31</v>
      </c>
    </row>
    <row r="43" spans="1:13" ht="99.75">
      <c r="A43" s="6">
        <v>42</v>
      </c>
      <c r="B43" s="13" t="s">
        <v>121</v>
      </c>
      <c r="C43" s="7" t="s">
        <v>122</v>
      </c>
      <c r="D43" s="8" t="s">
        <v>18</v>
      </c>
      <c r="E43" s="6">
        <v>10</v>
      </c>
      <c r="F43" s="10" t="s">
        <v>69</v>
      </c>
      <c r="G43" s="10" t="s">
        <v>63</v>
      </c>
      <c r="H43" s="13" t="s">
        <v>121</v>
      </c>
      <c r="I43" s="6" t="s">
        <v>31</v>
      </c>
      <c r="J43" s="6" t="s">
        <v>31</v>
      </c>
      <c r="K43" s="6" t="s">
        <v>31</v>
      </c>
      <c r="L43" s="6" t="s">
        <v>31</v>
      </c>
      <c r="M43" s="6" t="s">
        <v>31</v>
      </c>
    </row>
    <row r="44" spans="1:13" ht="156.75" hidden="1">
      <c r="A44" s="6">
        <v>43</v>
      </c>
      <c r="B44" s="13" t="s">
        <v>123</v>
      </c>
      <c r="C44" s="7" t="s">
        <v>124</v>
      </c>
      <c r="D44" s="8" t="s">
        <v>18</v>
      </c>
      <c r="E44" s="6">
        <v>5</v>
      </c>
      <c r="F44" s="10"/>
      <c r="G44" s="10"/>
      <c r="H44" s="13" t="s">
        <v>123</v>
      </c>
      <c r="I44" s="6" t="str">
        <f>VLOOKUP(H44,'[1]Summary-2'!$C$2:$D$116,2,0)</f>
        <v>3.4.1</v>
      </c>
      <c r="J44" s="11"/>
      <c r="K44" s="6"/>
      <c r="L44" s="6"/>
      <c r="M44" s="6"/>
    </row>
    <row r="45" spans="1:13" ht="85.5" hidden="1">
      <c r="A45" s="6">
        <v>44</v>
      </c>
      <c r="B45" s="13" t="s">
        <v>125</v>
      </c>
      <c r="C45" s="7" t="s">
        <v>126</v>
      </c>
      <c r="D45" s="8" t="s">
        <v>18</v>
      </c>
      <c r="E45" s="6">
        <v>5</v>
      </c>
      <c r="F45" s="10"/>
      <c r="G45" s="10"/>
      <c r="H45" s="13" t="s">
        <v>125</v>
      </c>
      <c r="I45" s="6">
        <f>VLOOKUP(H45,'[1]Summary-2'!$C$2:$D$116,2,0)</f>
        <v>0</v>
      </c>
      <c r="J45" s="11"/>
      <c r="K45" s="6"/>
      <c r="L45" s="6"/>
      <c r="M45" s="6"/>
    </row>
    <row r="46" spans="1:13" ht="57">
      <c r="A46" s="6">
        <v>45</v>
      </c>
      <c r="B46" s="13" t="s">
        <v>127</v>
      </c>
      <c r="C46" s="7" t="s">
        <v>128</v>
      </c>
      <c r="D46" s="8" t="s">
        <v>18</v>
      </c>
      <c r="E46" s="6">
        <v>10</v>
      </c>
      <c r="F46" s="10" t="s">
        <v>129</v>
      </c>
      <c r="G46" s="10" t="s">
        <v>100</v>
      </c>
      <c r="H46" s="13" t="s">
        <v>127</v>
      </c>
      <c r="I46" s="6" t="s">
        <v>31</v>
      </c>
      <c r="J46" s="6" t="s">
        <v>31</v>
      </c>
      <c r="K46" s="6" t="s">
        <v>101</v>
      </c>
      <c r="L46" s="6" t="s">
        <v>102</v>
      </c>
      <c r="M46" s="6" t="s">
        <v>112</v>
      </c>
    </row>
    <row r="47" spans="1:13" ht="71.25">
      <c r="A47" s="6">
        <v>46</v>
      </c>
      <c r="B47" s="13" t="s">
        <v>130</v>
      </c>
      <c r="C47" s="17" t="s">
        <v>131</v>
      </c>
      <c r="D47" s="8" t="s">
        <v>18</v>
      </c>
      <c r="E47" s="6">
        <v>10</v>
      </c>
      <c r="F47" s="10" t="s">
        <v>132</v>
      </c>
      <c r="G47" s="10" t="s">
        <v>100</v>
      </c>
      <c r="H47" s="13" t="s">
        <v>130</v>
      </c>
      <c r="I47" s="6" t="s">
        <v>31</v>
      </c>
      <c r="J47" s="6" t="s">
        <v>31</v>
      </c>
      <c r="K47" s="6" t="s">
        <v>101</v>
      </c>
      <c r="L47" s="6" t="s">
        <v>102</v>
      </c>
      <c r="M47" s="6" t="s">
        <v>133</v>
      </c>
    </row>
    <row r="48" spans="1:13" ht="71.25">
      <c r="A48" s="6">
        <v>47</v>
      </c>
      <c r="B48" s="13" t="s">
        <v>134</v>
      </c>
      <c r="C48" s="7" t="s">
        <v>135</v>
      </c>
      <c r="D48" s="8" t="s">
        <v>18</v>
      </c>
      <c r="E48" s="6">
        <v>15</v>
      </c>
      <c r="F48" s="10" t="s">
        <v>136</v>
      </c>
      <c r="G48" s="10" t="s">
        <v>100</v>
      </c>
      <c r="H48" s="13" t="s">
        <v>134</v>
      </c>
      <c r="I48" s="6" t="str">
        <f>VLOOKUP(H48,'[1]Summary-2'!$C$2:$D$116,2,0)</f>
        <v>3.4.3</v>
      </c>
      <c r="J48" s="6" t="s">
        <v>115</v>
      </c>
      <c r="K48" s="6" t="s">
        <v>101</v>
      </c>
      <c r="L48" s="6" t="s">
        <v>102</v>
      </c>
      <c r="M48" s="6" t="s">
        <v>112</v>
      </c>
    </row>
    <row r="49" spans="1:13" ht="85.5">
      <c r="A49" s="6">
        <v>48</v>
      </c>
      <c r="B49" s="13" t="s">
        <v>137</v>
      </c>
      <c r="C49" s="7" t="s">
        <v>138</v>
      </c>
      <c r="D49" s="8" t="s">
        <v>18</v>
      </c>
      <c r="E49" s="6">
        <v>15</v>
      </c>
      <c r="F49" s="10" t="s">
        <v>139</v>
      </c>
      <c r="G49" s="10" t="s">
        <v>100</v>
      </c>
      <c r="H49" s="13" t="s">
        <v>137</v>
      </c>
      <c r="I49" s="6" t="str">
        <f>VLOOKUP(H49,'[1]Summary-2'!$C$2:$D$116,2,0)</f>
        <v>3.4.4</v>
      </c>
      <c r="J49" s="6" t="s">
        <v>117</v>
      </c>
      <c r="K49" s="6" t="s">
        <v>101</v>
      </c>
      <c r="L49" s="6" t="s">
        <v>102</v>
      </c>
      <c r="M49" s="6" t="s">
        <v>112</v>
      </c>
    </row>
    <row r="50" spans="1:13" ht="99.75">
      <c r="A50" s="6">
        <v>49</v>
      </c>
      <c r="B50" s="13" t="s">
        <v>140</v>
      </c>
      <c r="C50" s="7" t="s">
        <v>141</v>
      </c>
      <c r="D50" s="8" t="s">
        <v>18</v>
      </c>
      <c r="E50" s="6">
        <v>10</v>
      </c>
      <c r="F50" s="10" t="s">
        <v>142</v>
      </c>
      <c r="G50" s="10" t="s">
        <v>30</v>
      </c>
      <c r="H50" s="13" t="s">
        <v>140</v>
      </c>
      <c r="I50" s="6" t="s">
        <v>31</v>
      </c>
      <c r="J50" s="6" t="s">
        <v>31</v>
      </c>
      <c r="K50" s="6" t="s">
        <v>143</v>
      </c>
      <c r="L50" s="6" t="s">
        <v>144</v>
      </c>
      <c r="M50" s="6" t="s">
        <v>31</v>
      </c>
    </row>
    <row r="51" spans="1:13" ht="28.5">
      <c r="A51" s="6">
        <v>50</v>
      </c>
      <c r="B51" s="6" t="s">
        <v>145</v>
      </c>
      <c r="C51" s="7" t="s">
        <v>146</v>
      </c>
      <c r="D51" s="8" t="s">
        <v>18</v>
      </c>
      <c r="E51" s="6">
        <v>15</v>
      </c>
      <c r="F51" s="10" t="s">
        <v>147</v>
      </c>
      <c r="G51" s="10" t="s">
        <v>100</v>
      </c>
      <c r="H51" s="6" t="s">
        <v>145</v>
      </c>
      <c r="I51" s="6" t="str">
        <f>VLOOKUP(H51,'[1]Summary-2'!$C$2:$D$116,2,0)</f>
        <v>3.4.5</v>
      </c>
      <c r="J51" s="6" t="s">
        <v>31</v>
      </c>
      <c r="K51" s="6" t="s">
        <v>101</v>
      </c>
      <c r="L51" s="6" t="s">
        <v>102</v>
      </c>
      <c r="M51" s="6" t="s">
        <v>148</v>
      </c>
    </row>
    <row r="52" spans="1:13" ht="28.5">
      <c r="A52" s="6">
        <v>51</v>
      </c>
      <c r="B52" s="6" t="s">
        <v>149</v>
      </c>
      <c r="C52" s="7" t="s">
        <v>150</v>
      </c>
      <c r="D52" s="8" t="s">
        <v>18</v>
      </c>
      <c r="E52" s="6">
        <v>15</v>
      </c>
      <c r="F52" s="10" t="s">
        <v>151</v>
      </c>
      <c r="G52" s="10" t="s">
        <v>100</v>
      </c>
      <c r="H52" s="6" t="s">
        <v>149</v>
      </c>
      <c r="I52" s="6" t="str">
        <f>VLOOKUP(H52,'[1]Summary-2'!$C$2:$D$116,2,0)</f>
        <v>3.4.6</v>
      </c>
      <c r="J52" s="6" t="s">
        <v>31</v>
      </c>
      <c r="K52" s="6" t="s">
        <v>101</v>
      </c>
      <c r="L52" s="6" t="s">
        <v>102</v>
      </c>
      <c r="M52" s="6" t="s">
        <v>31</v>
      </c>
    </row>
    <row r="53" spans="1:13" ht="42.75" hidden="1">
      <c r="A53" s="6">
        <v>52</v>
      </c>
      <c r="B53" s="6" t="s">
        <v>152</v>
      </c>
      <c r="C53" s="7" t="s">
        <v>153</v>
      </c>
      <c r="D53" s="8" t="s">
        <v>15</v>
      </c>
      <c r="E53" s="9">
        <v>5</v>
      </c>
      <c r="F53" s="10"/>
      <c r="G53" s="10"/>
      <c r="H53" s="6" t="s">
        <v>152</v>
      </c>
      <c r="I53" s="6">
        <f>VLOOKUP(H53,'[1]Summary-2'!$C$2:$D$116,2,0)</f>
        <v>0</v>
      </c>
      <c r="J53" s="11"/>
      <c r="K53" s="6"/>
      <c r="L53" s="6"/>
      <c r="M53" s="6"/>
    </row>
    <row r="54" spans="1:13" ht="71.25">
      <c r="A54" s="6">
        <v>53</v>
      </c>
      <c r="B54" s="13" t="s">
        <v>154</v>
      </c>
      <c r="C54" s="7" t="s">
        <v>155</v>
      </c>
      <c r="D54" s="8" t="s">
        <v>18</v>
      </c>
      <c r="E54" s="6">
        <v>15</v>
      </c>
      <c r="F54" s="10" t="s">
        <v>156</v>
      </c>
      <c r="G54" s="10" t="s">
        <v>157</v>
      </c>
      <c r="H54" s="13" t="s">
        <v>154</v>
      </c>
      <c r="I54" s="6" t="str">
        <f>VLOOKUP(H54,'[1]Summary-2'!$C$2:$D$116,2,0)</f>
        <v>3.5.1</v>
      </c>
      <c r="J54" s="6" t="s">
        <v>31</v>
      </c>
      <c r="K54" s="6" t="s">
        <v>158</v>
      </c>
      <c r="L54" s="6" t="s">
        <v>159</v>
      </c>
      <c r="M54" s="6" t="s">
        <v>31</v>
      </c>
    </row>
    <row r="55" spans="1:13" ht="42.75" hidden="1">
      <c r="A55" s="6">
        <v>54</v>
      </c>
      <c r="B55" s="6" t="s">
        <v>160</v>
      </c>
      <c r="C55" s="7" t="s">
        <v>161</v>
      </c>
      <c r="D55" s="8" t="s">
        <v>15</v>
      </c>
      <c r="E55" s="9">
        <v>6</v>
      </c>
      <c r="F55" s="10"/>
      <c r="G55" s="10"/>
      <c r="H55" s="6" t="s">
        <v>160</v>
      </c>
      <c r="I55" s="6" t="str">
        <f>VLOOKUP(H55,'[1]Summary-2'!$C$2:$D$116,2,0)</f>
        <v>3.6.1</v>
      </c>
      <c r="J55" s="11"/>
      <c r="K55" s="6"/>
      <c r="L55" s="6"/>
      <c r="M55" s="6"/>
    </row>
    <row r="56" spans="1:13" ht="99.75" hidden="1">
      <c r="A56" s="6">
        <v>55</v>
      </c>
      <c r="B56" s="6" t="s">
        <v>162</v>
      </c>
      <c r="C56" s="7" t="s">
        <v>163</v>
      </c>
      <c r="D56" s="8" t="s">
        <v>18</v>
      </c>
      <c r="E56" s="6">
        <v>10</v>
      </c>
      <c r="F56" s="10"/>
      <c r="G56" s="10"/>
      <c r="H56" s="6" t="s">
        <v>162</v>
      </c>
      <c r="I56" s="6" t="str">
        <f>VLOOKUP(H56,'[1]Summary-2'!$C$2:$D$116,2,0)</f>
        <v>3.6.2</v>
      </c>
      <c r="J56" s="11"/>
      <c r="K56" s="6"/>
      <c r="L56" s="6"/>
      <c r="M56" s="6"/>
    </row>
    <row r="57" spans="1:13" ht="128.25" hidden="1">
      <c r="A57" s="6">
        <v>56</v>
      </c>
      <c r="B57" s="6" t="s">
        <v>164</v>
      </c>
      <c r="C57" s="7" t="s">
        <v>165</v>
      </c>
      <c r="D57" s="8" t="s">
        <v>18</v>
      </c>
      <c r="E57" s="6">
        <v>12</v>
      </c>
      <c r="F57" s="10"/>
      <c r="G57" s="10"/>
      <c r="H57" s="6" t="s">
        <v>164</v>
      </c>
      <c r="I57" s="6" t="str">
        <f>VLOOKUP(H57,'[1]Summary-2'!$C$2:$D$116,2,0)</f>
        <v>3.6.3</v>
      </c>
      <c r="J57" s="11"/>
      <c r="K57" s="6"/>
      <c r="L57" s="6"/>
      <c r="M57" s="6"/>
    </row>
    <row r="58" spans="1:13" ht="71.25" hidden="1">
      <c r="A58" s="6">
        <v>57</v>
      </c>
      <c r="B58" s="6" t="s">
        <v>166</v>
      </c>
      <c r="C58" s="7" t="s">
        <v>167</v>
      </c>
      <c r="D58" s="8" t="s">
        <v>18</v>
      </c>
      <c r="E58" s="6">
        <v>12</v>
      </c>
      <c r="F58" s="10"/>
      <c r="G58" s="10"/>
      <c r="H58" s="6" t="s">
        <v>166</v>
      </c>
      <c r="I58" s="6" t="str">
        <f>VLOOKUP(H58,'[1]Summary-2'!$C$2:$D$116,2,0)</f>
        <v>3.6.4</v>
      </c>
      <c r="J58" s="11"/>
      <c r="K58" s="6"/>
      <c r="L58" s="6"/>
      <c r="M58" s="6"/>
    </row>
    <row r="59" spans="1:13" ht="99.75">
      <c r="A59" s="6">
        <v>58</v>
      </c>
      <c r="B59" s="6" t="s">
        <v>168</v>
      </c>
      <c r="C59" s="7" t="s">
        <v>169</v>
      </c>
      <c r="D59" s="8" t="s">
        <v>18</v>
      </c>
      <c r="E59" s="6">
        <v>10</v>
      </c>
      <c r="F59" s="10" t="s">
        <v>170</v>
      </c>
      <c r="G59" s="10" t="s">
        <v>100</v>
      </c>
      <c r="H59" s="6" t="s">
        <v>168</v>
      </c>
      <c r="I59" s="6" t="str">
        <f>VLOOKUP(H59,'[1]Summary-2'!$C$2:$D$116,2,0)</f>
        <v>3.7.1</v>
      </c>
      <c r="J59" s="6" t="s">
        <v>152</v>
      </c>
      <c r="K59" s="6" t="s">
        <v>101</v>
      </c>
      <c r="L59" s="6" t="s">
        <v>102</v>
      </c>
      <c r="M59" s="6" t="s">
        <v>31</v>
      </c>
    </row>
    <row r="60" spans="1:13" ht="99.75" hidden="1">
      <c r="A60" s="6">
        <v>59</v>
      </c>
      <c r="B60" s="6" t="s">
        <v>171</v>
      </c>
      <c r="C60" s="7" t="s">
        <v>172</v>
      </c>
      <c r="D60" s="8" t="s">
        <v>18</v>
      </c>
      <c r="E60" s="6">
        <v>10</v>
      </c>
      <c r="F60" s="10"/>
      <c r="G60" s="10"/>
      <c r="H60" s="6" t="s">
        <v>171</v>
      </c>
      <c r="I60" s="6" t="str">
        <f>VLOOKUP(H60,'[1]Summary-2'!$C$2:$D$116,2,0)</f>
        <v>3.7.2</v>
      </c>
      <c r="J60" s="11"/>
      <c r="K60" s="6"/>
      <c r="L60" s="6"/>
      <c r="M60" s="6"/>
    </row>
    <row r="61" spans="1:13" ht="28.5" hidden="1">
      <c r="A61" s="6">
        <v>60</v>
      </c>
      <c r="B61" s="13" t="s">
        <v>173</v>
      </c>
      <c r="C61" s="7" t="s">
        <v>174</v>
      </c>
      <c r="D61" s="8" t="s">
        <v>15</v>
      </c>
      <c r="E61" s="9">
        <v>10</v>
      </c>
      <c r="F61" s="10"/>
      <c r="G61" s="10"/>
      <c r="H61" s="13" t="s">
        <v>173</v>
      </c>
      <c r="I61" s="6" t="str">
        <f>VLOOKUP(H61,'[1]Summary-2'!$C$2:$D$116,2,0)</f>
        <v>4.1.1</v>
      </c>
      <c r="J61" s="11"/>
      <c r="K61" s="6"/>
      <c r="L61" s="6"/>
      <c r="M61" s="6"/>
    </row>
    <row r="62" spans="1:13" ht="42.75" hidden="1">
      <c r="A62" s="6">
        <v>61</v>
      </c>
      <c r="B62" s="13" t="s">
        <v>175</v>
      </c>
      <c r="C62" s="7" t="s">
        <v>176</v>
      </c>
      <c r="D62" s="8" t="s">
        <v>15</v>
      </c>
      <c r="E62" s="9">
        <v>5</v>
      </c>
      <c r="F62" s="10"/>
      <c r="G62" s="10"/>
      <c r="H62" s="13" t="s">
        <v>175</v>
      </c>
      <c r="I62" s="6" t="str">
        <f>VLOOKUP(H62,'[1]Summary-2'!$C$2:$D$116,2,0)</f>
        <v>4.1.2</v>
      </c>
      <c r="J62" s="11"/>
      <c r="K62" s="6"/>
      <c r="L62" s="6"/>
      <c r="M62" s="6"/>
    </row>
    <row r="63" spans="1:13" ht="15" hidden="1">
      <c r="A63" s="6">
        <v>62</v>
      </c>
      <c r="B63" s="13" t="s">
        <v>177</v>
      </c>
      <c r="C63" s="7" t="s">
        <v>178</v>
      </c>
      <c r="D63" s="8" t="s">
        <v>15</v>
      </c>
      <c r="E63" s="9">
        <v>5</v>
      </c>
      <c r="F63" s="10"/>
      <c r="G63" s="10"/>
      <c r="H63" s="13" t="s">
        <v>177</v>
      </c>
      <c r="I63" s="6">
        <f>VLOOKUP(H63,'[1]Summary-2'!$C$2:$D$116,2,0)</f>
        <v>0</v>
      </c>
      <c r="J63" s="11"/>
      <c r="K63" s="6"/>
      <c r="L63" s="6"/>
      <c r="M63" s="6"/>
    </row>
    <row r="64" spans="1:13" ht="85.5" hidden="1">
      <c r="A64" s="6">
        <v>63</v>
      </c>
      <c r="B64" s="13" t="s">
        <v>179</v>
      </c>
      <c r="C64" s="7" t="s">
        <v>180</v>
      </c>
      <c r="D64" s="8" t="s">
        <v>18</v>
      </c>
      <c r="E64" s="6">
        <v>10</v>
      </c>
      <c r="F64" s="10"/>
      <c r="G64" s="10"/>
      <c r="H64" s="13" t="s">
        <v>179</v>
      </c>
      <c r="I64" s="6" t="str">
        <f>VLOOKUP(H64,'[1]Summary-2'!$C$2:$D$116,2,0)</f>
        <v>4.1.4</v>
      </c>
      <c r="J64" s="11"/>
      <c r="K64" s="6"/>
      <c r="L64" s="6"/>
      <c r="M64" s="6"/>
    </row>
    <row r="65" spans="1:13" ht="28.5" hidden="1">
      <c r="A65" s="6">
        <v>64</v>
      </c>
      <c r="B65" s="13" t="s">
        <v>181</v>
      </c>
      <c r="C65" s="7" t="s">
        <v>182</v>
      </c>
      <c r="D65" s="8" t="s">
        <v>15</v>
      </c>
      <c r="E65" s="9">
        <v>4</v>
      </c>
      <c r="F65" s="10"/>
      <c r="G65" s="10"/>
      <c r="H65" s="13" t="s">
        <v>181</v>
      </c>
      <c r="I65" s="6" t="str">
        <f>VLOOKUP(H65,'[1]Summary-2'!$C$2:$D$116,2,0)</f>
        <v>4.2.1</v>
      </c>
      <c r="J65" s="11"/>
      <c r="K65" s="6"/>
      <c r="L65" s="6"/>
      <c r="M65" s="6"/>
    </row>
    <row r="66" spans="1:13" ht="99.75" hidden="1">
      <c r="A66" s="6">
        <v>65</v>
      </c>
      <c r="B66" s="13" t="s">
        <v>183</v>
      </c>
      <c r="C66" s="7" t="s">
        <v>184</v>
      </c>
      <c r="D66" s="8" t="s">
        <v>18</v>
      </c>
      <c r="E66" s="6">
        <v>6</v>
      </c>
      <c r="F66" s="10"/>
      <c r="G66" s="10"/>
      <c r="H66" s="13" t="s">
        <v>183</v>
      </c>
      <c r="I66" s="6" t="str">
        <f>VLOOKUP(H66,'[1]Summary-2'!$C$2:$D$116,2,0)</f>
        <v>4.2.2</v>
      </c>
      <c r="J66" s="11"/>
      <c r="K66" s="6"/>
      <c r="L66" s="6"/>
      <c r="M66" s="6"/>
    </row>
    <row r="67" spans="1:13" ht="85.5" hidden="1">
      <c r="A67" s="6">
        <v>66</v>
      </c>
      <c r="B67" s="13" t="s">
        <v>185</v>
      </c>
      <c r="C67" s="7" t="s">
        <v>186</v>
      </c>
      <c r="D67" s="8" t="s">
        <v>18</v>
      </c>
      <c r="E67" s="6">
        <v>5</v>
      </c>
      <c r="F67" s="10"/>
      <c r="G67" s="10"/>
      <c r="H67" s="13" t="s">
        <v>185</v>
      </c>
      <c r="I67" s="6" t="str">
        <f>VLOOKUP(H67,'[1]Summary-2'!$C$2:$D$116,2,0)</f>
        <v>4.2.3</v>
      </c>
      <c r="J67" s="11"/>
      <c r="K67" s="6"/>
      <c r="L67" s="6"/>
      <c r="M67" s="6"/>
    </row>
    <row r="68" spans="1:13" ht="85.5" hidden="1">
      <c r="A68" s="6">
        <v>67</v>
      </c>
      <c r="B68" s="13" t="s">
        <v>187</v>
      </c>
      <c r="C68" s="7" t="s">
        <v>188</v>
      </c>
      <c r="D68" s="8" t="s">
        <v>18</v>
      </c>
      <c r="E68" s="6">
        <v>5</v>
      </c>
      <c r="F68" s="10"/>
      <c r="G68" s="10"/>
      <c r="H68" s="13" t="s">
        <v>187</v>
      </c>
      <c r="I68" s="6" t="str">
        <f>VLOOKUP(H68,'[1]Summary-2'!$C$2:$D$116,2,0)</f>
        <v>4.2.4</v>
      </c>
      <c r="J68" s="11"/>
      <c r="K68" s="6"/>
      <c r="L68" s="6"/>
      <c r="M68" s="6"/>
    </row>
    <row r="69" spans="1:13" ht="85.5" hidden="1">
      <c r="A69" s="6">
        <v>68</v>
      </c>
      <c r="B69" s="13" t="s">
        <v>189</v>
      </c>
      <c r="C69" s="7" t="s">
        <v>190</v>
      </c>
      <c r="D69" s="8" t="s">
        <v>18</v>
      </c>
      <c r="E69" s="6">
        <v>5</v>
      </c>
      <c r="F69" s="10"/>
      <c r="G69" s="10"/>
      <c r="H69" s="13" t="s">
        <v>189</v>
      </c>
      <c r="I69" s="6" t="str">
        <f>VLOOKUP(H69,'[1]Summary-2'!$C$2:$D$116,2,0)</f>
        <v>4.1.3</v>
      </c>
      <c r="J69" s="11"/>
      <c r="K69" s="6"/>
      <c r="L69" s="6"/>
      <c r="M69" s="6"/>
    </row>
    <row r="70" spans="1:13" ht="28.5" hidden="1">
      <c r="A70" s="6">
        <v>69</v>
      </c>
      <c r="B70" s="13" t="s">
        <v>191</v>
      </c>
      <c r="C70" s="7" t="s">
        <v>192</v>
      </c>
      <c r="D70" s="8" t="s">
        <v>18</v>
      </c>
      <c r="E70" s="9">
        <v>5</v>
      </c>
      <c r="F70" s="10"/>
      <c r="G70" s="10"/>
      <c r="H70" s="13" t="s">
        <v>191</v>
      </c>
      <c r="I70" s="6" t="str">
        <f>VLOOKUP(H70,'[1]Summary-2'!$C$2:$D$116,2,0)</f>
        <v>4.3.1</v>
      </c>
      <c r="J70" s="11"/>
      <c r="K70" s="6"/>
      <c r="L70" s="6"/>
      <c r="M70" s="6"/>
    </row>
    <row r="71" spans="1:13" ht="71.25" hidden="1">
      <c r="A71" s="6">
        <v>70</v>
      </c>
      <c r="B71" s="13" t="s">
        <v>193</v>
      </c>
      <c r="C71" s="7" t="s">
        <v>194</v>
      </c>
      <c r="D71" s="8" t="s">
        <v>18</v>
      </c>
      <c r="E71" s="6">
        <v>10</v>
      </c>
      <c r="F71" s="10"/>
      <c r="G71" s="10"/>
      <c r="H71" s="13" t="s">
        <v>193</v>
      </c>
      <c r="I71" s="6" t="str">
        <f>VLOOKUP(H71,'[1]Summary-2'!$C$2:$D$116,2,0)</f>
        <v>4.3.2</v>
      </c>
      <c r="J71" s="11"/>
      <c r="K71" s="6"/>
      <c r="L71" s="6"/>
      <c r="M71" s="6"/>
    </row>
    <row r="72" spans="1:13" ht="99.75" hidden="1">
      <c r="A72" s="6">
        <v>71</v>
      </c>
      <c r="B72" s="13" t="s">
        <v>195</v>
      </c>
      <c r="C72" s="7" t="s">
        <v>196</v>
      </c>
      <c r="D72" s="8" t="s">
        <v>18</v>
      </c>
      <c r="E72" s="6">
        <v>5</v>
      </c>
      <c r="F72" s="10"/>
      <c r="G72" s="10"/>
      <c r="H72" s="13" t="s">
        <v>195</v>
      </c>
      <c r="I72" s="6" t="str">
        <f>VLOOKUP(H72,'[1]Summary-2'!$C$2:$D$116,2,0)</f>
        <v>4.3.3</v>
      </c>
      <c r="J72" s="11"/>
      <c r="K72" s="6"/>
      <c r="L72" s="6"/>
      <c r="M72" s="6"/>
    </row>
    <row r="73" spans="1:13" ht="71.25" hidden="1">
      <c r="A73" s="6">
        <v>72</v>
      </c>
      <c r="B73" s="13" t="s">
        <v>197</v>
      </c>
      <c r="C73" s="7" t="s">
        <v>198</v>
      </c>
      <c r="D73" s="8" t="s">
        <v>18</v>
      </c>
      <c r="E73" s="6">
        <v>5</v>
      </c>
      <c r="F73" s="10"/>
      <c r="G73" s="10"/>
      <c r="H73" s="13" t="s">
        <v>197</v>
      </c>
      <c r="I73" s="6" t="str">
        <f>VLOOKUP(H73,'[1]Summary-2'!$C$2:$D$116,2,0)</f>
        <v>4.3.4</v>
      </c>
      <c r="J73" s="11"/>
      <c r="K73" s="6"/>
      <c r="L73" s="6"/>
      <c r="M73" s="6"/>
    </row>
    <row r="74" spans="1:13" ht="99.75" hidden="1">
      <c r="A74" s="6">
        <v>73</v>
      </c>
      <c r="B74" s="13" t="s">
        <v>199</v>
      </c>
      <c r="C74" s="7" t="s">
        <v>200</v>
      </c>
      <c r="D74" s="8" t="s">
        <v>18</v>
      </c>
      <c r="E74" s="6">
        <v>10</v>
      </c>
      <c r="F74" s="10"/>
      <c r="G74" s="10"/>
      <c r="H74" s="13" t="s">
        <v>199</v>
      </c>
      <c r="I74" s="6" t="str">
        <f>VLOOKUP(H74,'[1]Summary-2'!$C$2:$D$116,2,0)</f>
        <v>4.4.1</v>
      </c>
      <c r="J74" s="11"/>
      <c r="K74" s="6"/>
      <c r="L74" s="6"/>
      <c r="M74" s="6"/>
    </row>
    <row r="75" spans="1:13" ht="42.75" hidden="1">
      <c r="A75" s="6">
        <v>74</v>
      </c>
      <c r="B75" s="13" t="s">
        <v>201</v>
      </c>
      <c r="C75" s="7" t="s">
        <v>202</v>
      </c>
      <c r="D75" s="8" t="s">
        <v>15</v>
      </c>
      <c r="E75" s="9">
        <v>10</v>
      </c>
      <c r="F75" s="10"/>
      <c r="G75" s="10"/>
      <c r="H75" s="13" t="s">
        <v>201</v>
      </c>
      <c r="I75" s="6" t="str">
        <f>VLOOKUP(H75,'[1]Summary-2'!$C$2:$D$116,2,0)</f>
        <v>4.4.2</v>
      </c>
      <c r="J75" s="11"/>
      <c r="K75" s="6"/>
      <c r="L75" s="6"/>
      <c r="M75" s="6"/>
    </row>
    <row r="76" spans="1:13" ht="142.5" hidden="1">
      <c r="A76" s="6">
        <v>75</v>
      </c>
      <c r="B76" s="6" t="s">
        <v>203</v>
      </c>
      <c r="C76" s="18" t="s">
        <v>204</v>
      </c>
      <c r="D76" s="8" t="s">
        <v>18</v>
      </c>
      <c r="E76" s="6">
        <v>10</v>
      </c>
      <c r="F76" s="10"/>
      <c r="G76" s="10"/>
      <c r="H76" s="6" t="s">
        <v>203</v>
      </c>
      <c r="I76" s="6" t="str">
        <f>VLOOKUP(H76,'[1]Summary-2'!$C$2:$D$116,2,0)</f>
        <v>5.1.1</v>
      </c>
      <c r="J76" s="11"/>
      <c r="K76" s="6"/>
      <c r="L76" s="6"/>
      <c r="M76" s="6"/>
    </row>
    <row r="77" spans="1:13" ht="99.75" hidden="1">
      <c r="A77" s="6">
        <v>76</v>
      </c>
      <c r="B77" s="6" t="s">
        <v>205</v>
      </c>
      <c r="C77" s="7" t="s">
        <v>206</v>
      </c>
      <c r="D77" s="8" t="s">
        <v>18</v>
      </c>
      <c r="E77" s="6">
        <v>10</v>
      </c>
      <c r="F77" s="10"/>
      <c r="G77" s="10"/>
      <c r="H77" s="6" t="s">
        <v>205</v>
      </c>
      <c r="I77" s="6" t="str">
        <f>VLOOKUP(H77,'[1]Summary-2'!$C$2:$D$116,2,0)</f>
        <v>5.1.4</v>
      </c>
      <c r="J77" s="11"/>
      <c r="K77" s="6"/>
      <c r="L77" s="6"/>
      <c r="M77" s="6"/>
    </row>
    <row r="78" spans="1:13" ht="85.5" hidden="1">
      <c r="A78" s="6">
        <v>77</v>
      </c>
      <c r="B78" s="6" t="s">
        <v>207</v>
      </c>
      <c r="C78" s="7" t="s">
        <v>208</v>
      </c>
      <c r="D78" s="8" t="s">
        <v>18</v>
      </c>
      <c r="E78" s="6">
        <v>5</v>
      </c>
      <c r="F78" s="10"/>
      <c r="G78" s="10"/>
      <c r="H78" s="6" t="s">
        <v>207</v>
      </c>
      <c r="I78" s="6" t="str">
        <f>VLOOKUP(H78,'[1]Summary-2'!$C$2:$D$116,2,0)</f>
        <v>5.1.3</v>
      </c>
      <c r="J78" s="11"/>
      <c r="K78" s="6"/>
      <c r="L78" s="6"/>
      <c r="M78" s="6"/>
    </row>
    <row r="79" spans="1:13" ht="114" hidden="1">
      <c r="A79" s="6">
        <v>78</v>
      </c>
      <c r="B79" s="6" t="s">
        <v>209</v>
      </c>
      <c r="C79" s="7" t="s">
        <v>210</v>
      </c>
      <c r="D79" s="8" t="s">
        <v>18</v>
      </c>
      <c r="E79" s="6">
        <v>5</v>
      </c>
      <c r="F79" s="10"/>
      <c r="G79" s="10"/>
      <c r="H79" s="6" t="s">
        <v>209</v>
      </c>
      <c r="I79" s="6" t="str">
        <f>VLOOKUP(H79,'[1]Summary-2'!$C$2:$D$116,2,0)</f>
        <v>5.1.5</v>
      </c>
      <c r="J79" s="11"/>
      <c r="K79" s="6"/>
      <c r="L79" s="6"/>
      <c r="M79" s="6"/>
    </row>
    <row r="80" spans="1:13" ht="142.5" hidden="1">
      <c r="A80" s="6">
        <v>79</v>
      </c>
      <c r="B80" s="13" t="s">
        <v>211</v>
      </c>
      <c r="C80" s="7" t="s">
        <v>212</v>
      </c>
      <c r="D80" s="8" t="s">
        <v>18</v>
      </c>
      <c r="E80" s="6">
        <v>10</v>
      </c>
      <c r="F80" s="10"/>
      <c r="G80" s="10"/>
      <c r="H80" s="13" t="s">
        <v>211</v>
      </c>
      <c r="I80" s="6" t="str">
        <f>VLOOKUP(H80,'[1]Summary-2'!$C$2:$D$116,2,0)</f>
        <v>5.2.3</v>
      </c>
      <c r="J80" s="11"/>
      <c r="K80" s="6"/>
      <c r="L80" s="6"/>
      <c r="M80" s="6"/>
    </row>
    <row r="81" spans="1:13" ht="71.25" hidden="1">
      <c r="A81" s="6">
        <v>80</v>
      </c>
      <c r="B81" s="6" t="s">
        <v>213</v>
      </c>
      <c r="C81" s="7" t="s">
        <v>214</v>
      </c>
      <c r="D81" s="8" t="s">
        <v>18</v>
      </c>
      <c r="E81" s="6">
        <v>15</v>
      </c>
      <c r="F81" s="10"/>
      <c r="G81" s="10"/>
      <c r="H81" s="6" t="s">
        <v>213</v>
      </c>
      <c r="I81" s="6" t="str">
        <f>VLOOKUP(H81,'[1]Summary-2'!$C$2:$D$116,2,0)</f>
        <v>5.2.1</v>
      </c>
      <c r="J81" s="11"/>
      <c r="K81" s="6"/>
      <c r="L81" s="6"/>
      <c r="M81" s="6"/>
    </row>
    <row r="82" spans="1:13" ht="57" hidden="1">
      <c r="A82" s="6">
        <v>81</v>
      </c>
      <c r="B82" s="6" t="s">
        <v>215</v>
      </c>
      <c r="C82" s="7" t="s">
        <v>216</v>
      </c>
      <c r="D82" s="8" t="s">
        <v>18</v>
      </c>
      <c r="E82" s="6">
        <v>15</v>
      </c>
      <c r="F82" s="10"/>
      <c r="G82" s="10"/>
      <c r="H82" s="6" t="s">
        <v>215</v>
      </c>
      <c r="I82" s="6" t="str">
        <f>VLOOKUP(H82,'[1]Summary-2'!$C$2:$D$116,2,0)</f>
        <v>5.2.2</v>
      </c>
      <c r="J82" s="11"/>
      <c r="K82" s="6"/>
      <c r="L82" s="6"/>
      <c r="M82" s="6"/>
    </row>
    <row r="83" spans="1:13" ht="128.25" hidden="1">
      <c r="A83" s="6">
        <v>82</v>
      </c>
      <c r="B83" s="6" t="s">
        <v>217</v>
      </c>
      <c r="C83" s="7" t="s">
        <v>218</v>
      </c>
      <c r="D83" s="8" t="s">
        <v>18</v>
      </c>
      <c r="E83" s="6">
        <v>10</v>
      </c>
      <c r="F83" s="10"/>
      <c r="G83" s="10"/>
      <c r="H83" s="6" t="s">
        <v>217</v>
      </c>
      <c r="I83" s="6" t="str">
        <f>VLOOKUP(H83,'[1]Summary-2'!$C$2:$D$116,2,0)</f>
        <v>5.3.1</v>
      </c>
      <c r="J83" s="11"/>
      <c r="K83" s="6"/>
      <c r="L83" s="6"/>
      <c r="M83" s="6"/>
    </row>
    <row r="84" spans="1:13" ht="28.5" hidden="1">
      <c r="A84" s="6">
        <v>83</v>
      </c>
      <c r="B84" s="6" t="s">
        <v>219</v>
      </c>
      <c r="C84" s="7" t="s">
        <v>220</v>
      </c>
      <c r="D84" s="8" t="s">
        <v>15</v>
      </c>
      <c r="E84" s="9">
        <v>5</v>
      </c>
      <c r="F84" s="10"/>
      <c r="G84" s="10"/>
      <c r="H84" s="6" t="s">
        <v>219</v>
      </c>
      <c r="I84" s="6" t="str">
        <f>VLOOKUP(H84,'[1]Summary-2'!$C$2:$D$116,2,0)</f>
        <v>5.3.2</v>
      </c>
      <c r="J84" s="11"/>
      <c r="K84" s="6"/>
      <c r="L84" s="6"/>
      <c r="M84" s="6"/>
    </row>
    <row r="85" spans="1:13" ht="71.25" hidden="1">
      <c r="A85" s="6">
        <v>84</v>
      </c>
      <c r="B85" s="6" t="s">
        <v>221</v>
      </c>
      <c r="C85" s="7" t="s">
        <v>222</v>
      </c>
      <c r="D85" s="8" t="s">
        <v>18</v>
      </c>
      <c r="E85" s="6">
        <v>5</v>
      </c>
      <c r="F85" s="10"/>
      <c r="G85" s="10"/>
      <c r="H85" s="6" t="s">
        <v>221</v>
      </c>
      <c r="I85" s="6" t="str">
        <f>VLOOKUP(H85,'[1]Summary-2'!$C$2:$D$116,2,0)</f>
        <v>5.3.3</v>
      </c>
      <c r="J85" s="11"/>
      <c r="K85" s="6"/>
      <c r="L85" s="6"/>
      <c r="M85" s="6"/>
    </row>
    <row r="86" spans="1:13" ht="42.75" hidden="1">
      <c r="A86" s="6">
        <v>85</v>
      </c>
      <c r="B86" s="6" t="s">
        <v>223</v>
      </c>
      <c r="C86" s="7" t="s">
        <v>224</v>
      </c>
      <c r="D86" s="8" t="s">
        <v>18</v>
      </c>
      <c r="E86" s="9">
        <v>2</v>
      </c>
      <c r="F86" s="10"/>
      <c r="G86" s="10"/>
      <c r="H86" s="6" t="s">
        <v>223</v>
      </c>
      <c r="I86" s="6" t="str">
        <f>VLOOKUP(H86,'[1]Summary-2'!$C$2:$D$116,2,0)</f>
        <v>5.4.1</v>
      </c>
      <c r="J86" s="11"/>
      <c r="K86" s="6"/>
      <c r="L86" s="6"/>
      <c r="M86" s="6"/>
    </row>
    <row r="87" spans="1:13" ht="99.75" hidden="1">
      <c r="A87" s="6">
        <v>86</v>
      </c>
      <c r="B87" s="6" t="s">
        <v>225</v>
      </c>
      <c r="C87" s="7" t="s">
        <v>226</v>
      </c>
      <c r="D87" s="8" t="s">
        <v>18</v>
      </c>
      <c r="E87" s="6">
        <v>8</v>
      </c>
      <c r="F87" s="10"/>
      <c r="G87" s="10"/>
      <c r="H87" s="6" t="s">
        <v>225</v>
      </c>
      <c r="I87" s="6" t="str">
        <f>VLOOKUP(H87,'[1]Summary-2'!$C$2:$D$116,2,0)</f>
        <v>5.4.2</v>
      </c>
      <c r="J87" s="11"/>
      <c r="K87" s="6"/>
      <c r="L87" s="6"/>
      <c r="M87" s="6"/>
    </row>
    <row r="88" spans="1:13" ht="28.5" hidden="1">
      <c r="A88" s="6">
        <v>87</v>
      </c>
      <c r="B88" s="6" t="s">
        <v>227</v>
      </c>
      <c r="C88" s="7" t="s">
        <v>228</v>
      </c>
      <c r="D88" s="8" t="s">
        <v>15</v>
      </c>
      <c r="E88" s="9">
        <v>5</v>
      </c>
      <c r="F88" s="10"/>
      <c r="G88" s="10"/>
      <c r="H88" s="6" t="s">
        <v>227</v>
      </c>
      <c r="I88" s="6" t="str">
        <f>VLOOKUP(H88,'[1]Summary-2'!$C$2:$D$116,2,0)</f>
        <v>6.1.1</v>
      </c>
      <c r="J88" s="11"/>
      <c r="K88" s="6"/>
      <c r="L88" s="6"/>
      <c r="M88" s="6"/>
    </row>
    <row r="89" spans="1:13" ht="42.75" hidden="1">
      <c r="A89" s="6">
        <v>88</v>
      </c>
      <c r="B89" s="6" t="s">
        <v>229</v>
      </c>
      <c r="C89" s="7" t="s">
        <v>230</v>
      </c>
      <c r="D89" s="8" t="s">
        <v>15</v>
      </c>
      <c r="E89" s="9">
        <v>5</v>
      </c>
      <c r="F89" s="10"/>
      <c r="G89" s="10"/>
      <c r="H89" s="6" t="s">
        <v>229</v>
      </c>
      <c r="I89" s="6" t="str">
        <f>VLOOKUP(H89,'[1]Summary-2'!$C$2:$D$116,2,0)</f>
        <v>6.1.2</v>
      </c>
      <c r="J89" s="11"/>
      <c r="K89" s="6"/>
      <c r="L89" s="6"/>
      <c r="M89" s="6"/>
    </row>
    <row r="90" spans="1:13" ht="15" hidden="1">
      <c r="A90" s="6">
        <v>89</v>
      </c>
      <c r="B90" s="6" t="s">
        <v>231</v>
      </c>
      <c r="C90" s="7" t="s">
        <v>232</v>
      </c>
      <c r="D90" s="8" t="s">
        <v>15</v>
      </c>
      <c r="E90" s="9">
        <v>3</v>
      </c>
      <c r="F90" s="10"/>
      <c r="G90" s="10"/>
      <c r="H90" s="6" t="s">
        <v>231</v>
      </c>
      <c r="I90" s="6" t="str">
        <f>VLOOKUP(H90,'[1]Summary-2'!$C$2:$D$116,2,0)</f>
        <v>6.2.1</v>
      </c>
      <c r="J90" s="11"/>
      <c r="K90" s="6"/>
      <c r="L90" s="6"/>
      <c r="M90" s="6"/>
    </row>
    <row r="91" spans="1:13" ht="42.75" hidden="1">
      <c r="A91" s="6">
        <v>90</v>
      </c>
      <c r="B91" s="6" t="s">
        <v>233</v>
      </c>
      <c r="C91" s="7" t="s">
        <v>234</v>
      </c>
      <c r="D91" s="8" t="s">
        <v>15</v>
      </c>
      <c r="E91" s="9">
        <v>2</v>
      </c>
      <c r="F91" s="10"/>
      <c r="G91" s="10"/>
      <c r="H91" s="6" t="s">
        <v>233</v>
      </c>
      <c r="I91" s="6" t="str">
        <f>VLOOKUP(H91,'[1]Summary-2'!$C$2:$D$116,2,0)</f>
        <v>6.2.2</v>
      </c>
      <c r="J91" s="11"/>
      <c r="K91" s="6"/>
      <c r="L91" s="6"/>
      <c r="M91" s="6"/>
    </row>
    <row r="92" spans="1:13" ht="99.75" hidden="1">
      <c r="A92" s="6">
        <v>91</v>
      </c>
      <c r="B92" s="6" t="s">
        <v>235</v>
      </c>
      <c r="C92" s="7" t="s">
        <v>236</v>
      </c>
      <c r="D92" s="8" t="s">
        <v>18</v>
      </c>
      <c r="E92" s="6">
        <v>5</v>
      </c>
      <c r="F92" s="10"/>
      <c r="G92" s="10"/>
      <c r="H92" s="6" t="s">
        <v>235</v>
      </c>
      <c r="I92" s="6" t="str">
        <f>VLOOKUP(H92,'[1]Summary-2'!$C$2:$D$116,2,0)</f>
        <v>6.2.3</v>
      </c>
      <c r="J92" s="11"/>
      <c r="K92" s="6"/>
      <c r="L92" s="6"/>
      <c r="M92" s="6"/>
    </row>
    <row r="93" spans="1:13" ht="42.75" hidden="1">
      <c r="A93" s="6">
        <v>92</v>
      </c>
      <c r="B93" s="6" t="s">
        <v>237</v>
      </c>
      <c r="C93" s="7" t="s">
        <v>238</v>
      </c>
      <c r="D93" s="8" t="s">
        <v>15</v>
      </c>
      <c r="E93" s="9">
        <v>4</v>
      </c>
      <c r="F93" s="10"/>
      <c r="G93" s="10"/>
      <c r="H93" s="6" t="s">
        <v>237</v>
      </c>
      <c r="I93" s="6" t="str">
        <f>VLOOKUP(H93,'[1]Summary-2'!$C$2:$D$116,2,0)</f>
        <v>6.3.1</v>
      </c>
      <c r="J93" s="11"/>
      <c r="K93" s="6"/>
      <c r="L93" s="6"/>
      <c r="M93" s="6"/>
    </row>
    <row r="94" spans="1:13" ht="99.75">
      <c r="A94" s="6">
        <v>93</v>
      </c>
      <c r="B94" s="6" t="s">
        <v>239</v>
      </c>
      <c r="C94" s="7" t="s">
        <v>240</v>
      </c>
      <c r="D94" s="8" t="s">
        <v>18</v>
      </c>
      <c r="E94" s="6">
        <v>10</v>
      </c>
      <c r="F94" s="10" t="s">
        <v>241</v>
      </c>
      <c r="G94" s="10" t="s">
        <v>63</v>
      </c>
      <c r="H94" s="6" t="s">
        <v>239</v>
      </c>
      <c r="I94" s="6" t="str">
        <f>VLOOKUP(H94,'[1]Summary-2'!$C$2:$D$116,2,0)</f>
        <v>6.3.2</v>
      </c>
      <c r="J94" s="6" t="s">
        <v>239</v>
      </c>
      <c r="K94" s="6" t="s">
        <v>31</v>
      </c>
      <c r="L94" s="6" t="s">
        <v>31</v>
      </c>
      <c r="M94" s="6" t="s">
        <v>31</v>
      </c>
    </row>
    <row r="95" spans="1:13" ht="99.75">
      <c r="A95" s="6">
        <v>94</v>
      </c>
      <c r="B95" s="6" t="s">
        <v>242</v>
      </c>
      <c r="C95" s="7" t="s">
        <v>243</v>
      </c>
      <c r="D95" s="8" t="s">
        <v>18</v>
      </c>
      <c r="E95" s="6">
        <v>8</v>
      </c>
      <c r="F95" s="10" t="s">
        <v>119</v>
      </c>
      <c r="G95" s="10" t="s">
        <v>244</v>
      </c>
      <c r="H95" s="6" t="s">
        <v>242</v>
      </c>
      <c r="I95" s="6" t="str">
        <f>VLOOKUP(H95,'[1]Summary-2'!$C$2:$D$116,2,0)</f>
        <v>6.3.3</v>
      </c>
      <c r="J95" s="6" t="s">
        <v>31</v>
      </c>
      <c r="K95" s="6" t="s">
        <v>31</v>
      </c>
      <c r="L95" s="6" t="s">
        <v>31</v>
      </c>
      <c r="M95" s="6" t="s">
        <v>31</v>
      </c>
    </row>
    <row r="96" spans="1:13" ht="142.5">
      <c r="A96" s="6">
        <v>95</v>
      </c>
      <c r="B96" s="6" t="s">
        <v>245</v>
      </c>
      <c r="C96" s="7" t="s">
        <v>246</v>
      </c>
      <c r="D96" s="8" t="s">
        <v>18</v>
      </c>
      <c r="E96" s="6">
        <v>8</v>
      </c>
      <c r="F96" s="10" t="s">
        <v>247</v>
      </c>
      <c r="G96" s="10" t="s">
        <v>63</v>
      </c>
      <c r="H96" s="6" t="s">
        <v>245</v>
      </c>
      <c r="I96" s="6" t="str">
        <f>VLOOKUP(H96,'[1]Summary-2'!$C$2:$D$116,2,0)</f>
        <v>6.3.4</v>
      </c>
      <c r="J96" s="6" t="s">
        <v>242</v>
      </c>
      <c r="K96" s="6">
        <v>5.7</v>
      </c>
      <c r="L96" s="6">
        <v>5.6</v>
      </c>
      <c r="M96" s="6" t="s">
        <v>31</v>
      </c>
    </row>
    <row r="97" spans="1:10" ht="28.5" hidden="1">
      <c r="A97" s="19">
        <v>96</v>
      </c>
      <c r="B97" s="19" t="s">
        <v>248</v>
      </c>
      <c r="C97" s="20" t="s">
        <v>249</v>
      </c>
      <c r="D97" s="21" t="s">
        <v>15</v>
      </c>
      <c r="E97" s="22">
        <v>4</v>
      </c>
      <c r="J97" s="12"/>
    </row>
    <row r="98" spans="1:10" ht="99.75" hidden="1">
      <c r="A98" s="6">
        <v>97</v>
      </c>
      <c r="B98" s="6" t="s">
        <v>250</v>
      </c>
      <c r="C98" s="7" t="s">
        <v>251</v>
      </c>
      <c r="D98" s="8" t="s">
        <v>18</v>
      </c>
      <c r="E98" s="6">
        <v>8</v>
      </c>
      <c r="J98" s="12"/>
    </row>
    <row r="99" spans="1:10" ht="99.75" hidden="1">
      <c r="A99" s="6">
        <v>98</v>
      </c>
      <c r="B99" s="6" t="s">
        <v>252</v>
      </c>
      <c r="C99" s="7" t="s">
        <v>253</v>
      </c>
      <c r="D99" s="8" t="s">
        <v>18</v>
      </c>
      <c r="E99" s="6">
        <v>6</v>
      </c>
      <c r="J99" s="12"/>
    </row>
    <row r="100" spans="1:10" ht="15" hidden="1">
      <c r="A100" s="6">
        <v>99</v>
      </c>
      <c r="B100" s="6" t="s">
        <v>254</v>
      </c>
      <c r="C100" s="7" t="s">
        <v>255</v>
      </c>
      <c r="D100" s="8" t="s">
        <v>15</v>
      </c>
      <c r="E100" s="9">
        <v>2</v>
      </c>
      <c r="J100" s="12"/>
    </row>
    <row r="101" spans="1:10" ht="71.25" hidden="1">
      <c r="A101" s="6">
        <v>100</v>
      </c>
      <c r="B101" s="6" t="s">
        <v>256</v>
      </c>
      <c r="C101" s="7" t="s">
        <v>257</v>
      </c>
      <c r="D101" s="8" t="s">
        <v>18</v>
      </c>
      <c r="E101" s="9">
        <v>10</v>
      </c>
      <c r="J101" s="12"/>
    </row>
    <row r="102" spans="1:10" ht="114" hidden="1">
      <c r="A102" s="6">
        <v>101</v>
      </c>
      <c r="B102" s="6" t="s">
        <v>258</v>
      </c>
      <c r="C102" s="7" t="s">
        <v>259</v>
      </c>
      <c r="D102" s="8" t="s">
        <v>18</v>
      </c>
      <c r="E102" s="6">
        <v>10</v>
      </c>
      <c r="J102" s="12"/>
    </row>
    <row r="103" spans="1:10" ht="28.5" hidden="1">
      <c r="A103" s="6">
        <v>102</v>
      </c>
      <c r="B103" s="6" t="s">
        <v>260</v>
      </c>
      <c r="C103" s="7" t="s">
        <v>261</v>
      </c>
      <c r="D103" s="8" t="s">
        <v>15</v>
      </c>
      <c r="E103" s="9">
        <v>10</v>
      </c>
      <c r="J103" s="12"/>
    </row>
    <row r="104" spans="1:10" ht="28.5" hidden="1">
      <c r="A104" s="6">
        <v>103</v>
      </c>
      <c r="B104" s="6" t="s">
        <v>262</v>
      </c>
      <c r="C104" s="7" t="s">
        <v>263</v>
      </c>
      <c r="D104" s="8" t="s">
        <v>15</v>
      </c>
      <c r="E104" s="9">
        <v>5</v>
      </c>
      <c r="J104" s="12"/>
    </row>
    <row r="105" spans="1:10" ht="99.75" hidden="1">
      <c r="A105" s="6">
        <v>104</v>
      </c>
      <c r="B105" s="6" t="s">
        <v>264</v>
      </c>
      <c r="C105" s="7" t="s">
        <v>265</v>
      </c>
      <c r="D105" s="8" t="s">
        <v>18</v>
      </c>
      <c r="E105" s="6">
        <v>5</v>
      </c>
      <c r="J105" s="12"/>
    </row>
    <row r="106" spans="1:10" ht="128.25" hidden="1">
      <c r="A106" s="6">
        <v>105</v>
      </c>
      <c r="B106" s="6" t="s">
        <v>266</v>
      </c>
      <c r="C106" s="7" t="s">
        <v>267</v>
      </c>
      <c r="D106" s="8" t="s">
        <v>15</v>
      </c>
      <c r="E106" s="9">
        <v>4</v>
      </c>
      <c r="J106" s="12"/>
    </row>
    <row r="107" spans="1:10" ht="99.75" hidden="1">
      <c r="A107" s="6">
        <v>106</v>
      </c>
      <c r="B107" s="6" t="s">
        <v>268</v>
      </c>
      <c r="C107" s="7" t="s">
        <v>269</v>
      </c>
      <c r="D107" s="8" t="s">
        <v>18</v>
      </c>
      <c r="E107" s="6">
        <v>4</v>
      </c>
      <c r="J107" s="12"/>
    </row>
    <row r="108" spans="1:10" ht="114" hidden="1">
      <c r="A108" s="6">
        <v>107</v>
      </c>
      <c r="B108" s="6" t="s">
        <v>270</v>
      </c>
      <c r="C108" s="7" t="s">
        <v>271</v>
      </c>
      <c r="D108" s="8" t="s">
        <v>18</v>
      </c>
      <c r="E108" s="6">
        <v>4</v>
      </c>
      <c r="J108" s="12"/>
    </row>
    <row r="109" spans="1:10" ht="156.75" hidden="1">
      <c r="A109" s="6">
        <v>108</v>
      </c>
      <c r="B109" s="6" t="s">
        <v>272</v>
      </c>
      <c r="C109" s="7" t="s">
        <v>273</v>
      </c>
      <c r="D109" s="8" t="s">
        <v>18</v>
      </c>
      <c r="E109" s="6">
        <v>5</v>
      </c>
      <c r="J109" s="12"/>
    </row>
    <row r="110" spans="1:10" ht="128.25" hidden="1">
      <c r="A110" s="6">
        <v>109</v>
      </c>
      <c r="B110" s="6" t="s">
        <v>274</v>
      </c>
      <c r="C110" s="7" t="s">
        <v>275</v>
      </c>
      <c r="D110" s="8" t="s">
        <v>18</v>
      </c>
      <c r="E110" s="6">
        <v>4</v>
      </c>
      <c r="J110" s="12"/>
    </row>
    <row r="111" spans="1:10" ht="57" hidden="1">
      <c r="A111" s="6">
        <v>110</v>
      </c>
      <c r="B111" s="6" t="s">
        <v>276</v>
      </c>
      <c r="C111" s="7" t="s">
        <v>277</v>
      </c>
      <c r="D111" s="8" t="s">
        <v>15</v>
      </c>
      <c r="E111" s="9">
        <v>5</v>
      </c>
      <c r="J111" s="12"/>
    </row>
    <row r="112" spans="1:10" ht="42.75" hidden="1">
      <c r="A112" s="6">
        <v>111</v>
      </c>
      <c r="B112" s="6" t="s">
        <v>278</v>
      </c>
      <c r="C112" s="7" t="s">
        <v>279</v>
      </c>
      <c r="D112" s="8" t="s">
        <v>15</v>
      </c>
      <c r="E112" s="9">
        <v>4</v>
      </c>
      <c r="J112" s="12"/>
    </row>
    <row r="113" spans="1:10" ht="156.75" hidden="1">
      <c r="A113" s="6">
        <v>112</v>
      </c>
      <c r="B113" s="6" t="s">
        <v>280</v>
      </c>
      <c r="C113" s="7" t="s">
        <v>281</v>
      </c>
      <c r="D113" s="8" t="s">
        <v>18</v>
      </c>
      <c r="E113" s="6">
        <v>5</v>
      </c>
      <c r="J113" s="12"/>
    </row>
    <row r="114" spans="1:10" ht="28.5" hidden="1">
      <c r="A114" s="6">
        <v>113</v>
      </c>
      <c r="B114" s="6" t="s">
        <v>282</v>
      </c>
      <c r="C114" s="7" t="s">
        <v>283</v>
      </c>
      <c r="D114" s="8" t="s">
        <v>15</v>
      </c>
      <c r="E114" s="9">
        <v>5</v>
      </c>
      <c r="J114" s="12"/>
    </row>
    <row r="115" spans="1:10" ht="28.5" hidden="1">
      <c r="A115" s="6">
        <v>114</v>
      </c>
      <c r="B115" s="6" t="s">
        <v>284</v>
      </c>
      <c r="C115" s="7" t="s">
        <v>285</v>
      </c>
      <c r="D115" s="8" t="s">
        <v>15</v>
      </c>
      <c r="E115" s="9">
        <v>30</v>
      </c>
      <c r="J115" s="12"/>
    </row>
    <row r="116" spans="1:10" ht="28.5" hidden="1">
      <c r="A116" s="6">
        <v>115</v>
      </c>
      <c r="B116" s="6" t="s">
        <v>286</v>
      </c>
      <c r="C116" s="7" t="s">
        <v>287</v>
      </c>
      <c r="D116" s="8" t="s">
        <v>15</v>
      </c>
      <c r="E116" s="9">
        <v>20</v>
      </c>
      <c r="J116" s="12"/>
    </row>
  </sheetData>
  <autoFilter ref="A1:M116">
    <filterColumn colId="6">
      <customFilters>
        <customFilter operator="notEqual" val=" "/>
      </customFilters>
    </filterColumn>
  </autoFilter>
  <conditionalFormatting sqref="C2:D2">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NAAC-U</vt:lpstr>
      <vt:lpstr>Sheet1</vt:lpstr>
      <vt:lpstr>Sheet2</vt:lpstr>
      <vt:lpstr>Sheet3</vt:lpstr>
    </vt:vector>
  </TitlesOfParts>
  <Company>Arkansas State University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2022-11-15T06:53:13Z</dcterms:created>
  <dcterms:modified xsi:type="dcterms:W3CDTF">2022-11-15T08:46:34Z</dcterms:modified>
</cp:coreProperties>
</file>