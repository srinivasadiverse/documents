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749" firstSheet="5" activeTab="8"/>
  </bookViews>
  <sheets>
    <sheet name="Extended Profile (EP)" sheetId="4" r:id="rId1"/>
    <sheet name="Response Score Calc." sheetId="7" r:id="rId2"/>
    <sheet name="University 115m" sheetId="1" r:id="rId3"/>
    <sheet name="115(Qn&amp;Ql)m-GS" sheetId="16" r:id="rId4"/>
    <sheet name="55m-Gradesheet(GS)" sheetId="5" state="hidden" r:id="rId5"/>
    <sheet name="Qn (79m)" sheetId="13" r:id="rId6"/>
    <sheet name="79 Qnm-GS" sheetId="10" r:id="rId7"/>
    <sheet name="Ql (36m)" sheetId="9" r:id="rId8"/>
    <sheet name="36 Qlm-GS (2)" sheetId="15" r:id="rId9"/>
    <sheet name="21m-GS" sheetId="11" state="hidden" r:id="rId10"/>
  </sheets>
  <definedNames>
    <definedName name="_xlnm._FilterDatabase" localSheetId="7" hidden="1">'Ql (36m)'!$A$2:$P$23</definedName>
    <definedName name="_xlnm._FilterDatabase" localSheetId="5" hidden="1">'Qn (79m)'!$A$2:$V$2</definedName>
    <definedName name="_xlnm._FilterDatabase" localSheetId="1" hidden="1">'Response Score Calc.'!$A$2:$G$36</definedName>
    <definedName name="_xlnm._FilterDatabase" localSheetId="2" hidden="1">'University 115m'!$A$2:$S$117</definedName>
    <definedName name="_xlnm.Print_Titles" localSheetId="3">'115(Qn&amp;Ql)m-GS'!$23:$23</definedName>
    <definedName name="_xlnm.Print_Titles" localSheetId="9">'21m-GS'!$20:$20</definedName>
    <definedName name="_xlnm.Print_Titles" localSheetId="8">'36 Qlm-GS (2)'!$24:$24</definedName>
    <definedName name="_xlnm.Print_Titles" localSheetId="4">'55m-Gradesheet(GS)'!$16:$16</definedName>
    <definedName name="_xlnm.Print_Titles" localSheetId="6">'79 Qnm-GS'!$23:$23</definedName>
  </definedNames>
  <calcPr calcId="162913"/>
  <pivotCaches>
    <pivotCache cacheId="7" r:id="rId11"/>
    <pivotCache cacheId="8" r:id="rId12"/>
    <pivotCache cacheId="9" r:id="rId13"/>
    <pivotCache cacheId="23" r:id="rId1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0" i="15" l="1"/>
  <c r="D67" i="15"/>
  <c r="D66" i="15"/>
  <c r="D65" i="15"/>
  <c r="D61" i="15"/>
  <c r="D60" i="15"/>
  <c r="D59" i="15"/>
  <c r="D58" i="15"/>
  <c r="D57" i="15"/>
  <c r="D53" i="15"/>
  <c r="D52" i="15"/>
  <c r="D48" i="15"/>
  <c r="D47" i="15"/>
  <c r="D46" i="15"/>
  <c r="D45" i="15"/>
  <c r="D41" i="15"/>
  <c r="D40" i="15"/>
  <c r="D39" i="15"/>
  <c r="D38" i="15"/>
  <c r="D34" i="15"/>
  <c r="D33" i="15"/>
  <c r="D32" i="15"/>
  <c r="D31" i="15"/>
  <c r="D27" i="15"/>
  <c r="D26" i="15"/>
  <c r="P21" i="9"/>
  <c r="P15" i="9"/>
  <c r="P23" i="9"/>
  <c r="O23" i="9"/>
  <c r="O15" i="9"/>
  <c r="D12" i="15"/>
  <c r="D11" i="15"/>
  <c r="D10" i="15"/>
  <c r="D9" i="15"/>
  <c r="D8" i="15"/>
  <c r="D7" i="15"/>
  <c r="D6" i="15"/>
  <c r="N3" i="9"/>
  <c r="N4" i="9"/>
  <c r="N5" i="9"/>
  <c r="N6" i="9"/>
  <c r="N8" i="9"/>
  <c r="N9" i="9"/>
  <c r="N11" i="9"/>
  <c r="N12" i="9"/>
  <c r="N13" i="9"/>
  <c r="N14" i="9"/>
  <c r="N15" i="9"/>
  <c r="N18" i="9"/>
  <c r="N19" i="9"/>
  <c r="M18" i="9"/>
  <c r="M19" i="9"/>
  <c r="N23" i="9"/>
  <c r="N25" i="9"/>
  <c r="N27" i="9"/>
  <c r="N28" i="9"/>
  <c r="N30" i="9"/>
  <c r="N32" i="9"/>
  <c r="N37" i="9"/>
  <c r="N38" i="9"/>
  <c r="P32" i="9"/>
  <c r="P11" i="9"/>
  <c r="P5" i="9"/>
  <c r="P3" i="9"/>
  <c r="M15" i="9"/>
  <c r="M6" i="9"/>
  <c r="M9" i="9"/>
  <c r="M23" i="9"/>
  <c r="M25" i="9"/>
  <c r="M28" i="9"/>
  <c r="M30" i="9"/>
  <c r="M32" i="9"/>
  <c r="M38" i="9"/>
  <c r="M37" i="9"/>
  <c r="M27" i="9"/>
  <c r="M22" i="9"/>
  <c r="N22" i="9" s="1"/>
  <c r="M21" i="9"/>
  <c r="N21" i="9" s="1"/>
  <c r="M20" i="9"/>
  <c r="M14" i="9"/>
  <c r="M13" i="9"/>
  <c r="M12" i="9"/>
  <c r="M11" i="9"/>
  <c r="M8" i="9"/>
  <c r="M4" i="9"/>
  <c r="M5" i="9"/>
  <c r="M3" i="9"/>
  <c r="O3" i="9"/>
  <c r="L38"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N20" i="9" l="1"/>
  <c r="O21" i="9"/>
  <c r="O32" i="9"/>
  <c r="O11" i="9"/>
  <c r="O5" i="9"/>
  <c r="H38" i="9"/>
  <c r="H37" i="9"/>
  <c r="H32" i="9"/>
  <c r="H30" i="9"/>
  <c r="H28" i="9"/>
  <c r="H27" i="9"/>
  <c r="H25" i="9"/>
  <c r="H23" i="9"/>
  <c r="H22" i="9"/>
  <c r="H21" i="9"/>
  <c r="H20" i="9"/>
  <c r="H19" i="9"/>
  <c r="H18" i="9"/>
  <c r="H15" i="9"/>
  <c r="H14" i="9"/>
  <c r="H13" i="9"/>
  <c r="H12" i="9"/>
  <c r="H11" i="9"/>
  <c r="H9" i="9"/>
  <c r="H8" i="9"/>
  <c r="H6" i="9"/>
  <c r="H5" i="9"/>
  <c r="H4" i="9"/>
  <c r="H3" i="9"/>
  <c r="K24" i="13"/>
  <c r="K32" i="1"/>
  <c r="K100" i="1" l="1"/>
  <c r="K99" i="1"/>
  <c r="K97" i="1"/>
  <c r="K96" i="1"/>
  <c r="K95" i="1"/>
  <c r="K86" i="1"/>
  <c r="K84" i="1"/>
  <c r="K83" i="1"/>
  <c r="K82" i="1"/>
  <c r="K81" i="1"/>
  <c r="K78" i="1"/>
  <c r="K77" i="1"/>
  <c r="K75" i="1"/>
  <c r="K72" i="1"/>
  <c r="K70" i="1"/>
  <c r="K69" i="1"/>
  <c r="K68" i="1"/>
  <c r="K65" i="1"/>
  <c r="K61" i="1"/>
  <c r="K60" i="1"/>
  <c r="K59" i="1"/>
  <c r="K58" i="1"/>
  <c r="K57" i="1"/>
  <c r="K55" i="1"/>
  <c r="K53" i="1"/>
  <c r="K52" i="1"/>
  <c r="K50" i="1"/>
  <c r="K49" i="1"/>
  <c r="K48" i="1"/>
  <c r="K47" i="1"/>
  <c r="K44" i="1"/>
  <c r="K43" i="1"/>
  <c r="K41" i="1"/>
  <c r="K40" i="1"/>
  <c r="K39" i="1"/>
  <c r="K38" i="1"/>
  <c r="K36" i="1"/>
  <c r="K35" i="1"/>
  <c r="K34" i="1"/>
  <c r="K31" i="1"/>
  <c r="K28" i="1"/>
  <c r="K26" i="1"/>
  <c r="K25" i="1"/>
  <c r="K24" i="1"/>
  <c r="K23" i="1"/>
  <c r="K22" i="1"/>
  <c r="K21" i="1"/>
  <c r="K15" i="1"/>
  <c r="K14" i="1"/>
  <c r="K11" i="1"/>
  <c r="K10" i="1"/>
  <c r="K9" i="1"/>
  <c r="K7" i="1"/>
  <c r="K6" i="1"/>
  <c r="K5" i="1"/>
  <c r="K8" i="1"/>
  <c r="H76" i="13" l="1"/>
  <c r="I76" i="13" s="1"/>
  <c r="C12" i="10" s="1"/>
  <c r="H16" i="13"/>
  <c r="H63" i="13"/>
  <c r="H15" i="13"/>
  <c r="H58" i="13"/>
  <c r="H10" i="13"/>
  <c r="H73" i="13"/>
  <c r="H25" i="13"/>
  <c r="K75" i="13"/>
  <c r="L75" i="13" s="1"/>
  <c r="M75" i="13" s="1"/>
  <c r="D69" i="10" s="1"/>
  <c r="H68" i="13"/>
  <c r="H44" i="13"/>
  <c r="H12" i="13"/>
  <c r="H75" i="13"/>
  <c r="H59" i="13"/>
  <c r="H70" i="13"/>
  <c r="H54" i="13"/>
  <c r="H69" i="13"/>
  <c r="I69" i="13" s="1"/>
  <c r="C11" i="10" s="1"/>
  <c r="H5" i="13"/>
  <c r="K80" i="13"/>
  <c r="L80" i="13" s="1"/>
  <c r="K78" i="13"/>
  <c r="L78" i="13" s="1"/>
  <c r="H24" i="13"/>
  <c r="H23" i="13"/>
  <c r="H7" i="13"/>
  <c r="H66" i="13"/>
  <c r="H50" i="13"/>
  <c r="H48" i="13"/>
  <c r="H33" i="13"/>
  <c r="K76" i="13"/>
  <c r="L76" i="13" s="1"/>
  <c r="M76" i="13" s="1"/>
  <c r="D73" i="10" s="1"/>
  <c r="K81" i="13"/>
  <c r="L81" i="13" s="1"/>
  <c r="H3" i="13"/>
  <c r="I3" i="13" s="1"/>
  <c r="C6" i="10" s="1"/>
  <c r="H20" i="13"/>
  <c r="H51" i="13"/>
  <c r="H35" i="13"/>
  <c r="H30" i="13"/>
  <c r="H14" i="13"/>
  <c r="H45" i="13"/>
  <c r="K79" i="13"/>
  <c r="L79" i="13" s="1"/>
  <c r="K77" i="13"/>
  <c r="L77" i="13" s="1"/>
  <c r="S78" i="1"/>
  <c r="S79" i="1" s="1"/>
  <c r="S77" i="1"/>
  <c r="S76" i="1"/>
  <c r="J72" i="1"/>
  <c r="I59" i="13" l="1"/>
  <c r="C10" i="10" s="1"/>
  <c r="I50" i="13"/>
  <c r="C9" i="10" s="1"/>
  <c r="I12" i="13"/>
  <c r="C7" i="10" s="1"/>
  <c r="I25" i="13"/>
  <c r="C8" i="10" s="1"/>
  <c r="O76" i="13"/>
  <c r="N76" i="13"/>
  <c r="N75" i="13"/>
  <c r="L112" i="1"/>
  <c r="L113" i="1"/>
  <c r="L115" i="1"/>
  <c r="L116" i="1"/>
  <c r="M116" i="1" s="1"/>
  <c r="L117" i="1"/>
  <c r="M117" i="1" s="1"/>
  <c r="K114" i="1"/>
  <c r="L114" i="1" s="1"/>
  <c r="K111" i="1"/>
  <c r="L111" i="1" s="1"/>
  <c r="K110" i="1"/>
  <c r="L110" i="1" s="1"/>
  <c r="K109" i="1"/>
  <c r="L109" i="1" s="1"/>
  <c r="K108" i="1"/>
  <c r="L108" i="1" s="1"/>
  <c r="K106" i="1"/>
  <c r="L106" i="1" s="1"/>
  <c r="K103" i="1"/>
  <c r="L103" i="1" s="1"/>
  <c r="K93" i="1"/>
  <c r="L93" i="1" s="1"/>
  <c r="K88" i="1"/>
  <c r="L88" i="1" s="1"/>
  <c r="K80" i="1"/>
  <c r="L80" i="1" s="1"/>
  <c r="K79" i="1"/>
  <c r="L79" i="1" s="1"/>
  <c r="K74" i="1"/>
  <c r="L74" i="1" s="1"/>
  <c r="K73" i="1"/>
  <c r="L73" i="1" s="1"/>
  <c r="K67" i="1"/>
  <c r="L67" i="1" s="1"/>
  <c r="K51" i="1"/>
  <c r="L51" i="1" s="1"/>
  <c r="K46" i="1"/>
  <c r="L46" i="1" s="1"/>
  <c r="K45" i="1"/>
  <c r="L45" i="1" s="1"/>
  <c r="K37" i="1"/>
  <c r="P76" i="13" l="1"/>
  <c r="D12" i="10"/>
  <c r="N116" i="1"/>
  <c r="D76" i="16"/>
  <c r="N117" i="1"/>
  <c r="D77" i="16"/>
  <c r="C54" i="15"/>
  <c r="K23" i="9" l="1"/>
  <c r="K24" i="9"/>
  <c r="K25" i="9"/>
  <c r="K26" i="9"/>
  <c r="K27" i="9"/>
  <c r="K28" i="9"/>
  <c r="K29" i="9"/>
  <c r="K30" i="9"/>
  <c r="K31" i="9"/>
  <c r="K32" i="9"/>
  <c r="K33" i="9"/>
  <c r="K34" i="9"/>
  <c r="K35" i="9"/>
  <c r="K36" i="9"/>
  <c r="K37" i="9"/>
  <c r="C29" i="10" l="1"/>
  <c r="K102" i="1"/>
  <c r="K101" i="1"/>
  <c r="K98" i="1"/>
  <c r="K71" i="1"/>
  <c r="K66" i="1"/>
  <c r="K13" i="1"/>
  <c r="K4" i="13" l="1"/>
  <c r="L4" i="13" s="1"/>
  <c r="K5" i="13"/>
  <c r="L5" i="13" s="1"/>
  <c r="K6" i="13"/>
  <c r="L6" i="13" s="1"/>
  <c r="K7" i="13"/>
  <c r="L7" i="13" s="1"/>
  <c r="K8" i="13"/>
  <c r="L8" i="13" s="1"/>
  <c r="K9" i="13"/>
  <c r="L9" i="13" s="1"/>
  <c r="K10" i="13"/>
  <c r="L10" i="13" s="1"/>
  <c r="K11" i="13"/>
  <c r="L11" i="13" s="1"/>
  <c r="K12" i="13"/>
  <c r="L12" i="13" s="1"/>
  <c r="K13" i="13"/>
  <c r="L13" i="13" s="1"/>
  <c r="K14" i="13"/>
  <c r="L14" i="13" s="1"/>
  <c r="M14" i="13" s="1"/>
  <c r="D33" i="10" s="1"/>
  <c r="K15" i="13"/>
  <c r="L15" i="13" s="1"/>
  <c r="M15" i="13" s="1"/>
  <c r="D34" i="10" s="1"/>
  <c r="K16" i="13"/>
  <c r="L16" i="13" s="1"/>
  <c r="K17" i="13"/>
  <c r="L17" i="13" s="1"/>
  <c r="K18" i="13"/>
  <c r="L18" i="13" s="1"/>
  <c r="K19" i="13"/>
  <c r="L19" i="13" s="1"/>
  <c r="K20" i="13"/>
  <c r="L20" i="13" s="1"/>
  <c r="K21" i="13"/>
  <c r="L21" i="13" s="1"/>
  <c r="K22" i="13"/>
  <c r="L22" i="13" s="1"/>
  <c r="K23" i="13"/>
  <c r="L23" i="13" s="1"/>
  <c r="M23" i="13" s="1"/>
  <c r="D37" i="10" s="1"/>
  <c r="L24" i="13"/>
  <c r="M24" i="13" s="1"/>
  <c r="D38" i="10" s="1"/>
  <c r="K25" i="13"/>
  <c r="L25" i="13" s="1"/>
  <c r="K26" i="13"/>
  <c r="L26" i="13" s="1"/>
  <c r="K27" i="13"/>
  <c r="L27" i="13" s="1"/>
  <c r="K28" i="13"/>
  <c r="L28" i="13" s="1"/>
  <c r="K29" i="13"/>
  <c r="L29" i="13" s="1"/>
  <c r="K30" i="13"/>
  <c r="L30" i="13" s="1"/>
  <c r="K31" i="13"/>
  <c r="L31" i="13" s="1"/>
  <c r="K32" i="13"/>
  <c r="L32" i="13" s="1"/>
  <c r="K33" i="13"/>
  <c r="L33" i="13" s="1"/>
  <c r="K34" i="13"/>
  <c r="L34" i="13" s="1"/>
  <c r="K35" i="13"/>
  <c r="L35" i="13" s="1"/>
  <c r="K36" i="13"/>
  <c r="L36" i="13" s="1"/>
  <c r="K37" i="13"/>
  <c r="L37" i="13" s="1"/>
  <c r="K38" i="13"/>
  <c r="L38" i="13" s="1"/>
  <c r="K39" i="13"/>
  <c r="L39" i="13" s="1"/>
  <c r="K40" i="13"/>
  <c r="L40" i="13" s="1"/>
  <c r="K41" i="13"/>
  <c r="L41" i="13" s="1"/>
  <c r="K42" i="13"/>
  <c r="L42" i="13" s="1"/>
  <c r="K43" i="13"/>
  <c r="L43" i="13" s="1"/>
  <c r="K44" i="13"/>
  <c r="L44" i="13" s="1"/>
  <c r="M44" i="13" s="1"/>
  <c r="D46" i="10" s="1"/>
  <c r="K45" i="13"/>
  <c r="L45" i="13" s="1"/>
  <c r="K46" i="13"/>
  <c r="L46" i="13" s="1"/>
  <c r="K47" i="13"/>
  <c r="L47" i="13" s="1"/>
  <c r="K48" i="13"/>
  <c r="L48" i="13" s="1"/>
  <c r="K49" i="13"/>
  <c r="L49" i="13" s="1"/>
  <c r="K50" i="13"/>
  <c r="L50" i="13" s="1"/>
  <c r="M50" i="13" s="1"/>
  <c r="D52" i="10" s="1"/>
  <c r="K51" i="13"/>
  <c r="L51" i="13" s="1"/>
  <c r="K52" i="13"/>
  <c r="L52" i="13" s="1"/>
  <c r="K53" i="13"/>
  <c r="L53" i="13" s="1"/>
  <c r="K54" i="13"/>
  <c r="L54" i="13" s="1"/>
  <c r="K55" i="13"/>
  <c r="L55" i="13" s="1"/>
  <c r="K56" i="13"/>
  <c r="L56" i="13" s="1"/>
  <c r="K57" i="13"/>
  <c r="L57" i="13" s="1"/>
  <c r="K58" i="13"/>
  <c r="L58" i="13" s="1"/>
  <c r="M58" i="13" s="1"/>
  <c r="D55" i="10" s="1"/>
  <c r="K59" i="13"/>
  <c r="L59" i="13" s="1"/>
  <c r="K60" i="13"/>
  <c r="L60" i="13" s="1"/>
  <c r="K61" i="13"/>
  <c r="L61" i="13" s="1"/>
  <c r="K62" i="13"/>
  <c r="L62" i="13" s="1"/>
  <c r="K63" i="13"/>
  <c r="L63" i="13" s="1"/>
  <c r="K64" i="13"/>
  <c r="L64" i="13" s="1"/>
  <c r="K65" i="13"/>
  <c r="L65" i="13" s="1"/>
  <c r="K66" i="13"/>
  <c r="L66" i="13" s="1"/>
  <c r="K67" i="13"/>
  <c r="L67" i="13" s="1"/>
  <c r="K68" i="13"/>
  <c r="L68" i="13" s="1"/>
  <c r="M68" i="13" s="1"/>
  <c r="D62" i="10" s="1"/>
  <c r="K69" i="13"/>
  <c r="L69" i="13" s="1"/>
  <c r="M69" i="13" s="1"/>
  <c r="D66" i="10" s="1"/>
  <c r="K70" i="13"/>
  <c r="L70" i="13" s="1"/>
  <c r="K71" i="13"/>
  <c r="L71" i="13" s="1"/>
  <c r="K72" i="13"/>
  <c r="L72" i="13" s="1"/>
  <c r="K73" i="13"/>
  <c r="L73" i="13" s="1"/>
  <c r="K74" i="13"/>
  <c r="L74" i="13" s="1"/>
  <c r="M10" i="13" l="1"/>
  <c r="D28" i="10" s="1"/>
  <c r="M70" i="13"/>
  <c r="D67" i="10" s="1"/>
  <c r="M66" i="13"/>
  <c r="D61" i="10" s="1"/>
  <c r="M54" i="13"/>
  <c r="D54" i="10" s="1"/>
  <c r="M30" i="13"/>
  <c r="D43" i="10" s="1"/>
  <c r="M25" i="13"/>
  <c r="D42" i="10" s="1"/>
  <c r="M16" i="13"/>
  <c r="D35" i="10" s="1"/>
  <c r="M12" i="13"/>
  <c r="D32" i="10" s="1"/>
  <c r="M63" i="13"/>
  <c r="D60" i="10" s="1"/>
  <c r="M59" i="13"/>
  <c r="D59" i="10" s="1"/>
  <c r="M35" i="13"/>
  <c r="D45" i="10" s="1"/>
  <c r="M73" i="13"/>
  <c r="M48" i="13"/>
  <c r="M45" i="13"/>
  <c r="D47" i="10" s="1"/>
  <c r="M33" i="13"/>
  <c r="M5" i="13"/>
  <c r="D26" i="10" s="1"/>
  <c r="M20" i="13"/>
  <c r="D36" i="10" s="1"/>
  <c r="M51" i="13"/>
  <c r="D53" i="10" s="1"/>
  <c r="M7" i="13"/>
  <c r="N73" i="13"/>
  <c r="N24" i="13"/>
  <c r="N70" i="13"/>
  <c r="N58" i="13"/>
  <c r="N68" i="13"/>
  <c r="N44" i="13"/>
  <c r="N15" i="13"/>
  <c r="N50" i="13"/>
  <c r="N14" i="13"/>
  <c r="N35" i="13"/>
  <c r="N23" i="13"/>
  <c r="N69" i="13"/>
  <c r="L8" i="1"/>
  <c r="L16" i="1"/>
  <c r="L18" i="1"/>
  <c r="L19" i="1"/>
  <c r="L21" i="1"/>
  <c r="L27" i="1"/>
  <c r="L28" i="1"/>
  <c r="L29" i="1"/>
  <c r="L32" i="1"/>
  <c r="M32" i="1" s="1"/>
  <c r="L39" i="1"/>
  <c r="L49" i="1"/>
  <c r="L55" i="1"/>
  <c r="L56" i="1"/>
  <c r="L59" i="1"/>
  <c r="L63" i="1"/>
  <c r="L68" i="1"/>
  <c r="L78" i="1"/>
  <c r="L82" i="1"/>
  <c r="L83" i="1"/>
  <c r="L84" i="1"/>
  <c r="L85" i="1"/>
  <c r="L87" i="1"/>
  <c r="M87" i="1" s="1"/>
  <c r="L91" i="1"/>
  <c r="L94" i="1"/>
  <c r="L95" i="1"/>
  <c r="L97" i="1"/>
  <c r="L99" i="1"/>
  <c r="L104" i="1"/>
  <c r="L105" i="1"/>
  <c r="L107" i="1"/>
  <c r="L65" i="1"/>
  <c r="L101" i="1"/>
  <c r="L98" i="1"/>
  <c r="L96" i="1"/>
  <c r="L86" i="1"/>
  <c r="L71" i="1"/>
  <c r="L66" i="1"/>
  <c r="L41" i="1"/>
  <c r="L13" i="1"/>
  <c r="O69" i="13" l="1"/>
  <c r="D11" i="10" s="1"/>
  <c r="D68" i="10"/>
  <c r="N59" i="13"/>
  <c r="N51" i="13"/>
  <c r="O50" i="13"/>
  <c r="D9" i="10" s="1"/>
  <c r="N48" i="13"/>
  <c r="D48" i="10"/>
  <c r="N7" i="13"/>
  <c r="D27" i="10"/>
  <c r="N33" i="13"/>
  <c r="D44" i="10"/>
  <c r="N63" i="13"/>
  <c r="N10" i="13"/>
  <c r="N25" i="13"/>
  <c r="O25" i="13"/>
  <c r="D8" i="10" s="1"/>
  <c r="N54" i="13"/>
  <c r="N30" i="13"/>
  <c r="N45" i="13"/>
  <c r="N16" i="13"/>
  <c r="N66" i="13"/>
  <c r="P50" i="13"/>
  <c r="O12" i="13"/>
  <c r="D7" i="10" s="1"/>
  <c r="N12" i="13"/>
  <c r="N5" i="13"/>
  <c r="P69" i="13"/>
  <c r="O59" i="13"/>
  <c r="D10" i="10" s="1"/>
  <c r="N20" i="13"/>
  <c r="N87" i="1"/>
  <c r="D63" i="16"/>
  <c r="N32" i="1"/>
  <c r="D39" i="16"/>
  <c r="M94" i="1"/>
  <c r="M84" i="1"/>
  <c r="M105" i="1"/>
  <c r="D75" i="16" s="1"/>
  <c r="L50" i="1"/>
  <c r="L75" i="1"/>
  <c r="L72" i="1"/>
  <c r="L70" i="1"/>
  <c r="L69" i="1"/>
  <c r="M66" i="1" s="1"/>
  <c r="K64" i="1"/>
  <c r="L64" i="1" s="1"/>
  <c r="L57" i="1"/>
  <c r="L31" i="1"/>
  <c r="K12" i="1"/>
  <c r="L12" i="1" s="1"/>
  <c r="M12" i="1" s="1"/>
  <c r="L11" i="1"/>
  <c r="P59" i="13" l="1"/>
  <c r="P25" i="13"/>
  <c r="P12" i="13"/>
  <c r="N66" i="1"/>
  <c r="D54" i="16"/>
  <c r="N84" i="1"/>
  <c r="D62" i="16"/>
  <c r="N12" i="1"/>
  <c r="D28" i="16"/>
  <c r="N94" i="1"/>
  <c r="D69" i="16"/>
  <c r="M70" i="1"/>
  <c r="D55" i="16" s="1"/>
  <c r="N105" i="1"/>
  <c r="O105" i="1"/>
  <c r="P105" i="1" s="1"/>
  <c r="N70" i="1" l="1"/>
  <c r="L102" i="1"/>
  <c r="M102" i="1" s="1"/>
  <c r="L100" i="1"/>
  <c r="M98" i="1" s="1"/>
  <c r="K92" i="1"/>
  <c r="L92" i="1" s="1"/>
  <c r="M91" i="1" s="1"/>
  <c r="K90" i="1"/>
  <c r="L90" i="1" s="1"/>
  <c r="K89" i="1"/>
  <c r="L89" i="1" s="1"/>
  <c r="L81" i="1"/>
  <c r="M81" i="1" s="1"/>
  <c r="L77" i="1"/>
  <c r="M77" i="1" s="1"/>
  <c r="D60" i="16" s="1"/>
  <c r="K76" i="1"/>
  <c r="L76" i="1" s="1"/>
  <c r="M75" i="1" s="1"/>
  <c r="K62" i="1"/>
  <c r="L62" i="1" s="1"/>
  <c r="M62" i="1" s="1"/>
  <c r="D53" i="16" s="1"/>
  <c r="L61" i="1"/>
  <c r="L60" i="1"/>
  <c r="L58" i="1"/>
  <c r="M56" i="1" s="1"/>
  <c r="K54" i="1"/>
  <c r="L54" i="1" s="1"/>
  <c r="M54" i="1" s="1"/>
  <c r="L53" i="1"/>
  <c r="L52" i="1"/>
  <c r="L48" i="1"/>
  <c r="L47" i="1"/>
  <c r="L44" i="1"/>
  <c r="L43" i="1"/>
  <c r="K42" i="1"/>
  <c r="L42" i="1" s="1"/>
  <c r="L40" i="1"/>
  <c r="M39" i="1" s="1"/>
  <c r="L38" i="1"/>
  <c r="L37" i="1"/>
  <c r="L36" i="1"/>
  <c r="L35" i="1"/>
  <c r="L34" i="1"/>
  <c r="K33" i="1"/>
  <c r="L33" i="1" s="1"/>
  <c r="K30" i="1"/>
  <c r="L30" i="1" s="1"/>
  <c r="M29" i="1" s="1"/>
  <c r="L26" i="1"/>
  <c r="L25" i="1"/>
  <c r="L24" i="1"/>
  <c r="L23" i="1"/>
  <c r="L22" i="1"/>
  <c r="K20" i="1"/>
  <c r="L20" i="1" s="1"/>
  <c r="M18" i="1" s="1"/>
  <c r="K17" i="1"/>
  <c r="L17" i="1" s="1"/>
  <c r="M16" i="1" s="1"/>
  <c r="L15" i="1"/>
  <c r="L14" i="1"/>
  <c r="L10" i="1"/>
  <c r="L9" i="1"/>
  <c r="L7" i="1"/>
  <c r="L6" i="1"/>
  <c r="L5" i="1"/>
  <c r="N29" i="1" l="1"/>
  <c r="D38" i="16"/>
  <c r="N56" i="1"/>
  <c r="D48" i="16"/>
  <c r="N91" i="1"/>
  <c r="D68" i="16"/>
  <c r="N18" i="1"/>
  <c r="D35" i="16"/>
  <c r="N81" i="1"/>
  <c r="D61" i="16"/>
  <c r="N98" i="1"/>
  <c r="D70" i="16"/>
  <c r="N75" i="1"/>
  <c r="D56" i="16"/>
  <c r="N16" i="1"/>
  <c r="D34" i="16"/>
  <c r="N39" i="1"/>
  <c r="D44" i="16"/>
  <c r="N54" i="1"/>
  <c r="D47" i="16"/>
  <c r="N102" i="1"/>
  <c r="D71" i="16"/>
  <c r="M6" i="1"/>
  <c r="M89" i="1"/>
  <c r="M25" i="1"/>
  <c r="M33" i="1"/>
  <c r="M60" i="1"/>
  <c r="M21" i="1"/>
  <c r="M45" i="1"/>
  <c r="N62" i="1"/>
  <c r="O62" i="1"/>
  <c r="O89" i="1"/>
  <c r="P89" i="1" s="1"/>
  <c r="M42" i="1"/>
  <c r="O77" i="1"/>
  <c r="P77" i="1" s="1"/>
  <c r="N77" i="1"/>
  <c r="M14" i="1"/>
  <c r="D33" i="16" s="1"/>
  <c r="M8" i="1"/>
  <c r="E60" i="11"/>
  <c r="C59" i="11"/>
  <c r="E54" i="11"/>
  <c r="C53" i="11"/>
  <c r="E46" i="11"/>
  <c r="C45" i="11"/>
  <c r="E42" i="11"/>
  <c r="C41" i="11"/>
  <c r="E36" i="11"/>
  <c r="C35" i="11"/>
  <c r="E31" i="11"/>
  <c r="C30" i="11"/>
  <c r="E25" i="11"/>
  <c r="C24" i="11"/>
  <c r="C13" i="11"/>
  <c r="C68" i="15"/>
  <c r="D68" i="15"/>
  <c r="C62" i="15"/>
  <c r="C49" i="15"/>
  <c r="C42" i="15"/>
  <c r="C35" i="15"/>
  <c r="C28" i="15"/>
  <c r="C22" i="15"/>
  <c r="C21" i="15"/>
  <c r="C13" i="15"/>
  <c r="C3" i="15"/>
  <c r="C2" i="15"/>
  <c r="K22" i="9"/>
  <c r="K21" i="9"/>
  <c r="K20" i="9"/>
  <c r="K19" i="9"/>
  <c r="K18" i="9"/>
  <c r="K17" i="9"/>
  <c r="K16" i="9"/>
  <c r="K15" i="9"/>
  <c r="K14" i="9"/>
  <c r="K13" i="9"/>
  <c r="K12" i="9"/>
  <c r="K11" i="9"/>
  <c r="K10" i="9"/>
  <c r="K9" i="9"/>
  <c r="K8" i="9"/>
  <c r="K7" i="9"/>
  <c r="K6" i="9"/>
  <c r="K5" i="9"/>
  <c r="K4" i="9"/>
  <c r="K3" i="9"/>
  <c r="L3" i="9" s="1"/>
  <c r="C74" i="10"/>
  <c r="C70" i="10"/>
  <c r="C63" i="10"/>
  <c r="C56" i="10"/>
  <c r="C49" i="10"/>
  <c r="C39" i="10"/>
  <c r="C21" i="10"/>
  <c r="C20" i="10"/>
  <c r="C13" i="10"/>
  <c r="C3" i="10"/>
  <c r="C2" i="10"/>
  <c r="K3" i="13"/>
  <c r="L3" i="13" s="1"/>
  <c r="M3" i="13" s="1"/>
  <c r="D25" i="10" s="1"/>
  <c r="E69" i="5"/>
  <c r="C68" i="5"/>
  <c r="E63" i="5"/>
  <c r="C62" i="5"/>
  <c r="E55" i="5"/>
  <c r="C54" i="5"/>
  <c r="E48" i="5"/>
  <c r="C47" i="5"/>
  <c r="E41" i="5"/>
  <c r="C40" i="5"/>
  <c r="E33" i="5"/>
  <c r="C32" i="5"/>
  <c r="C22" i="5"/>
  <c r="C13" i="5"/>
  <c r="C78" i="16"/>
  <c r="C72" i="16"/>
  <c r="C64" i="16"/>
  <c r="C57" i="16"/>
  <c r="C50" i="16"/>
  <c r="C40" i="16"/>
  <c r="A31" i="16"/>
  <c r="E30" i="16"/>
  <c r="C29" i="16"/>
  <c r="C21" i="16"/>
  <c r="C20" i="16"/>
  <c r="C13" i="16"/>
  <c r="C3" i="16"/>
  <c r="C2" i="16"/>
  <c r="K4" i="1"/>
  <c r="L4" i="1" s="1"/>
  <c r="L3" i="1"/>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A3" i="7"/>
  <c r="C70" i="15" l="1"/>
  <c r="N3" i="13"/>
  <c r="O3" i="13"/>
  <c r="D6" i="10" s="1"/>
  <c r="N21" i="1"/>
  <c r="D36" i="16"/>
  <c r="P62" i="1"/>
  <c r="D9" i="16"/>
  <c r="N60" i="1"/>
  <c r="D49" i="16"/>
  <c r="N33" i="1"/>
  <c r="D43" i="16"/>
  <c r="N89" i="1"/>
  <c r="D67" i="16"/>
  <c r="N6" i="1"/>
  <c r="D26" i="16"/>
  <c r="N8" i="1"/>
  <c r="D27" i="16"/>
  <c r="N42" i="1"/>
  <c r="D45" i="16"/>
  <c r="N45" i="1"/>
  <c r="D46" i="16"/>
  <c r="N25" i="1"/>
  <c r="D37" i="16"/>
  <c r="M3" i="1"/>
  <c r="O3" i="1" s="1"/>
  <c r="O33" i="1"/>
  <c r="P33" i="1" s="1"/>
  <c r="O14" i="1"/>
  <c r="N14" i="1"/>
  <c r="A69" i="15"/>
  <c r="D22" i="11"/>
  <c r="D33" i="11"/>
  <c r="D56" i="11"/>
  <c r="D44" i="11"/>
  <c r="D45" i="11" s="1"/>
  <c r="D27" i="11"/>
  <c r="D39" i="11"/>
  <c r="D40" i="11"/>
  <c r="D51" i="11"/>
  <c r="D52" i="11"/>
  <c r="D58" i="11"/>
  <c r="D29" i="11"/>
  <c r="D23" i="11"/>
  <c r="D38" i="11"/>
  <c r="D49" i="11"/>
  <c r="D50" i="11"/>
  <c r="C76" i="10"/>
  <c r="C80" i="16"/>
  <c r="D31" i="5"/>
  <c r="D37" i="5"/>
  <c r="D38" i="5"/>
  <c r="D46" i="5"/>
  <c r="D53" i="5"/>
  <c r="D59" i="5"/>
  <c r="D21" i="5"/>
  <c r="D27" i="5"/>
  <c r="D30" i="5"/>
  <c r="D36" i="5"/>
  <c r="D39" i="5"/>
  <c r="D45" i="5"/>
  <c r="D51" i="5"/>
  <c r="D52" i="5"/>
  <c r="D58" i="5"/>
  <c r="D60" i="5"/>
  <c r="D67" i="5"/>
  <c r="D19" i="5"/>
  <c r="D20" i="5"/>
  <c r="D35" i="5"/>
  <c r="D50" i="5"/>
  <c r="D57" i="5"/>
  <c r="D25" i="5"/>
  <c r="D26" i="5"/>
  <c r="D28" i="5"/>
  <c r="D29" i="5"/>
  <c r="D43" i="5"/>
  <c r="D44" i="5"/>
  <c r="D61" i="5"/>
  <c r="D65" i="5"/>
  <c r="D66" i="5"/>
  <c r="D18" i="5"/>
  <c r="E9" i="15" l="1"/>
  <c r="E11" i="15"/>
  <c r="D54" i="15"/>
  <c r="A55" i="15" s="1"/>
  <c r="E10" i="15"/>
  <c r="P3" i="13"/>
  <c r="P14" i="1"/>
  <c r="D7" i="16"/>
  <c r="P3" i="1"/>
  <c r="D6" i="16"/>
  <c r="N3" i="1"/>
  <c r="D25" i="16"/>
  <c r="D57" i="11"/>
  <c r="D59" i="11" s="1"/>
  <c r="D62" i="15"/>
  <c r="A63" i="15" s="1"/>
  <c r="D28" i="11"/>
  <c r="D30" i="11" s="1"/>
  <c r="D48" i="11"/>
  <c r="D53" i="11" s="1"/>
  <c r="D42" i="15"/>
  <c r="A43" i="15" s="1"/>
  <c r="D35" i="15"/>
  <c r="D49" i="15"/>
  <c r="A50" i="15" s="1"/>
  <c r="D6" i="11"/>
  <c r="D41" i="11"/>
  <c r="D24" i="11"/>
  <c r="D28" i="15"/>
  <c r="A29" i="15" s="1"/>
  <c r="D10" i="11"/>
  <c r="E10" i="11" s="1"/>
  <c r="D9" i="11"/>
  <c r="E9" i="11" s="1"/>
  <c r="D11" i="11"/>
  <c r="E11" i="11" s="1"/>
  <c r="D34" i="11"/>
  <c r="D35" i="11" s="1"/>
  <c r="D12" i="11"/>
  <c r="E12" i="11" s="1"/>
  <c r="E12" i="15"/>
  <c r="D56" i="10"/>
  <c r="A57" i="10" s="1"/>
  <c r="E7" i="10"/>
  <c r="D11" i="16"/>
  <c r="E11" i="16" s="1"/>
  <c r="D10" i="16"/>
  <c r="E10" i="16" s="1"/>
  <c r="D8" i="16"/>
  <c r="E8" i="16" s="1"/>
  <c r="D12" i="16"/>
  <c r="E12" i="16" s="1"/>
  <c r="D47" i="5"/>
  <c r="D32" i="5"/>
  <c r="D10" i="5"/>
  <c r="E10" i="5" s="1"/>
  <c r="D9" i="5"/>
  <c r="E9" i="5" s="1"/>
  <c r="D7" i="5"/>
  <c r="E7" i="5" s="1"/>
  <c r="D54" i="5"/>
  <c r="D22" i="5"/>
  <c r="D12" i="5"/>
  <c r="E12" i="5" s="1"/>
  <c r="D62" i="5"/>
  <c r="D40" i="5"/>
  <c r="D6" i="5"/>
  <c r="D68" i="5"/>
  <c r="D11" i="5"/>
  <c r="E11" i="5" s="1"/>
  <c r="D8" i="5"/>
  <c r="E8" i="5" s="1"/>
  <c r="D29" i="10"/>
  <c r="D70" i="10"/>
  <c r="A71" i="10" s="1"/>
  <c r="D49" i="10"/>
  <c r="A50" i="10" s="1"/>
  <c r="D78" i="16"/>
  <c r="D74" i="10"/>
  <c r="A75" i="10" s="1"/>
  <c r="D63" i="10"/>
  <c r="A64" i="10" s="1"/>
  <c r="E11" i="10"/>
  <c r="E8" i="10"/>
  <c r="E9" i="10"/>
  <c r="A36" i="15" l="1"/>
  <c r="A71" i="15"/>
  <c r="A72" i="15" s="1"/>
  <c r="E7" i="15"/>
  <c r="D7" i="11"/>
  <c r="E7" i="11" s="1"/>
  <c r="E6" i="15"/>
  <c r="A30" i="10"/>
  <c r="D8" i="11"/>
  <c r="E8" i="11" s="1"/>
  <c r="E8" i="15"/>
  <c r="E6" i="11"/>
  <c r="D39" i="10"/>
  <c r="A40" i="10" s="1"/>
  <c r="E7" i="16"/>
  <c r="E9" i="16"/>
  <c r="D72" i="16"/>
  <c r="A73" i="16" s="1"/>
  <c r="D50" i="16"/>
  <c r="A51" i="16" s="1"/>
  <c r="D29" i="16"/>
  <c r="D40" i="16"/>
  <c r="A41" i="16" s="1"/>
  <c r="D57" i="16"/>
  <c r="A58" i="16" s="1"/>
  <c r="E6" i="5"/>
  <c r="D13" i="5"/>
  <c r="E13" i="5" s="1"/>
  <c r="E14" i="5" s="1"/>
  <c r="D64" i="16"/>
  <c r="A65" i="16" s="1"/>
  <c r="E10" i="10"/>
  <c r="A79" i="16"/>
  <c r="E12" i="10"/>
  <c r="D76" i="10" l="1"/>
  <c r="A77" i="10" s="1"/>
  <c r="A78" i="10" s="1"/>
  <c r="E6" i="16"/>
  <c r="D13" i="16"/>
  <c r="A15" i="16" s="1"/>
  <c r="A17" i="16" s="1"/>
  <c r="D80" i="16"/>
  <c r="A81" i="16" s="1"/>
  <c r="A82" i="16" s="1"/>
  <c r="D13" i="15"/>
  <c r="E13" i="15" s="1"/>
  <c r="D13" i="11"/>
  <c r="E13" i="11" s="1"/>
  <c r="E14" i="11" s="1"/>
  <c r="D13" i="10"/>
  <c r="E6" i="10"/>
  <c r="A15" i="15" l="1"/>
  <c r="A17" i="15" s="1"/>
  <c r="E13" i="16"/>
  <c r="E13" i="10"/>
  <c r="A15" i="10"/>
  <c r="A17" i="10" s="1"/>
</calcChain>
</file>

<file path=xl/sharedStrings.xml><?xml version="1.0" encoding="utf-8"?>
<sst xmlns="http://schemas.openxmlformats.org/spreadsheetml/2006/main" count="2614" uniqueCount="573">
  <si>
    <t>Metric
Num</t>
  </si>
  <si>
    <t>S.
No</t>
  </si>
  <si>
    <t>Metric
Description</t>
  </si>
  <si>
    <t>1.1.1</t>
  </si>
  <si>
    <t>1.2.1</t>
  </si>
  <si>
    <t>1.2.2</t>
  </si>
  <si>
    <t>1.3.1</t>
  </si>
  <si>
    <t>1.3.2</t>
  </si>
  <si>
    <t>1.4.1</t>
  </si>
  <si>
    <t>2.1.1</t>
  </si>
  <si>
    <t>2.1.2</t>
  </si>
  <si>
    <t>2.2.1</t>
  </si>
  <si>
    <t>2.3.1</t>
  </si>
  <si>
    <t>2.4.1</t>
  </si>
  <si>
    <t>2.4.2</t>
  </si>
  <si>
    <t>2.5.1</t>
  </si>
  <si>
    <t>2.6.1</t>
  </si>
  <si>
    <t>2.6.2</t>
  </si>
  <si>
    <t>2.7.1</t>
  </si>
  <si>
    <t>3.1.1</t>
  </si>
  <si>
    <t>3.2.1</t>
  </si>
  <si>
    <t>3.2.2</t>
  </si>
  <si>
    <t>3.3.1</t>
  </si>
  <si>
    <t>3.3.2</t>
  </si>
  <si>
    <t>3.4.1</t>
  </si>
  <si>
    <t>3.4.2</t>
  </si>
  <si>
    <t>3.4.3</t>
  </si>
  <si>
    <t>3.5.1</t>
  </si>
  <si>
    <t>4.1.1</t>
  </si>
  <si>
    <t>4.1.2</t>
  </si>
  <si>
    <t>4.2.1</t>
  </si>
  <si>
    <t>4.3.1</t>
  </si>
  <si>
    <t>4.3.2</t>
  </si>
  <si>
    <t>4.4.1</t>
  </si>
  <si>
    <t>5.1.1</t>
  </si>
  <si>
    <t>5.1.2</t>
  </si>
  <si>
    <t>5.1.3</t>
  </si>
  <si>
    <t>5.1.4</t>
  </si>
  <si>
    <t>5.2.1</t>
  </si>
  <si>
    <t>5.2.2</t>
  </si>
  <si>
    <t>5.3.1</t>
  </si>
  <si>
    <t>5.3.2</t>
  </si>
  <si>
    <t>5.4.1</t>
  </si>
  <si>
    <t>6.1.1</t>
  </si>
  <si>
    <t>6.2.1</t>
  </si>
  <si>
    <t>6.2.2</t>
  </si>
  <si>
    <t>6.3.1</t>
  </si>
  <si>
    <t>6.3.2</t>
  </si>
  <si>
    <t>6.3.3</t>
  </si>
  <si>
    <t>6.4.1</t>
  </si>
  <si>
    <t>6.5.1</t>
  </si>
  <si>
    <t>6.5.2</t>
  </si>
  <si>
    <t>7.1.1</t>
  </si>
  <si>
    <t>7.1.2</t>
  </si>
  <si>
    <t>7.1.3</t>
  </si>
  <si>
    <t>7.1.4</t>
  </si>
  <si>
    <t>7.2.1</t>
  </si>
  <si>
    <t>7.3.1</t>
  </si>
  <si>
    <t>QlM</t>
  </si>
  <si>
    <t>QnM</t>
  </si>
  <si>
    <t>1.1 Curriculum Planning and Implementation</t>
  </si>
  <si>
    <t>1.2 Academic Flexibility</t>
  </si>
  <si>
    <t>1.3 Curriculum Enrichment</t>
  </si>
  <si>
    <t>1.4 Feedback System</t>
  </si>
  <si>
    <t>2.1 Student Enrolment and Profile</t>
  </si>
  <si>
    <t>2.2 Student Teacher Ratio</t>
  </si>
  <si>
    <t>2.4 Teacher Profile and Quality</t>
  </si>
  <si>
    <t>2.5 Evaluation Process and Reforms</t>
  </si>
  <si>
    <t>2.6 Student Performance and Learning Outcomes</t>
  </si>
  <si>
    <t>2.7 Student Satisfaction Survey</t>
  </si>
  <si>
    <t>3.1 Resource Mobilization for Research</t>
  </si>
  <si>
    <t>3.2 Innovation Ecosystem</t>
  </si>
  <si>
    <t>3.3 Research Publications and Awards</t>
  </si>
  <si>
    <t>3.4 Extension Activities</t>
  </si>
  <si>
    <t>3.5 Collaboration</t>
  </si>
  <si>
    <t>4.1 Physical Facilities</t>
  </si>
  <si>
    <t>4.2 Library as a Learning Resource</t>
  </si>
  <si>
    <t>4.3 IT Infrastructure</t>
  </si>
  <si>
    <t>4.4 Maintenance of Campus Infrastructure</t>
  </si>
  <si>
    <t>5.1 Student Support</t>
  </si>
  <si>
    <t>5.2 Student Progression</t>
  </si>
  <si>
    <t>5.3 Student Participation and Activities</t>
  </si>
  <si>
    <t>5.4 Alumni Engagement</t>
  </si>
  <si>
    <t>6.1 Institutional Vision and Leadership</t>
  </si>
  <si>
    <t>6.2 Strategy Development and Deployment</t>
  </si>
  <si>
    <t>6.3 Faculty Empowerment Strategies</t>
  </si>
  <si>
    <t>6.4 Financial Management and Resource Mobilization</t>
  </si>
  <si>
    <t>6.5 Internal Quality Assurance System (IQAS)</t>
  </si>
  <si>
    <t>7.1 Institutional Values and Social Responsibilities</t>
  </si>
  <si>
    <t>7.2 Best Practices</t>
  </si>
  <si>
    <t>7.3 Institutional Distinctiveness</t>
  </si>
  <si>
    <t>1. Curricular Aspects</t>
  </si>
  <si>
    <t>2. Teaching-Learning and Evaluation</t>
  </si>
  <si>
    <t>3. Research, Innovations and Extension</t>
  </si>
  <si>
    <t>4. Infrastructure and Learning Resources</t>
  </si>
  <si>
    <t>5. Student Support and Progression</t>
  </si>
  <si>
    <t>6. Governance, Leadership and Management</t>
  </si>
  <si>
    <t>7. Institutional Values and Best Practices</t>
  </si>
  <si>
    <t>Number of students year wise during the last five years</t>
  </si>
  <si>
    <t>Year</t>
  </si>
  <si>
    <t>Number</t>
  </si>
  <si>
    <t>Number of full time teachers during the last five years
(Without repeat count):</t>
  </si>
  <si>
    <t>Number of full time teachers year wise during the last five years</t>
  </si>
  <si>
    <t>Expenditure excluding salary component year wise during the last five years (INR in lakhs)</t>
  </si>
  <si>
    <t>INR in
Lakhs</t>
  </si>
  <si>
    <t>1 Student:</t>
  </si>
  <si>
    <t>2 Teachers:</t>
  </si>
  <si>
    <t>3. Expenditure:</t>
  </si>
  <si>
    <t>Criteria</t>
  </si>
  <si>
    <t>Response</t>
  </si>
  <si>
    <t>Grade</t>
  </si>
  <si>
    <r>
      <rPr>
        <b/>
        <sz val="16"/>
        <color theme="1"/>
        <rFont val="Calibri"/>
        <family val="2"/>
        <scheme val="minor"/>
      </rPr>
      <t>©</t>
    </r>
    <r>
      <rPr>
        <sz val="11"/>
        <color theme="1"/>
        <rFont val="Calibri"/>
        <family val="2"/>
        <scheme val="minor"/>
      </rPr>
      <t xml:space="preserve">
Wt</t>
    </r>
  </si>
  <si>
    <r>
      <t xml:space="preserve">Criteria
</t>
    </r>
    <r>
      <rPr>
        <b/>
        <sz val="18"/>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</si>
  <si>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Type</t>
    </r>
  </si>
  <si>
    <r>
      <t xml:space="preserve">Key
Indicator
</t>
    </r>
    <r>
      <rPr>
        <b/>
        <sz val="11"/>
        <color theme="1"/>
        <rFont val="Calibri"/>
        <family val="2"/>
        <scheme val="minor"/>
      </rPr>
      <t xml:space="preserve"> (</t>
    </r>
    <r>
      <rPr>
        <b/>
        <sz val="14"/>
        <color theme="1"/>
        <rFont val="Calibri"/>
        <family val="2"/>
        <scheme val="minor"/>
      </rPr>
      <t>KI</t>
    </r>
    <r>
      <rPr>
        <b/>
        <sz val="11"/>
        <color theme="1"/>
        <rFont val="Calibri"/>
        <family val="2"/>
        <scheme val="minor"/>
      </rPr>
      <t>)</t>
    </r>
  </si>
  <si>
    <r>
      <t xml:space="preserve">Metric
</t>
    </r>
    <r>
      <rPr>
        <b/>
        <sz val="14"/>
        <color theme="1"/>
        <rFont val="Calibri"/>
        <family val="2"/>
        <scheme val="minor"/>
      </rPr>
      <t>(M)</t>
    </r>
    <r>
      <rPr>
        <sz val="11"/>
        <color theme="1"/>
        <rFont val="Calibri"/>
        <family val="2"/>
        <scheme val="minor"/>
      </rPr>
      <t xml:space="preserve">
Num</t>
    </r>
  </si>
  <si>
    <r>
      <rPr>
        <b/>
        <sz val="12"/>
        <color theme="1"/>
        <rFont val="Arial"/>
        <family val="2"/>
      </rPr>
      <t>KI</t>
    </r>
    <r>
      <rPr>
        <sz val="8"/>
        <color theme="1"/>
        <rFont val="Arial"/>
        <family val="2"/>
      </rPr>
      <t>wise
weighted
Grade
points</t>
    </r>
  </si>
  <si>
    <r>
      <rPr>
        <b/>
        <sz val="12"/>
        <color theme="1"/>
        <rFont val="Arial"/>
        <family val="2"/>
      </rPr>
      <t>KI</t>
    </r>
    <r>
      <rPr>
        <sz val="8"/>
        <color theme="1"/>
        <rFont val="Arial"/>
        <family val="2"/>
      </rPr>
      <t>wise
weighted
Grade
points
Average</t>
    </r>
  </si>
  <si>
    <r>
      <rPr>
        <b/>
        <sz val="16"/>
        <color theme="1"/>
        <rFont val="Calibri"/>
        <family val="2"/>
        <scheme val="minor"/>
      </rPr>
      <t>©</t>
    </r>
    <r>
      <rPr>
        <sz val="8"/>
        <color theme="1"/>
        <rFont val="Arial"/>
        <family val="2"/>
      </rPr>
      <t>Wise
Weighted
Grade
Point
Average</t>
    </r>
  </si>
  <si>
    <r>
      <rPr>
        <b/>
        <sz val="16"/>
        <color theme="1"/>
        <rFont val="Calibri"/>
        <family val="2"/>
        <scheme val="minor"/>
      </rPr>
      <t>©</t>
    </r>
    <r>
      <rPr>
        <sz val="8"/>
        <color theme="1"/>
        <rFont val="Arial"/>
        <family val="2"/>
      </rPr>
      <t>Wise
Weighted 
Average</t>
    </r>
  </si>
  <si>
    <r>
      <rPr>
        <b/>
        <sz val="12"/>
        <color theme="1"/>
        <rFont val="Arial"/>
        <family val="2"/>
      </rPr>
      <t>M</t>
    </r>
    <r>
      <rPr>
        <sz val="8"/>
        <color theme="1"/>
        <rFont val="Arial"/>
        <family val="2"/>
      </rPr>
      <t xml:space="preserve">
wise weighted Grade points</t>
    </r>
  </si>
  <si>
    <r>
      <t xml:space="preserve">Metric
Grade
scale
</t>
    </r>
    <r>
      <rPr>
        <b/>
        <sz val="14"/>
        <color theme="1"/>
        <rFont val="Arial"/>
        <family val="2"/>
      </rPr>
      <t>(0-4</t>
    </r>
    <r>
      <rPr>
        <b/>
        <sz val="11"/>
        <color theme="1"/>
        <rFont val="Arial"/>
        <family val="2"/>
      </rPr>
      <t>)</t>
    </r>
  </si>
  <si>
    <r>
      <rPr>
        <b/>
        <sz val="12"/>
        <color theme="1"/>
        <rFont val="Arial"/>
        <family val="2"/>
      </rPr>
      <t>M</t>
    </r>
    <r>
      <rPr>
        <sz val="11"/>
        <color theme="1"/>
        <rFont val="Calibri"/>
        <family val="2"/>
        <scheme val="minor"/>
      </rPr>
      <t xml:space="preserve">
Wt</t>
    </r>
  </si>
  <si>
    <r>
      <rPr>
        <b/>
        <sz val="12"/>
        <color theme="1"/>
        <rFont val="Arial"/>
        <family val="2"/>
      </rPr>
      <t>KI</t>
    </r>
    <r>
      <rPr>
        <sz val="11"/>
        <color theme="1"/>
        <rFont val="Calibri"/>
        <family val="2"/>
        <scheme val="minor"/>
      </rPr>
      <t xml:space="preserve">
Wt</t>
    </r>
  </si>
  <si>
    <r>
      <t>Metric (</t>
    </r>
    <r>
      <rPr>
        <b/>
        <sz val="12"/>
        <color theme="1"/>
        <rFont val="Arial"/>
        <family val="2"/>
      </rPr>
      <t xml:space="preserve">M) </t>
    </r>
    <r>
      <rPr>
        <sz val="11"/>
        <color theme="1"/>
        <rFont val="Calibri"/>
        <family val="2"/>
        <scheme val="minor"/>
      </rPr>
      <t>Description</t>
    </r>
  </si>
  <si>
    <t>A</t>
  </si>
  <si>
    <t>B</t>
  </si>
  <si>
    <t>D</t>
  </si>
  <si>
    <t>C</t>
  </si>
  <si>
    <t>Best Practices</t>
  </si>
  <si>
    <t>Weightage
(Wi</t>
  </si>
  <si>
    <t>Curricular Aspects</t>
  </si>
  <si>
    <t>Teaching-learning and
Evaluation</t>
  </si>
  <si>
    <t>Research, Innovations
and Extension</t>
  </si>
  <si>
    <t>Infrastructure and Learning Resources</t>
  </si>
  <si>
    <t>Student Support and Progression</t>
  </si>
  <si>
    <t>Governance, Leadership and Management</t>
  </si>
  <si>
    <t>Institutional Values and Best Practices</t>
  </si>
  <si>
    <t>Status</t>
  </si>
  <si>
    <t>3.51-4.00</t>
  </si>
  <si>
    <t>A++</t>
  </si>
  <si>
    <t>Accredited</t>
  </si>
  <si>
    <t>3.26-3.500</t>
  </si>
  <si>
    <t>3.01-3.25</t>
  </si>
  <si>
    <t>2.76-3.00</t>
  </si>
  <si>
    <t>2.51-2.75</t>
  </si>
  <si>
    <t>2.01-2.50</t>
  </si>
  <si>
    <t>≤ 1.50</t>
  </si>
  <si>
    <t>1.51-2.00</t>
  </si>
  <si>
    <t>A+</t>
  </si>
  <si>
    <t>B++</t>
  </si>
  <si>
    <t>B+</t>
  </si>
  <si>
    <t>Not Accredited</t>
  </si>
  <si>
    <t>Range of Institutional
Cumulative Grade
Point Average (CGPA)</t>
  </si>
  <si>
    <t>Letter
Grade</t>
  </si>
  <si>
    <t>Criteria and Key Indicators</t>
  </si>
  <si>
    <t>Key Indicator
Weightage
(Wi)</t>
  </si>
  <si>
    <t>Key Indicator Wise
Weighted
Grade Points
(KIWGP)i</t>
  </si>
  <si>
    <t>Key Indicator wise
Grade
Point
Averages
(CrWGPi/Wi)</t>
  </si>
  <si>
    <t>Criterionwise
Grade Point
Averages
(CrWGPi/Wi)</t>
  </si>
  <si>
    <t>Criterion-wise
weighted Grade
Point 
(CrWGPi)</t>
  </si>
  <si>
    <t>Criterion 1: Curricular Aspects</t>
  </si>
  <si>
    <t>Criterion 2: Teaching-learning and Evaluation</t>
  </si>
  <si>
    <t>No</t>
  </si>
  <si>
    <t>Teacher Profile and Quality</t>
  </si>
  <si>
    <t>Evaluation Process and Reforms</t>
  </si>
  <si>
    <t>Student Performance and Learning Outcomes</t>
  </si>
  <si>
    <t>Student Satisfaction Survey</t>
  </si>
  <si>
    <t>Student Enrollment and Profile</t>
  </si>
  <si>
    <t>Catering to Student Diversity</t>
  </si>
  <si>
    <t>Teaching- Learning Process</t>
  </si>
  <si>
    <t>Criterion 3: Research, Innovations and Extension</t>
  </si>
  <si>
    <t>Resource Mobilization for Research</t>
  </si>
  <si>
    <t>Innovation Ecosystem</t>
  </si>
  <si>
    <t>Research Publications and Awards</t>
  </si>
  <si>
    <t>Extension Activities</t>
  </si>
  <si>
    <t>Collaboration</t>
  </si>
  <si>
    <t>Criterion 4: Infrastructure and Learning Resources</t>
  </si>
  <si>
    <t>Physical Facilities</t>
  </si>
  <si>
    <t>Library as a Learning Resource</t>
  </si>
  <si>
    <t>IT Infrastructure</t>
  </si>
  <si>
    <t>Maintenance of Campus Infrastructure</t>
  </si>
  <si>
    <t>Criterion 5: Student Support and Progression</t>
  </si>
  <si>
    <t>Student Support</t>
  </si>
  <si>
    <t>Student Progression</t>
  </si>
  <si>
    <t>Student Participation and Activities</t>
  </si>
  <si>
    <t>Alumni Engagement</t>
  </si>
  <si>
    <t>Criterion 6: Governance, Leadership and Management</t>
  </si>
  <si>
    <t>Institutional Vision and Leadership</t>
  </si>
  <si>
    <t>Strategy Development and Development</t>
  </si>
  <si>
    <t>Faculty Empowerment Strategies</t>
  </si>
  <si>
    <t>Financial Management and Resource Mobilization</t>
  </si>
  <si>
    <t>Internal Quality Assurance System</t>
  </si>
  <si>
    <t>Criterion 7: Institutional Values and Best Practices</t>
  </si>
  <si>
    <t>Institutional Values and Social Responsibilities</t>
  </si>
  <si>
    <t>Institutional Distinctiveness</t>
  </si>
  <si>
    <r>
      <rPr>
        <b/>
        <sz val="16"/>
        <color theme="1"/>
        <rFont val="Calibri"/>
        <family val="2"/>
        <scheme val="minor"/>
      </rPr>
      <t>P</t>
    </r>
    <r>
      <rPr>
        <sz val="11"/>
        <color theme="1"/>
        <rFont val="Calibri"/>
        <family val="2"/>
        <scheme val="minor"/>
      </rPr>
      <t xml:space="preserve">
Response 
Score</t>
    </r>
  </si>
  <si>
    <r>
      <t xml:space="preserve">HEI
</t>
    </r>
    <r>
      <rPr>
        <b/>
        <sz val="12"/>
        <color theme="1"/>
        <rFont val="Calibri"/>
        <family val="2"/>
        <scheme val="minor"/>
      </rPr>
      <t>I/P</t>
    </r>
    <r>
      <rPr>
        <b/>
        <sz val="11"/>
        <color theme="1"/>
        <rFont val="Calibri"/>
        <family val="2"/>
        <scheme val="minor"/>
      </rPr>
      <t xml:space="preserve">
(Response)</t>
    </r>
  </si>
  <si>
    <t>Academic Flexibility</t>
  </si>
  <si>
    <t>Curriculum Enrichment</t>
  </si>
  <si>
    <t>Feedback System</t>
  </si>
  <si>
    <t>Curriculum Planning and Implementation</t>
  </si>
  <si>
    <t>Qualitative Grade Sheet</t>
  </si>
  <si>
    <t>Name of the Institution:</t>
  </si>
  <si>
    <t>Type of the Institution:</t>
  </si>
  <si>
    <t>Dates of Visit:</t>
  </si>
  <si>
    <t>Quantitative Grade Sheet</t>
  </si>
  <si>
    <t>Key
Indicator
Weightage
(Wi)</t>
  </si>
  <si>
    <t>Key Indicator 
Wise Weighted
Grade Points
(KIWGP)i</t>
  </si>
  <si>
    <t xml:space="preserve"> Curriculum Planning and Implementation</t>
  </si>
  <si>
    <t xml:space="preserve"> Academic Flexibility</t>
  </si>
  <si>
    <t>*</t>
  </si>
  <si>
    <t>RESPONSE</t>
  </si>
  <si>
    <t>Institute
Name</t>
  </si>
  <si>
    <t>Criterion-
wise Grade 
Point
Averages
(CrWGPi/Wi)</t>
  </si>
  <si>
    <t>Total</t>
  </si>
  <si>
    <t>Grand Total</t>
  </si>
  <si>
    <t>Criterion wise - Quantitative Grade Sheet</t>
  </si>
  <si>
    <t xml:space="preserve"> Grade Sheet</t>
  </si>
  <si>
    <t>Criterion wise - Grade Sheet</t>
  </si>
  <si>
    <t>Row Labels</t>
  </si>
  <si>
    <t>Average of Metric</t>
  </si>
  <si>
    <t>Graphical Representation of Grade points</t>
  </si>
  <si>
    <t>Metric Wise QnM Grade Points(0-4)</t>
  </si>
  <si>
    <t>Key Indicator Wise QnM Grade Points(0-4)</t>
  </si>
  <si>
    <t>Criteria Wise QnM Grade Points(0-4)</t>
  </si>
  <si>
    <t>Metric Wise QlM Grade Points(0-4)</t>
  </si>
  <si>
    <t>Criteria Wise QlM Grade Points(0-4)</t>
  </si>
  <si>
    <t>Key Indicator Wise QlM Grade Points(0-4)</t>
  </si>
  <si>
    <t>Criteria Wise Grade Points(0-4)</t>
  </si>
  <si>
    <t>Key Indicator Wise Grade Points(0-4)</t>
  </si>
  <si>
    <t>Each Metric Wise Grade Points(0-4)</t>
  </si>
  <si>
    <t>QnM/QlM Wise Grade Points(0-4)</t>
  </si>
  <si>
    <t xml:space="preserve">Curricula developed and implemented have relevance to the local, national, regional and global developmental needs which is reflected in Programme outcomes (POs), Programme Specific outcomes (PSOs) and Course Outcomes (COs) of the Programmes offered by the Institution 
Write description in maximum of 500 words 
</t>
  </si>
  <si>
    <t>1.1.2</t>
  </si>
  <si>
    <t xml:space="preserve">Percentage of Programmes where syllabus revision was carried out during the last five years 
1.1.2.1: How many Programmes were revised out of total number of Programmes offered during the same period within last five years? 
1.1.2.2 : Number of all Programmes offered by the institution during the last five years
</t>
  </si>
  <si>
    <t>1.1.3</t>
  </si>
  <si>
    <t xml:space="preserve">Average percentage of courses having focus on employability/ entrepreneurship/ skill development offered by the institution during the last five years 
1.1.3.1: Number of courses having focus on employability/ entrepreneurship/ skill development year wise during last five years 
</t>
  </si>
  <si>
    <t xml:space="preserve">Percentage of new courses introduced of the total number of courses across all programs offered during the last five years 
1.2.1.1: How many new courses are introduced within the last five years 
1.2.1.2 : Number of courses offered by the institution across all Programmes during the last five years 
</t>
  </si>
  <si>
    <t xml:space="preserve">Percentage of Programmes in which Choice Based Credit System (CBCS)/elective course system has been implemented (Data for the latest completed academic year ) 
1.2.2.1: Number of Programmes in which CBCS/Elective course system implemented.
</t>
  </si>
  <si>
    <t xml:space="preserve">Institution integrates crosscutting issues relevant to Professional Ethics, Gender, Human Values, Environment and Sustainability, Human Values into the Curriculum 
Write description in maximum of 500 words
 </t>
  </si>
  <si>
    <t xml:space="preserve">Number of value-added courses for imparting transferable and life skills offered during last five years 
1.3.2.1: How many new value-added courses are added within the last 5 years 
</t>
  </si>
  <si>
    <t>1.3.3</t>
  </si>
  <si>
    <t xml:space="preserve">Average Percentage of students enrolled in the courses under 1.3.2 above 
1.3.3.1: Number of students enrolled in value added courses (beyond the curriculum) offered year wise during last five year
</t>
  </si>
  <si>
    <t>1.3.4</t>
  </si>
  <si>
    <t xml:space="preserve">Percentage of students undertaking field projects/ internships / student projects (Data for the latest completed academic year) 
1.3.4.1: Number of students undertaking field projects / internships / student projects </t>
  </si>
  <si>
    <t xml:space="preserve">Structured feedback for design and review of syllabus ( semester wise / year wise) is obtained from 1) Students, 2) Teachers, 3) Employers, 4) Alumni 
</t>
  </si>
  <si>
    <t>1.4.2</t>
  </si>
  <si>
    <t xml:space="preserve">The feedback system of the Institution comprises of the following : 
A. Feedback collected, analysed and action taken and report made available on website 
B. Feedback collected, analysed and action taken 
C. Feedback collected and analysed 
D. Feedback collected 
E. Feedback not obtained 
</t>
  </si>
  <si>
    <t xml:space="preserve">Average Enrolment percentage (Average of last five years) 
2.1.1.1: Number of students admitted year wise during last five years 
2.1.1.2: Number of sanctioned seats year wise during last five years </t>
  </si>
  <si>
    <t>Average percentage of seats filled against reserved categories (SC, ST, OBC, Divyangjan, etc. as per applicable reservation policy ) during the last five years  ( exclusive of supernumerary seats) 
2.1.2.1: Number of actual students admitted from the reserved categories year wise during last five years</t>
  </si>
  <si>
    <t xml:space="preserve">The institution assesses the learning levels of the students and organises special Programmes for advanced learners and slow learners.
Write description in of 500 words 
</t>
  </si>
  <si>
    <t>2.2.2</t>
  </si>
  <si>
    <t xml:space="preserve">Student - Full time teacher ratio (Data for the latest completed academic year) </t>
  </si>
  <si>
    <t xml:space="preserve">Student centric methods, such as experiential learning, participative learning and problem solving methodologies are used for enhancing learning experiences 
Write description in maximum of 500 words </t>
  </si>
  <si>
    <t>2.3.2</t>
  </si>
  <si>
    <t xml:space="preserve">Teachers use ICT enabled tools including online resources for effective teaching and learning process 
Write description in maximum of 500 words </t>
  </si>
  <si>
    <t>2.3.3</t>
  </si>
  <si>
    <t>Ratio of students to mentor for academic and other related issues (Data for the latest completed academic year ) 
2.3.3.1: Number of mentors 
             Number of students assigned to each Mentor</t>
  </si>
  <si>
    <t>2.3.4</t>
  </si>
  <si>
    <t>Preparation and adherence of Academic Calendar and Teaching plans by the institution 
Describe the Preparation and adherence to Academic Calendar and Teaching plans by the institution within the minimum of 500 Characters and maximum of 500 words.</t>
  </si>
  <si>
    <t xml:space="preserve">Average percentage of full time teachers against sanctioned posts during the last five years 
</t>
  </si>
  <si>
    <t xml:space="preserve">Average percentage of full time teachers with Ph.D. / D.M. / M.Ch. / D.N.B Super speciality / D.Sc. / D.Litt. during the last five years 
2.4.2.1: Number of full time teachers with Ph.D./ D.M. / M.Ch. / D.N.B Super speciality / D.Sc. / D.Litt. year wise during last five years 
</t>
  </si>
  <si>
    <t>2.4.3</t>
  </si>
  <si>
    <t xml:space="preserve">Average teaching experience of full time teachers in the same institution (Data for the latest completed academic year in number of  years
2.4.3.1: Total experience of full-time teachers </t>
  </si>
  <si>
    <t xml:space="preserve">Average number of days from the date of last semester-end/ year- end examination till the declaration of results during the last five years 
2.5.1.1: Number of days from the date of last semester-end/ year- end examination till the declaration of results year wise during the last five years
</t>
  </si>
  <si>
    <t>2.5.2</t>
  </si>
  <si>
    <t xml:space="preserve">Average percentage of student complaints/grievances about evaluation against total number appeared in the examinations during the last five years 
2.5.2.1: Number of complaints/grievances about evaluation year wise during last five years </t>
  </si>
  <si>
    <t>2.5.3</t>
  </si>
  <si>
    <t xml:space="preserve">IT integration and reforms in the examination procedures and processes including Continuous Internal Assessment (CIA) have brought in considerable improvement in Examination Management System (EMS) of the Institution 
Describe the examination reforms with reference to the following within a minimum of 500 words and maximum 1000 words:  
</t>
  </si>
  <si>
    <t xml:space="preserve">Programme outcomes and course outcomes for all Programmes offered by the institution are stated and displayed on website and communicated to teachers and students 
Describe Course Outcomes (COs) for all courses and mechanism of communication within a maximum of 500 words 
</t>
  </si>
  <si>
    <t xml:space="preserve">Attainment of program outcomes and course outcomes are evaluated by the institution 
Describe the method of measuring attainment of POs , PSOs and COs in not more than 500 words and the level of attainment of POs , PSOs and COs. </t>
  </si>
  <si>
    <t>2.6.3</t>
  </si>
  <si>
    <t>Pass percentage of students (Data for the latest completed academic year) 
2.6.3.1: Total number of final year students who passed the examination conducted by Institution. 
2.6.3.2: Total number of final year students who appeared for the examination</t>
  </si>
  <si>
    <t xml:space="preserve">Online student satisfaction survey regarding to teaching learning process. (Online survey to be conducted) </t>
  </si>
  <si>
    <t xml:space="preserve">The institution Research facilities are frequently updated and there is well defined policy for promotion of research which is uploaded on the institutional website and implemented 
Write description in maximum of 500 words </t>
  </si>
  <si>
    <t>3.1.2</t>
  </si>
  <si>
    <t xml:space="preserve">The institution provides seed money to its teachers for research 
(Average per year) 
3.1.2.1: The amount of seed money provided by institution to its teachers for research year wise during last five years (INR in lakhs) </t>
  </si>
  <si>
    <t>3.1.3</t>
  </si>
  <si>
    <t>Percentage of teachers awarded national / international fellowship for advanced studies/research during the last five years 
3.1.3.1: The number of teachers awarded national / international fellowship for advanced studies / research year wise during last five years</t>
  </si>
  <si>
    <t>Grants received from Government and non-governmental agencies for research projects, endowments, Chairs in the institution during the last five years (INR in Lakhs) 
3.2.1.1: Total Grants from Government and non-governmental agencies for research projects , endowments, Chairs in the institution during the last five years (INR in Lakhs)</t>
  </si>
  <si>
    <t xml:space="preserve">Percentage of teachers having research projects during the last five years 
3.2.2.1: Number of teachers having research projects during the last five years 
</t>
  </si>
  <si>
    <t>3.2.3</t>
  </si>
  <si>
    <t>Percentage of teachers recognised as research guides 
3.2.3.1: Number of teachers recognised as research guides</t>
  </si>
  <si>
    <t>3.2.4</t>
  </si>
  <si>
    <t xml:space="preserve">Average percentage of departments having Research projects funded by government and non-government agencies during the last five years 
3.2.4.1: Number of departments having Research projects funded by government and non-government agencies during the last five years </t>
  </si>
  <si>
    <t>Institution has created an eco system for innovations, creation and transfer of knowledge supported by dedicated centers for research, entrepreneurship, community orientation, Incubation etc. 
Write description in maximum of 500 words</t>
  </si>
  <si>
    <t xml:space="preserve">Number of workshops/seminars conducted on Research Methodology, Intellectual Property Rights (IPR), entrepreneurship and skills development during the last five years 
3.3.2.1: Total number of workshops/seminars conducted on Research Methodology, Intellectual Property Rights (IPR) and entrepreneurship and skills development year wise during last five years </t>
  </si>
  <si>
    <t>The Institution ensures implementation of its stated Code of Ethics for research through the following: 
1. Inclusion of research ethics in the research methodology course work 
2. Presence of Ethics committee 
3. Plagiarism check through software 
4. Research Advisory Committee</t>
  </si>
  <si>
    <t xml:space="preserve">Number of Ph.D’s registered per teacher (as per the data given w.r.t recognized Ph.D guides/ supervisors provided at 3.2.3 metric) during the last five years 
3.4.2.1: How many Ph.Ds are registered within last 5 years 
3.4.2.2 : Number of teachers recognized as guides during the last five years </t>
  </si>
  <si>
    <t xml:space="preserve">Number of research papers per teacher in the Journals notified on UGC website during the last five years 
3.4.3.1: Number of research papers in the Journals notified on UGC website during the last five </t>
  </si>
  <si>
    <t>3.4.4</t>
  </si>
  <si>
    <t>Number of books and chapters in edited volumes / books published per teacher during the last five years 
3.4.4.1: Total number of books and chapters in edited volumes / books published, and papers in national/international conference-proceedings year wise during last five years</t>
  </si>
  <si>
    <t>3.4.5</t>
  </si>
  <si>
    <t xml:space="preserve">Bibliometrics of the publications during the last five years based on average Citation index in Scopus/ Web of Science/ PubMed 
3.4.5.1:  Total number of Citations in Scopus in 5 years 
              Total number of Citations in Web of Science in 5 years 
3.4.5.2 : Total number of Publications in Scopus in 5 years 
              Total number of Publications in Web of Science in 5 years  
</t>
  </si>
  <si>
    <t>3.4.6</t>
  </si>
  <si>
    <t xml:space="preserve">Bibliometrics of the publications during the last five years based on Scopus/ Web of Science – h-index of the Institution 
3.4.6.1: h-index of Scopus during the last five years 
h-index of Web of Science during the last five years </t>
  </si>
  <si>
    <t xml:space="preserve">Revenue generated from consultancy and corporate training during the last five years (INR in Lakhs) 
3.5.1.1: Total amount generated from consultancy and corporate training year wise during last five years (INR in lakhs) </t>
  </si>
  <si>
    <t>3.5.2</t>
  </si>
  <si>
    <t xml:space="preserve">Total amount spent on developing facilities, training teachers and staff for undertaking consultancy during the last five years 
3.5.2.1: Total amount spent on developing facilities, training teachers and staff for undertaking consultancy during the last five years 
</t>
  </si>
  <si>
    <t>3.6.1</t>
  </si>
  <si>
    <t xml:space="preserve">Extension activities are carried out in the neighbourhood community, sensitising students to social issues, for their holistic development, and impact thereof during the last five years 
Describe the impact of extension activities in sensitising students to social issues and holistic development within a maximum of 500 words 
</t>
  </si>
  <si>
    <t>3.6.2</t>
  </si>
  <si>
    <t xml:space="preserve">Number of awards and recognition received by the Institution, its teachers and students for extension activities from Government / Government recognised bodies during last five years 
3.6.2.1: Total number of awards and recognition received for extension activities from Government /recognised bodies year wise during last five years 
</t>
  </si>
  <si>
    <t>3.6.3</t>
  </si>
  <si>
    <t xml:space="preserve">Number of extension and outreach programs conducted by the institution through NSS/NCC/Red cross/YRC etc., during the last five years ( including Government initiated programs such as Swachh Bharat, Aids Awareness, Gender Issue, etc. and those organised in collaboration with industry, community and NGOs) 
3.6.3.1: Number of extension and outreach programs conducted in collaboration with industry, community and Non-Government Organisations through NSS/NCC/Red cross/YRC etc., year wise during last five years
</t>
  </si>
  <si>
    <t>3.6.4</t>
  </si>
  <si>
    <t xml:space="preserve">Average percentage of students participating in extension activities listed at 3.6.3 above during the last five years 
3.6.4.1: Total number of students participating in extension activities with Government Organisations, Non-Government Organisations and Programmes such as Swachh Bharat, Aids Awareness, Gender Issue, etc. year wise during last five years 
</t>
  </si>
  <si>
    <t>3.7.1</t>
  </si>
  <si>
    <t xml:space="preserve">Number of Collaborative activities per year for research/ faculty exchange/ student exchange/ internship/ on –the-job training/ project work 
3.7.1.1: Total number of Collaborative activities per year for research/ faculty exchange/ student exchange/ internship/ on –the-job training/ project work  
</t>
  </si>
  <si>
    <t>3.7.2</t>
  </si>
  <si>
    <t xml:space="preserve">Number of functional MoUs with institutions of national, international importance, other universities, industries, corporate houses etc. during the last five years (only functional MoUs with ongoing activities to be considered) 
3.7.2.1: Number of functional MoUs with institutions of national, international importance, other Institutions, industries, corporate houses etc. year wise during last five years  
Data Template
</t>
  </si>
  <si>
    <t xml:space="preserve">The Institution has adequate infrastructure and physical facilities for teaching – learning, viz., classrooms, laboratories, computing equipment, etc. 
Describe the adequacy of facilities for teaching –learning as per the minimum specified requirement by statutory bodies within a maximum of 500 words 
</t>
  </si>
  <si>
    <t xml:space="preserve">The institution has adequate facilities for cultural activities, yoga, games (indoor, outdoor) and sports. (gymnasium, yoga centre, auditorium, etc.) 
Describe the adequacy facilities for cultural activities, yoga, games (indoor, outdoor) and sports which include specification about area/size, year of establishment and user rate within minimum of 500 characters and maximum of 500 words
</t>
  </si>
  <si>
    <t>4.1.3</t>
  </si>
  <si>
    <t xml:space="preserve">Percentage of classrooms and seminar halls with ICT – enabled facilities such as smart class, LMS, etc. (Data for the latest completed academic year) 
4.1.3.1: Number of classrooms and seminar halls with ICT facilities 
</t>
  </si>
  <si>
    <t>4.1.4</t>
  </si>
  <si>
    <t xml:space="preserve">Average percentage of expenditure for infrastructure augmentation excluding salary during the last five years (INR in Lakhs) 
4.1.4.1: Expenditure for infrastructure augmentation, excluding salary year wise during last five years (INR in lakhs) 
</t>
  </si>
  <si>
    <t xml:space="preserve">Library is automated using Integrated Library Management System (ILMS) 
</t>
  </si>
  <si>
    <t>4.2.2</t>
  </si>
  <si>
    <t>Institution has access to the following: 
1. e-journals 
2. e-ShodhSindhu 
3. Shodhganga Membership 
4. e-books 
5. Databases 
6. Remote access to e-resources</t>
  </si>
  <si>
    <t>4.2.3</t>
  </si>
  <si>
    <t xml:space="preserve">Average annual expenditure for purchase of books/ e-books and subscription to journals/e-journals during the last five years (INR in Lakhs) 
4.2.3.1: Annual expenditure for purchase of books / e-books and subscription to journals/e-journals year wise during last five years (INR in lakhs)  </t>
  </si>
  <si>
    <t>4.2.4</t>
  </si>
  <si>
    <t xml:space="preserve">Percentage per day usage of library by teachers and students ( foot falls and login data for online access) 
4.2.6.1: Number of teachers and students using library per day over last one year 
</t>
  </si>
  <si>
    <t xml:space="preserve">Institution has an IT policy covering wi-fi, cyber security, etc., and allocated budget for updating its IT facilities 
Describe IT facilities including Wi-Fi with date and nature of updation within a maximum of 500 words </t>
  </si>
  <si>
    <t xml:space="preserve">Student - Computer ratio(Data for the latest completed academic year) 
</t>
  </si>
  <si>
    <t>4.3.3</t>
  </si>
  <si>
    <t xml:space="preserve">Bandwidth of internet connection in the Institution 
Options: 
A. ≥50 MBPS 
B. 35 MBPS - 50 MBPS 
C. 20 MBPS - 35 MBPS Opt One 
D. 5 MBPS - 20 MBPS 
E. &lt;5 MBPS </t>
  </si>
  <si>
    <t>4.3.4</t>
  </si>
  <si>
    <t xml:space="preserve">Institution has Facilities for e-content development 
Facilities available for e-content development : 
1. Media centre 
2. Audio visual centre, 
3. Lecture Capturing System(LCS) 
4. Mixing equipment's and software's for editing  
</t>
  </si>
  <si>
    <t xml:space="preserve">Average percentage expenditure incurred on maintenance of physical facilities and academic support facilities excluding salary component, during the last five years 
4.4.1.1: Expenditure incurred on maintenance of physical facilities and academic support facilities excluding salary component year wise during last five years (INR in lakhs) </t>
  </si>
  <si>
    <t>4.4.2</t>
  </si>
  <si>
    <t xml:space="preserve">There are established systems and procedures for maintaining and utilizing physical, academic and support facilities – laboratory, library, sports complex, computers, classrooms etc. 
Describe policy details of systems and procedures for maintaining and utilizing physical, academic and support facilities on the website within a minimum of 500 word and maximum of 1000 words  
</t>
  </si>
  <si>
    <t xml:space="preserve">Average percentage of students benefited by scholarships and 
freeships provided by the Government during the last five years 
5.1.1.1: Number of students benefited by scholarships and freeships provided by the Government year wise during last five years 
</t>
  </si>
  <si>
    <t xml:space="preserve">Average percentage of students benefited by scholarships, freeships, etc. provided by the institution and non-government agencies during the last five years 
5.1.2.1: Total number of students benefited by scholarships, freeships, etc provided by the institution and non-government agencies year wise during last five years </t>
  </si>
  <si>
    <t>Following Capacity development and skills enhancement activities are organised for improving students capability 
1. Soft skills 
2. Language and communication skills 
3. Life skills (Yoga, physical fitness, health and hygiene) 
4. Awareness of trends in technology</t>
  </si>
  <si>
    <t xml:space="preserve">Average percentage of students benefited by guidance for competitive examinations and career counselling offered by the institution during the last five years 
5.1.4.1: Number of students benefited by guidance for competitive examinations and career counselling offered by the institution year wise during last five years </t>
  </si>
  <si>
    <t>5.1.5</t>
  </si>
  <si>
    <t xml:space="preserve">The institution adopts the following for redressal of student grievances including sexual harassment and ragging cases 
1. Implementation of guidelines of statutory/regulatory bodies 
2. Organisation wide awareness and undertakings on policies with zero tolerance 
3. Mechanisms for submission of online/offline students’ grievances 
4. Timely redressal of the grievances through appropriate committees 
</t>
  </si>
  <si>
    <t>Average percentage of placement of outgoing students during the last five years 
5.2.1.1: Number of outgoing students placed year wise during last five years</t>
  </si>
  <si>
    <t xml:space="preserve">Percentage of student progression to higher education (previous graduating batch) 
5.2.2.1: Number of outgoing students progressing to higher education 
Data Requirements: (As per Data Template) 
Number of students proceeding from 
UG to PG:. 
PG to MPhil: 
PG to PhD: 
MPhil to PhD: 
PhD to Post doctoral: </t>
  </si>
  <si>
    <t>5.2.3</t>
  </si>
  <si>
    <t xml:space="preserve">Average percentage of students qualifying in state/ national/ international level examinations during the last five years 
(eg: IIT/JAM/NET/SLET/GATE/GMAT/CAT/ GRE/TOEFL/Civil Services/State government examinations etc.) 
5.2.3.1: Number of students qualifying in state/ national/ international level examinations (eg: IIT/JAM/NET/SLET/GATE/GMAT/CAT/ GRE/TOEFL/Civil Services/State government examinations) year wise during last five years  
5.2.3.2: Number of students appearing in state/ national/ international level examinations (eg: IIT/JAM/ NET/SLET/GATE/GMAT/CAT, GRE/TOEFL/Civil Services/State government examinations) year wise during last five years  
</t>
  </si>
  <si>
    <t xml:space="preserve">Number of awards/medals for outstanding performance in sports/cultural activities at inter-university / state /national / international events (award for a team event should be counted as one) during the last five years 
5.3.1.1: Number of awards/medals for outstanding performance in sports/cultural activities at inter-university / state / national / international level (award for a team event should be counted as one) year wise during last five years </t>
  </si>
  <si>
    <t xml:space="preserve">Presence of an active Student Council &amp; representation of students on academic &amp; administrative bodies/committees of the institution 
Describe the Student Council activity and students role in academic &amp; administrative bodies within a minimum of 500 characters and maximum of 500 words  
</t>
  </si>
  <si>
    <t>5.3.3</t>
  </si>
  <si>
    <t xml:space="preserve">Average number of sports and cultural events / competitions organised by the institution per year 
5.3.3.1: Number of sports and cultural events / competitions organised by the institution year wise during last five years  
</t>
  </si>
  <si>
    <t xml:space="preserve">The Alumni Association/Chapters (registered and functional)contributes significantly to the development of the institution through financial and other support services 
Describe contribution of alumni association to the institution within a maximum of 500 words 
</t>
  </si>
  <si>
    <t>5.4.2</t>
  </si>
  <si>
    <t xml:space="preserve">Alumni financial contribution during the last five years (in INR) 
Options: 
A. ≥ 15 Lakhs 
B. 10Lakhs - 15 Lakhs 
C. 5 Lakhs - 10 Lakhs 
D. 2 Lakhs - 5 </t>
  </si>
  <si>
    <t xml:space="preserve">The governance of the institution is reflective of an effective leadership in tune with the vision and mission of the Institution 
Describe the vision and mission statement of the institution on the nature of governance, perspective plans and participation of the teachers in the decision making bodies of the institution within a maximum of 500 words. </t>
  </si>
  <si>
    <t>6.1.2</t>
  </si>
  <si>
    <t xml:space="preserve">The effective leadership is reflected in various institutional practices such as decentralization and participative management 
Upload a case study showing practicing decentralisation and participative management in the institution in not more than 500 words </t>
  </si>
  <si>
    <t xml:space="preserve">The institutional Strategic/ Perspective plan is effectively deployed 
Describe one activity successfully implemented based on the strategic plan within a maximum of 500 words  
</t>
  </si>
  <si>
    <t xml:space="preserve">The functioning of the institutional bodies is effective and efficient as visible from policies, administrative setup appointment and service rules, procedures, etc. 
Describe the Organogram of the Institution within a maximum of 500 words
</t>
  </si>
  <si>
    <t>6.2.3</t>
  </si>
  <si>
    <t xml:space="preserve">Implementation of e-governance in areas of operation: 
1. Administration 
2. Finance and Accounts 
3. Student Admission and Support 
4. Examination </t>
  </si>
  <si>
    <t xml:space="preserve">The institution has effective welfare measures for teaching and non-teaching staff and avenues for career development/ progression 
Provide the list of existing welfare measures for teaching and non-teaching staff in maximum of 500 words </t>
  </si>
  <si>
    <t xml:space="preserve">Average percentage of teachers provided with financial support to attend conferences / workshops and towards membership fee of professional bodies during the last five years 
6.3.2.1: Number of teachers provided with financial support to attend conferences / workshops and towards membership fee of professional bodies year wise during last five years </t>
  </si>
  <si>
    <t>Average number of professional development / administrative training programs organized by the Institution for teaching and non teaching staff during the last five years 
6.3.3.1: Total number of professional development / administrative training Programmes organized by the Institution for teaching and non teaching staff year wise during last five  years</t>
  </si>
  <si>
    <t>6.3.4</t>
  </si>
  <si>
    <t xml:space="preserve">Average percentage of teachers undergoing online/ face-to-face Faculty Development Programmes during the last five years 
(Professional Development Programmes, Orientation / Induction Programmes, Refresher Course, Short Term Course etc.,) 
6.3.4.1: Total number of teachers attending professional development Programmes, viz., Orientation Programme, Refresher Course, Short Term Course, Faculty Development Programmes year wise during last five years. 
</t>
  </si>
  <si>
    <t xml:space="preserve">Institution conducts internal and external financial audits regularly 
Enumerate the various internal and external financial audits carried out during the last five years with the mechanism for settling audit objections within a maximum of 500 words </t>
  </si>
  <si>
    <t>6.4.2</t>
  </si>
  <si>
    <t xml:space="preserve">Funds / Grants received from non-government bodies, individuals, philanthropists during the last five years (not covered in Criterion III and V) (INR in Lakhs) 
6.4.2.1: Total Grants received from non-government bodies, individuals, philanthropists year wise during last five years (INR in Lakhs)
</t>
  </si>
  <si>
    <t>6.4.3</t>
  </si>
  <si>
    <t xml:space="preserve">Institutional strategies for mobilisation of funds and the optimal utilisation of resources 
Describe the resource mobilisation policy and procedures of the Institution within a maximum of 500 words 
</t>
  </si>
  <si>
    <t xml:space="preserve">Internal Quality Assurance Cell (IQAC) has contributed significantly for institutionalizing the quality assurance strategies and processes visible in terms of – 
Incremental improvements made for the preceding five years with regard to quality (in case of first cycle) 
Incremental improvements made for the preceding five years with regard to quality and post accreditation quality initiatives (second and subsequent cycles) 
Describe two practices institutionalized as a result of IQAC initiatives within a maximum of 500 words </t>
  </si>
  <si>
    <t xml:space="preserve">The institution reviews its teaching learning process, structures &amp; methodologies of operations and learning outcomes at periodic intervals through IQAC set up as per norms 
Describe any two examples of institutional reviews and implementation of teaching learning reforms facilitated by the IQAC within a maximum of 500 words each </t>
  </si>
  <si>
    <t>6.5.3</t>
  </si>
  <si>
    <t xml:space="preserve">Quality assurance initiatives of the institution include: 
1. Regular meeting of Internal Quality Assurance Cell (IQAC); Feedback collected, analysed and used for improvements 
2. Collaborative quality initiatives with other institution(s) 
3. Participation in NIRF 
4. Any other quality audit recognized by state, national or international agencies (ISO Certification) 
</t>
  </si>
  <si>
    <t xml:space="preserve">Measures initiated by the Institution for the promotion of gender equity during the last five years. 
Describe gender equity &amp; sensitization in curricular and co-curricular activities, facilities for women on campus etc., within 500 words 
</t>
  </si>
  <si>
    <t xml:space="preserve">The Institution has facilities for alternate sources of energy and energy conservation measures 
1. Solar energy 
2. Biogas plant 
3. Wheeling to the Grid 
4. Sensor-based energy conservation 
5. Use of LED bulbs/ power efficient equipment 
</t>
  </si>
  <si>
    <t xml:space="preserve">Describe the facilities in the Institution for the management of the following types of degradable and non-degradable waste (within 500 words) 
1. Solid waste management 
2. Liquid waste management 
3. Biomedical waste management 
4. E-waste management 
5. Waste recycling system 
6. Hazardous chemicals and radioactive waste management 
</t>
  </si>
  <si>
    <t xml:space="preserve">Water conservation facilities available in the Institution: 
1. Rain water harvesting 
2. Borewell /Open well recharge 
3. Construction of tanks and bunds 
4. Waste water recycling 
5. Maintenance of water bodies and distribution system in the campus  
</t>
  </si>
  <si>
    <t>7.1.5</t>
  </si>
  <si>
    <t xml:space="preserve">Green campus initiatives include (4) 
7.1.5.1. The institutional initiatives for greening the campus are as follows: 
1. Restricted entry of automobiles 
2. Use of Bicycles/ Battery powered vehicles 
3. Pedestrian Friendly pathways 
4. Ban on use of Plastic 
5. landscaping with trees and plants 
</t>
  </si>
  <si>
    <t>7.1.6</t>
  </si>
  <si>
    <t xml:space="preserve">Quality audits on environment and energy are regularly undertaken by the institution (5) 
7.1.7.1. The institutional environment and energy initiatives are confirmed through the following 
1.Green audit 
2. Energy audit 
3.Environment audit 
4.Clean and green campus recognitions/awards 
5. Beyond the campus environmental promotional activities  
</t>
  </si>
  <si>
    <t>7.1.7</t>
  </si>
  <si>
    <t xml:space="preserve">The Institution has disabled-friendly, barrier free environment 
1. Built environment with ramps/lifts for easy access to classrooms. 
2. Disabled-friendly washrooms 
3. Signage including tactile path, lights, display boards and signposts 
4. Assistive technology and facilities for persons with disabilities ( Divyangjan) accessible website, screen-reading software, mechanized equipment 
5. Provision for enquiry and information : Human assistance, reader, scribe, soft      copies of reading material, screen reading 
</t>
  </si>
  <si>
    <t>7.1.8</t>
  </si>
  <si>
    <t xml:space="preserve">Describe the Institutional efforts/initiatives in providing an inclusive environment i.e., tolerance and harmony towards cultural, regional, linguistic, communal socioeconomic and other diversities (within 500 words). </t>
  </si>
  <si>
    <t>7.1.9</t>
  </si>
  <si>
    <t xml:space="preserve">Sensitization of students and employees of the Institution to the constitutional obligations: values, rights, duties and responsibilities of citizens 
Describe the various activities in the Institution for inculcating values for being responsible citizens as reflected in the Constitution of India within 500 words. </t>
  </si>
  <si>
    <t>7.1.10</t>
  </si>
  <si>
    <t xml:space="preserve">The Institution has a prescribed code of conduct for students, teachers, administrators and other staff and conducts periodic programmes in this regard. 
1. The Code of Conduct is displayed on the website 
2. There is a committee to monitor adherence to the Code of Conduct 
3. Institution organizes professional ethics programmes for students, teachers,  administrators and other staff 
4. Annual awareness programmes on Code of Conduct are organized 
</t>
  </si>
  <si>
    <t>7.1.11</t>
  </si>
  <si>
    <t xml:space="preserve">Institution celebrates / organizes national and international commemorative days, events and festivals 
Describe the efforts of the Institution in celebrating /organizing national and international commemorative days, events and festivals during the last five years within 500 words </t>
  </si>
  <si>
    <t xml:space="preserve">Describe two best practices successfully implemented by the Institution as per NAAC format provided in the Manual. </t>
  </si>
  <si>
    <t xml:space="preserve">Portray the performance of the Institution in one area distinctive to its priority and thrust within 1000 words  </t>
  </si>
  <si>
    <t>4 (= 100%)</t>
  </si>
  <si>
    <t>4 (&gt; 50%)</t>
  </si>
  <si>
    <t>4 (&gt; 100)</t>
  </si>
  <si>
    <t>4 (&gt; 75%)</t>
  </si>
  <si>
    <t>4 (&gt; 90%)</t>
  </si>
  <si>
    <t>4 (all of the Above)</t>
  </si>
  <si>
    <t>4 (&gt; 90)</t>
  </si>
  <si>
    <t>4 (15 : 01)</t>
  </si>
  <si>
    <t>4 (15-20)</t>
  </si>
  <si>
    <t>4 (100)</t>
  </si>
  <si>
    <t>4 (&gt; 80)</t>
  </si>
  <si>
    <t>4 (&gt; 15)</t>
  </si>
  <si>
    <t>4 (&lt; 10-15)</t>
  </si>
  <si>
    <t>4 (&lt; 1)</t>
  </si>
  <si>
    <t>3.5 (&gt;3.5)</t>
  </si>
  <si>
    <t>4 (&gt; 10L)</t>
  </si>
  <si>
    <t>4 (&gt;10%)</t>
  </si>
  <si>
    <t>4 (&gt; 300L)</t>
  </si>
  <si>
    <t>4 (&gt; 3)</t>
  </si>
  <si>
    <t>4 (&gt; 20)</t>
  </si>
  <si>
    <t>4 (&gt; 40)</t>
  </si>
  <si>
    <t>4 (&gt; 5)</t>
  </si>
  <si>
    <t>4 (&gt; 10)</t>
  </si>
  <si>
    <t>4 (&gt; 50)</t>
  </si>
  <si>
    <t>4 (&gt; 100L)</t>
  </si>
  <si>
    <t>4 (&gt; 30)</t>
  </si>
  <si>
    <t>4 (&gt; 150)</t>
  </si>
  <si>
    <t>4 (&gt; 20L)</t>
  </si>
  <si>
    <t>4 (&gt; 20%)</t>
  </si>
  <si>
    <t>4 (&lt; 4:1)</t>
  </si>
  <si>
    <t>4 (&gt; 25%)</t>
  </si>
  <si>
    <t>4 (&gt; 10%)</t>
  </si>
  <si>
    <t>4 (&gt; 80%)</t>
  </si>
  <si>
    <t>4 (&gt; 60%)</t>
  </si>
  <si>
    <t>4 (&gt; 30%)</t>
  </si>
  <si>
    <t>4 (&gt;15 L)</t>
  </si>
  <si>
    <t>4 (&gt; 100 L)</t>
  </si>
  <si>
    <t>4 (all 4 of  the above)</t>
  </si>
  <si>
    <t>4 (Any 4 or all of the above )</t>
  </si>
  <si>
    <t>2.2 Catering to Student Diversity</t>
  </si>
  <si>
    <t>2.3 Teaching-Learning Process</t>
  </si>
  <si>
    <t>3.1 Promotion of Research and Facilities</t>
  </si>
  <si>
    <t>3.2 Resource Mobilization for Research</t>
  </si>
  <si>
    <t>3.3 Innovation Ecosystem</t>
  </si>
  <si>
    <t>3.4 Research Publications and Awards</t>
  </si>
  <si>
    <t>3.5 Consultancy</t>
  </si>
  <si>
    <t>3.6 Extension Activities</t>
  </si>
  <si>
    <t>3.7 Collaboration</t>
  </si>
  <si>
    <t>Promotion of Research and Facilities</t>
  </si>
  <si>
    <t>Consultancy</t>
  </si>
  <si>
    <t>Teaching-Learning Process</t>
  </si>
  <si>
    <t>Curricula developed and implemented  have relevance to the local, national, regional and global developmental needs, which  is reflected in the Programme outcomes (POs), Programme Specific Outcomes (PSOs) and Course Outcomes(COs) of the Programmes offered by the University</t>
  </si>
  <si>
    <t>Percentage of Programmes where syllabus revision was carried out during the last five years</t>
  </si>
  <si>
    <t>Average percentage of courses having focus on employability/ entrepreneurship/ skill development offered by the University</t>
  </si>
  <si>
    <t>Percentage of new courses introduced out of the total number of courses across all programmes offered during the last five years</t>
  </si>
  <si>
    <t>Percentage of Programmes in which Choice Based Credit System
(CBCS)/elective course system has been implemented  (Data to be
given for the latest completed academic year)</t>
  </si>
  <si>
    <t xml:space="preserve">Institution integrates cross-cutting issues relevant to Professional
Ethics ,Gender, Human Values, Environment and Sustainability into
the Curriculum </t>
  </si>
  <si>
    <t xml:space="preserve">Number of value-added courses for imparting transferable and life
skills offered during the last five years  </t>
  </si>
  <si>
    <t xml:space="preserve">Average Percentage of students enrolled in the courses under 1.3.2
asabove </t>
  </si>
  <si>
    <t>Percentage  of students undertaking  field projects / research projects /
internships  (Data to be given for the latest completed  academic year)</t>
  </si>
  <si>
    <t>Structured feedback for design and review of syllabus – semester-
wise / year-wise is received from
1) Students, 2) Teachers, 3) Employers and  4) Alumni</t>
  </si>
  <si>
    <t>Feedback processes of the institution may be classified as follows</t>
  </si>
  <si>
    <t>Demand Ratio (Average of last five years)</t>
  </si>
  <si>
    <t>Average percentage of seats filled against reserved categories (SC, ST, OBC, Divyangjan, etc.) as per applicable  reservation policy during the last five years</t>
  </si>
  <si>
    <t>The institution assesses the learning levels of the students and organises special Programmes for advanced learners and slow learners.</t>
  </si>
  <si>
    <t>Student - Full time teacher ratio (Data for the latest completed academic year)</t>
  </si>
  <si>
    <t>Student centric methods, such as experiential learning, participative learning and problem solving methodologies are used for enhancing their learning experiences</t>
  </si>
  <si>
    <t>Teachers use ICT- enabled tools including online resources for effective teaching and learning processes</t>
  </si>
  <si>
    <t xml:space="preserve">Ratio of students mentored  for academic and other related issues (Data to be provided only for the latest completed academic year) </t>
  </si>
  <si>
    <t>Average percentage of full time teachers appointed against the number of sanctioned posts during the last five years</t>
  </si>
  <si>
    <t>Industry interaction</t>
  </si>
  <si>
    <t>Average teaching experience of full time teachers in the same institution (Data to be provided only for the latest completed academic year, in number of years)</t>
  </si>
  <si>
    <t xml:space="preserve">Average percentage of full time teachers who received awards, recognition, fellowships at the State, National, International level from Government/Govt. recognised bodies during the last five years </t>
  </si>
  <si>
    <t>Average number of days from the date of last semester-end/ year- end examination till the declaration of  results during the last  five years</t>
  </si>
  <si>
    <t>Average percentage of student complaints/ grievances about evaluation against total number appeared in the examinations during the last five years</t>
  </si>
  <si>
    <t>IT integration and reforms in the xamination procedures and processes (continuous internal assessment and end-semester
assessment) have brought in considerable improvement in examination management system of the institution</t>
  </si>
  <si>
    <t>Status of automation of Examination division along with approved Examination Manual</t>
  </si>
  <si>
    <t>The institution has stated learning outcomes  (generic and programme specific)/graduate attributes which are integrated into the assessment process and widely publicized through the website and other documents</t>
  </si>
  <si>
    <t>Attainment of Programme Outcomes, Programme Specific Outcomes
and Course Outcomes are evaluated by the institution</t>
  </si>
  <si>
    <t>Pass percentage of students (Data to be provided only  for the latest
completed academic year)</t>
  </si>
  <si>
    <t xml:space="preserve">Online Student Satisfaction Survey regarding the teaching-learning
process. (Online survey to be conducted) </t>
  </si>
  <si>
    <t xml:space="preserve">The institution’s Research facilities are frequently updated and  there is 
a well defined policy for promotion of research which  is uploaded on
the institutional website and implemented </t>
  </si>
  <si>
    <t xml:space="preserve">The institution provides seed money to its teachers for research (average per year; INR in Lakhs) </t>
  </si>
  <si>
    <t>Percentage  of teachers receiving national/ international fellowship/financial support by various agencies for advanced studies/
research  during the last five years</t>
  </si>
  <si>
    <t>Number of JRFs, SRFs, Post Doctoral Fellows, Research Associates and other research fellows enrolled in the institution during the last five years</t>
  </si>
  <si>
    <t>Institution has  the following facilities to support research:</t>
  </si>
  <si>
    <t>Percentage of departments with UGC-SAP, CAS, DST-FIST, DBT, ICSSR  and other recognitions by national and international  agencies (Data for the latest completed academic year)</t>
  </si>
  <si>
    <t xml:space="preserve">Extramural funding for Research (Grants sponsored by nongovernment sources such as industry, corporate houses, international bodies for research projects), endowments, Chairs in the University during the last five years (INR in Lakhs) </t>
  </si>
  <si>
    <t>Grants  for research projects sponsored by government agencies during the last five years (INR in Lakhs)</t>
  </si>
  <si>
    <t>Number of research projects per teacher funded by government and  
non-government agencies during the last five years</t>
  </si>
  <si>
    <t xml:space="preserve">Institution has created an ecosystem for innovations, including Incubation centre and other initiatives for the creation and transfer of knowledge </t>
  </si>
  <si>
    <t>Number of workshops/seminars conducted on Research methodology, Intellectual Property Rights (IPR), Entrepreneurship, Skill development during the last five years</t>
  </si>
  <si>
    <t>Number of awards / recognitions received for research/innovations  by the institution/ teachers/research scholars/students during the last five years</t>
  </si>
  <si>
    <t xml:space="preserve">The institution ensures implementation of its  stated Code of Ethics for research  </t>
  </si>
  <si>
    <t>The institution provides incentives to teachers who receive state, national and international recognitions/awards</t>
  </si>
  <si>
    <t xml:space="preserve">Number of  Patents published/awarded during the last five years </t>
  </si>
  <si>
    <t>Number  of Ph.Ds awarded per teacher during the last five years</t>
  </si>
  <si>
    <t xml:space="preserve">Number of research papers published per teacher in the Journals as notified on UGC website during the last five years   </t>
  </si>
  <si>
    <t>Number of books and  chapters in edited volumes published per teacher during the last five years</t>
  </si>
  <si>
    <t>E-content is developed by teachers :</t>
  </si>
  <si>
    <t>Bibliometrics of the publications during the last five years based on average  Citation Index in Scopus/ Web of Science/PubMed</t>
  </si>
  <si>
    <t xml:space="preserve">Bibliometrics of the publications during the last five years based on Scopus/ Web of  Science – h-Index of the University  </t>
  </si>
  <si>
    <t>Institution has a policy for consultancy including revenue sharing between the institution and the individual  and encourages its faculty to undertake consultancy</t>
  </si>
  <si>
    <t xml:space="preserve">Revenue generated from consultancy and corporate training during thelast five years (INR in Lakhs) </t>
  </si>
  <si>
    <t>Extension activities in the neighborhood community in terms of impact and  sensitizing the students to social issues and holistic development during the last five years</t>
  </si>
  <si>
    <t>Number of awards received by the Institution, its teachers and students from Government /Government-recognised bodies in recognition of the extension activities carried out  during the last five years</t>
  </si>
  <si>
    <t>Number of extension and outreach programs conducted  by the institution including those through NSS/NCC/Red cross/YRC during the last five years( including  Government-initiated programs such as Swachh Bharat, Aids Awareness, Gender Issue, etc. and those organised in collaboration with industry, community and NGOs)</t>
  </si>
  <si>
    <t>Average percentage of students participating in extension activities listed at 3.6.3 above,  during the last five years</t>
  </si>
  <si>
    <t xml:space="preserve">Number of collaborative activities with other institutions/ research establishment /industry for  research and academic development of faculty and students  per year </t>
  </si>
  <si>
    <t>Number of functional MoUs with institutions/ industries  in India and abroad for internship, on-the-job training, project work, student / faculty exchange and  collaborative research  during the last five years</t>
  </si>
  <si>
    <t>The institution has adequate facilities for teaching - learning. viz., classrooms, laboratories, computing equipment, etc.</t>
  </si>
  <si>
    <t>The institution has adequate facilities for cultural activities, yoga, games and sports (indoor &amp; outdoor); (gymnasium, yoga centre, auditorium, etc.,)</t>
  </si>
  <si>
    <t>Availability of general campus facilities and overall ambience</t>
  </si>
  <si>
    <t>Average percentage of expenditure excluding salary, for infrastructure augmentation during the last five years (INR in Lakhs)</t>
  </si>
  <si>
    <t>Library is automated using Integrated Library Management System  (ILMS)  and has digitisation facility</t>
  </si>
  <si>
    <t xml:space="preserve">Institution has subscription for e-Library resources </t>
  </si>
  <si>
    <t>Average annual expenditure for purchase of books/ e-books and subscription to journals/e-journals during the last five years (INR in Lakhs)</t>
  </si>
  <si>
    <t>Percentage per day usage of library by teachers and students ( foot falls and login data for online access) (Data to be provided only for the latest completed academic year)</t>
  </si>
  <si>
    <t xml:space="preserve">Percentage of classrooms and seminar halls with ICT - enabled facilities  such as LCD, smart board, Wi-Fi/LAN, audio video
recording facilities.(Data to be provided only for the latest completed academic year) </t>
  </si>
  <si>
    <t>Institution has an IT policy, makes appropriate budgetary provisions and updates its IT facilities including the Wi-Fi facility</t>
  </si>
  <si>
    <t>Student - Computer ratio (Data to be provided only  for the latest completed academic year)</t>
  </si>
  <si>
    <t>Available bandwidth of internet connection in the Institution (Leased line)</t>
  </si>
  <si>
    <t>Institution has the following Facilities for e-content development</t>
  </si>
  <si>
    <t>Average percentage expenditure incurred on maintenance of physical facilities and academic support facilities excluding salary component during the last five years</t>
  </si>
  <si>
    <t>There are established systems and procedures for maintaining and utilising physical, academic and support facilities -laboratory, library, sports complex,  computers, classrooms etc.</t>
  </si>
  <si>
    <t xml:space="preserve">Average percentage of students benefited by scholarships and freeships provided by the institution, Government and nongovernment agencies (NGOs) during the last five years (other than the students receiving scholarships under the government schemes for reserved categories) </t>
  </si>
  <si>
    <t>Average percentage of students benefited by career counseling and guidance for competitive examinations as offered by the Institution, during the last five years</t>
  </si>
  <si>
    <t xml:space="preserve">Following Capacity  development and skills enhancement initiatives are undertaken by the institution </t>
  </si>
  <si>
    <t>The Institution adopts  the following for redressal of student grievances including sexual harassment and ragging cases</t>
  </si>
  <si>
    <t>Average percentage of students qualifying in state/ national/ international level examinations during the last five years
(eg: NET/SLET/GATE/GMAT/CAT/GRE /JAM/IELTS/TOEFL/CLAT/  Civil Services/State government examinations)</t>
  </si>
  <si>
    <t>Average percentage of placement of outgoing students during the last five years</t>
  </si>
  <si>
    <t>Percentage of recently-graduated students who have progressed to higher education (previous graduating batch)</t>
  </si>
  <si>
    <t>Number of awards/medals  won by students for outstanding performance in sports/cultural activities at  inter-university/ state/national/international events (award for a team event should be counted as one) during the last five years</t>
  </si>
  <si>
    <t xml:space="preserve">Presence of Student Council and its  activities for institutional development and student welfare. </t>
  </si>
  <si>
    <t xml:space="preserve">Average number of sports and cultural events / competitions organised by the institution per year </t>
  </si>
  <si>
    <t xml:space="preserve">The Alumni Association/Chapters (registered and functional) contributes significantly to the development of the institution through financial and other support services during the last five years </t>
  </si>
  <si>
    <t>Alumni contribution during the last five years (INR in lakhs)</t>
  </si>
  <si>
    <t xml:space="preserve">The institution has a clearly stated vision and mission which are reflected in its academic and administrative governance                                      </t>
  </si>
  <si>
    <t xml:space="preserve">Effective leadership is reflected in various institutional practices such as decentralization and participative  management.  
</t>
  </si>
  <si>
    <t>The institutional Strategic plan is effectively deployed.</t>
  </si>
  <si>
    <t>Functioning of the institutional bodies is effective and efficient as visible from policies, administrative setup, appointment, service rules, and procedures, etc,</t>
  </si>
  <si>
    <t xml:space="preserve">Institution Implements e-governance in its areas of  operations </t>
  </si>
  <si>
    <t xml:space="preserve">The institution has a performance appraisal system, promotional avenues and effective welfare measures for teaching and non-teaching staff </t>
  </si>
  <si>
    <t>Average percentage of teachers provided with financial support to attend conferences /workshops and towards membership fee of professional bodies during last five years</t>
  </si>
  <si>
    <t>Average number of professional development / administrative training 
Programmes organized by the institution for teaching and non teaching staff during the last five years</t>
  </si>
  <si>
    <t xml:space="preserve">Average percentage of teachers undergoing online/ face-to-face Faculty Development Programmes (FDP)during the last five years (Professional Development Programmes, Orientation / Induction Programmes, Refresher Course, Short Term Course) </t>
  </si>
  <si>
    <t>Institutional strategies for mobilisation of funds and the optimal utilisation of resources</t>
  </si>
  <si>
    <t>Funds / Grants received from government bodies during the last five years for development and maintenance of infrastructure (not covered under Criteria
III and V )     (INR in Lakhs)</t>
  </si>
  <si>
    <t>Funds / Grants received from non-government bodies, individuals,
philanthropists during the last five  years for development and maintenance of infrastructure (not covered under Criteria III and V )     (INR in Lakhs)</t>
  </si>
  <si>
    <t xml:space="preserve">Institution regularly conducts internal and external financial  audits </t>
  </si>
  <si>
    <t>Internal Quality Assurance Cell (IQAC) has contributed significantly for
institutionalizing the quality assurance strategies and processes, by constantly
reviewing the teaching-learning process, structures &amp; methodologies of operations and learning outcomes, at periodic intervals</t>
  </si>
  <si>
    <t xml:space="preserve">Institution  has adopted the following for  Quality assurance: </t>
  </si>
  <si>
    <t>Incremental improvements made for the preceding five years with regard to quality  (in case of first cycle NAAC A/A)</t>
  </si>
  <si>
    <t>Measures initiated by the Institution for the promotion of gender equity during the last five years.</t>
  </si>
  <si>
    <t xml:space="preserve">The Institution has facilities for alternate sources of energy and energy conservation measures    </t>
  </si>
  <si>
    <t xml:space="preserve">Describe the facilities in the Institution for the management of the following types of degradable and non-degradable waste (within 500 words) </t>
  </si>
  <si>
    <t xml:space="preserve">Water conservation facilities available in the Institution:  </t>
  </si>
  <si>
    <t xml:space="preserve">Green campus initiatives    </t>
  </si>
  <si>
    <t xml:space="preserve">Quality audits on environment and energy are regularly undertaken by the institution </t>
  </si>
  <si>
    <t xml:space="preserve">The Institution has friendly, barrier free environment </t>
  </si>
  <si>
    <t>Describe the Institutional efforts/initiatives in providing an inclusive environment i.e., tolerance and harmony towards cultural, regional, linguistic, communal, socio-economic and such other diversities (within 500 words).</t>
  </si>
  <si>
    <t>Sensitization of students and employees of the Institution to the constitutional obligations: values, rights, duties and responsibilities of citizens</t>
  </si>
  <si>
    <t xml:space="preserve">The Institution has a prescribed code of conduct for students, teachers, administrators and other staff and conducts periodic programmes in this regard. </t>
  </si>
  <si>
    <t xml:space="preserve">Institution celebrates / organizes national and international commemorative days, events and festivals </t>
  </si>
  <si>
    <t xml:space="preserve">Describe two Best practices successfully implemented by the Institution as per the NAAC format provided in the Manual. </t>
  </si>
  <si>
    <t xml:space="preserve">Portray  the performance of the Institution in one area distinctive to its priority and thrust within 1000 words </t>
  </si>
  <si>
    <t>2.4.4</t>
  </si>
  <si>
    <t>2.5.4</t>
  </si>
  <si>
    <t>3.1.4</t>
  </si>
  <si>
    <t>3.1.5</t>
  </si>
  <si>
    <t>3.1.6</t>
  </si>
  <si>
    <t>3.3.3</t>
  </si>
  <si>
    <t>3.4.7</t>
  </si>
  <si>
    <t>3.4.8</t>
  </si>
  <si>
    <t>3.4.9</t>
  </si>
  <si>
    <t>4.3.5</t>
  </si>
  <si>
    <t>6.4.4</t>
  </si>
  <si>
    <t>University</t>
  </si>
  <si>
    <t>23:1</t>
  </si>
  <si>
    <t>E</t>
  </si>
  <si>
    <t>Sum of M
Wt2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</si>
</sst>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0"/>
      <color theme="1"/>
      <name val="Arial"/>
      <family val="2"/>
    </font>
    <font>
      <sz val="10"/>
      <color rgb="FFFF0000"/>
      <name val="Arial"/>
      <family val="2"/>
    </font>
    <font>
      <b/>
      <sz val="11"/>
      <color theme="1"/>
      <name val="Calibri"/>
      <family val="2"/>
      <scheme val="minor"/>
    </font>
    <font>
      <sz val="8"/>
      <color theme="1"/>
      <name val="Arial"/>
      <family val="2"/>
    </font>
    <font>
      <b/>
      <sz val="16"/>
      <color theme="1"/>
      <name val="Calibri"/>
      <family val="2"/>
      <scheme val="minor"/>
    </font>
    <font>
      <b/>
      <sz val="12"/>
      <color theme="1"/>
      <name val="Arial"/>
      <family val="2"/>
    </font>
    <font>
      <b/>
      <sz val="11"/>
      <color theme="1"/>
      <name val="Arial"/>
      <family val="2"/>
    </font>
    <font>
      <b/>
      <sz val="18"/>
      <color theme="1"/>
      <name val="Calibri"/>
      <family val="2"/>
      <scheme val="minor"/>
    </font>
    <font>
      <b/>
      <sz val="14"/>
      <color theme="1"/>
      <name val="Calibri"/>
      <family val="2"/>
      <scheme val="minor"/>
    </font>
    <font>
      <b/>
      <sz val="14"/>
      <color theme="1"/>
      <name val="Arial"/>
      <family val="2"/>
    </font>
    <font>
      <sz val="11"/>
      <color theme="1"/>
      <name val="Arial"/>
      <family val="2"/>
    </font>
    <font>
      <b/>
      <sz val="12"/>
      <color theme="1"/>
      <name val="Calibri"/>
      <family val="2"/>
      <scheme val="minor"/>
    </font>
    <font>
      <b/>
      <sz val="18"/>
      <color theme="0"/>
      <name val="Calibri"/>
      <family val="2"/>
      <scheme val="minor"/>
    </font>
    <font>
      <sz val="12"/>
      <color theme="1"/>
      <name val="Calibri"/>
      <family val="2"/>
      <scheme val="minor"/>
    </font>
    <font>
      <sz val="10"/>
      <color theme="1"/>
      <name val="Calibri"/>
      <family val="2"/>
      <scheme val="minor"/>
    </font>
    <font>
      <b/>
      <sz val="18"/>
      <color theme="0"/>
      <name val="Arial"/>
      <family val="2"/>
    </font>
    <font>
      <sz val="12"/>
      <color theme="1"/>
      <name val="Arial"/>
      <family val="2"/>
    </font>
    <font>
      <b/>
      <sz val="14"/>
      <color theme="0"/>
      <name val="Arial"/>
      <family val="2"/>
    </font>
    <font>
      <sz val="14"/>
      <color theme="1"/>
      <name val="Arial"/>
      <family val="2"/>
    </font>
    <font>
      <b/>
      <sz val="16"/>
      <color theme="0"/>
      <name val="Arial"/>
      <family val="2"/>
    </font>
    <font>
      <b/>
      <sz val="14"/>
      <color theme="1"/>
      <name val="Times New Roman"/>
      <family val="1"/>
    </font>
    <font>
      <b/>
      <sz val="18"/>
      <color theme="1"/>
      <name val="Times New Roman"/>
      <family val="1"/>
    </font>
    <font>
      <b/>
      <sz val="19"/>
      <color theme="0"/>
      <name val="Arial"/>
      <family val="2"/>
    </font>
    <font>
      <b/>
      <sz val="16"/>
      <color theme="1"/>
      <name val="Arial"/>
      <family val="2"/>
    </font>
  </fonts>
  <fills count="10">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s>
  <cellStyleXfs count="1">
    <xf numFmtId="0" fontId="0" fillId="0" borderId="0"/>
  </cellStyleXfs>
  <cellXfs count="258">
    <xf numFmtId="0" fontId="0" fillId="0" borderId="0" xfId="0"/>
    <xf numFmtId="0" fontId="0" fillId="0" borderId="0" xfId="0"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1" xfId="0" applyBorder="1" applyAlignment="1">
      <alignment vertical="center" wrapText="1"/>
    </xf>
    <xf numFmtId="0" fontId="0"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0"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vertical="center"/>
    </xf>
    <xf numFmtId="0" fontId="0" fillId="0" borderId="1" xfId="0" applyBorder="1" applyAlignment="1">
      <alignment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2" fontId="4" fillId="0"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xf numFmtId="0" fontId="0" fillId="0" borderId="1" xfId="0" applyBorder="1" applyAlignment="1">
      <alignment horizontal="center"/>
    </xf>
    <xf numFmtId="1" fontId="11" fillId="0" borderId="1" xfId="0" applyNumberFormat="1" applyFont="1" applyBorder="1" applyAlignment="1">
      <alignment horizontal="center" vertical="center" wrapText="1"/>
    </xf>
    <xf numFmtId="1" fontId="0" fillId="0" borderId="0" xfId="0" applyNumberFormat="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0" borderId="0" xfId="0" applyFill="1" applyBorder="1" applyAlignment="1">
      <alignment horizontal="center" vertical="center"/>
    </xf>
    <xf numFmtId="0" fontId="0" fillId="0" borderId="0" xfId="0" applyBorder="1" applyAlignment="1">
      <alignment horizontal="center"/>
    </xf>
    <xf numFmtId="0" fontId="0" fillId="0" borderId="2" xfId="0" applyBorder="1" applyAlignment="1">
      <alignment horizontal="center"/>
    </xf>
    <xf numFmtId="2" fontId="0" fillId="0" borderId="1" xfId="0" applyNumberFormat="1" applyBorder="1" applyAlignment="1">
      <alignment horizontal="center" vertical="center"/>
    </xf>
    <xf numFmtId="0" fontId="0" fillId="0" borderId="3" xfId="0" applyBorder="1" applyAlignment="1">
      <alignment horizontal="center"/>
    </xf>
    <xf numFmtId="2" fontId="0" fillId="0" borderId="3" xfId="0" applyNumberFormat="1" applyBorder="1" applyAlignment="1">
      <alignment horizontal="center" vertical="center"/>
    </xf>
    <xf numFmtId="0" fontId="0" fillId="0" borderId="5" xfId="0" applyBorder="1" applyAlignment="1">
      <alignment horizontal="center"/>
    </xf>
    <xf numFmtId="0" fontId="3" fillId="5" borderId="6" xfId="0" applyFon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2" fontId="0" fillId="0" borderId="0" xfId="0" applyNumberFormat="1"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5" xfId="0" applyBorder="1" applyAlignment="1">
      <alignment horizontal="center" vertical="center"/>
    </xf>
    <xf numFmtId="0" fontId="14" fillId="0" borderId="0" xfId="0" applyFont="1" applyAlignment="1">
      <alignment vertical="center"/>
    </xf>
    <xf numFmtId="0" fontId="0" fillId="0" borderId="0" xfId="0" applyBorder="1" applyAlignment="1">
      <alignment horizontal="center" vertical="center"/>
    </xf>
    <xf numFmtId="0" fontId="0" fillId="0" borderId="1" xfId="0" applyBorder="1" applyAlignment="1">
      <alignment horizontal="center" vertical="center"/>
    </xf>
    <xf numFmtId="2" fontId="3" fillId="0" borderId="0" xfId="0" applyNumberFormat="1" applyFont="1" applyAlignment="1">
      <alignment horizontal="center" vertical="center"/>
    </xf>
    <xf numFmtId="0" fontId="15" fillId="0" borderId="1" xfId="0" applyFont="1" applyFill="1" applyBorder="1" applyAlignment="1">
      <alignment horizontal="center" vertical="center" wrapText="1"/>
    </xf>
    <xf numFmtId="0" fontId="11" fillId="0" borderId="0" xfId="0" applyFont="1" applyAlignment="1">
      <alignment vertical="center"/>
    </xf>
    <xf numFmtId="0" fontId="17" fillId="0" borderId="0" xfId="0" applyFont="1" applyAlignment="1">
      <alignment vertical="center"/>
    </xf>
    <xf numFmtId="0" fontId="11" fillId="0" borderId="0" xfId="0" applyFont="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Fill="1" applyBorder="1" applyAlignment="1">
      <alignment horizontal="center" vertical="center"/>
    </xf>
    <xf numFmtId="0" fontId="7" fillId="0" borderId="0" xfId="0" applyFont="1" applyAlignment="1">
      <alignment vertical="center"/>
    </xf>
    <xf numFmtId="0" fontId="11" fillId="0" borderId="0" xfId="0" applyFont="1" applyFill="1" applyBorder="1" applyAlignment="1">
      <alignment vertical="center"/>
    </xf>
    <xf numFmtId="0" fontId="7" fillId="0" borderId="1" xfId="0" applyFont="1" applyBorder="1" applyAlignment="1">
      <alignment horizontal="center" vertical="center"/>
    </xf>
    <xf numFmtId="0" fontId="10" fillId="2" borderId="1" xfId="0" applyFont="1" applyFill="1" applyBorder="1" applyAlignment="1">
      <alignment horizontal="center" vertical="top"/>
    </xf>
    <xf numFmtId="0" fontId="10" fillId="2" borderId="1" xfId="0" applyFont="1" applyFill="1" applyBorder="1" applyAlignment="1">
      <alignment horizontal="center" vertical="top" wrapText="1"/>
    </xf>
    <xf numFmtId="0" fontId="19" fillId="0" borderId="1" xfId="0" applyFont="1" applyBorder="1" applyAlignment="1">
      <alignment horizontal="center" vertical="center"/>
    </xf>
    <xf numFmtId="0" fontId="19" fillId="0" borderId="1" xfId="0" applyFont="1" applyBorder="1" applyAlignment="1">
      <alignment vertical="center"/>
    </xf>
    <xf numFmtId="0" fontId="10" fillId="2" borderId="1" xfId="0" applyFont="1" applyFill="1" applyBorder="1" applyAlignment="1">
      <alignment horizontal="left" vertical="center" indent="9"/>
    </xf>
    <xf numFmtId="0" fontId="19" fillId="0" borderId="0" xfId="0" applyFont="1" applyAlignment="1">
      <alignment horizontal="center" vertical="center"/>
    </xf>
    <xf numFmtId="0" fontId="19" fillId="0" borderId="0" xfId="0" applyFont="1" applyAlignment="1">
      <alignment vertical="center"/>
    </xf>
    <xf numFmtId="0" fontId="19" fillId="0" borderId="12" xfId="0" applyFont="1" applyBorder="1" applyAlignment="1">
      <alignment horizontal="center" vertical="center"/>
    </xf>
    <xf numFmtId="0" fontId="10" fillId="5" borderId="13" xfId="0" applyFont="1" applyFill="1" applyBorder="1" applyAlignment="1">
      <alignment horizontal="center" vertical="center"/>
    </xf>
    <xf numFmtId="0" fontId="10" fillId="2" borderId="1" xfId="0" applyFont="1" applyFill="1" applyBorder="1" applyAlignment="1">
      <alignment horizontal="left" vertical="center" indent="8"/>
    </xf>
    <xf numFmtId="0" fontId="10" fillId="2" borderId="2" xfId="0" applyFont="1" applyFill="1" applyBorder="1" applyAlignment="1">
      <alignment horizontal="left" vertical="center" indent="8"/>
    </xf>
    <xf numFmtId="1" fontId="10" fillId="2" borderId="2" xfId="0" applyNumberFormat="1" applyFont="1" applyFill="1" applyBorder="1" applyAlignment="1">
      <alignment horizontal="left" vertical="center" indent="7"/>
    </xf>
    <xf numFmtId="0" fontId="10" fillId="2" borderId="4" xfId="0" applyFont="1" applyFill="1" applyBorder="1" applyAlignment="1">
      <alignment horizontal="left" vertical="center" indent="8"/>
    </xf>
    <xf numFmtId="0" fontId="10" fillId="2" borderId="2" xfId="0" applyFont="1" applyFill="1" applyBorder="1" applyAlignment="1">
      <alignment horizontal="left" vertical="center" indent="7"/>
    </xf>
    <xf numFmtId="1" fontId="10" fillId="0" borderId="1" xfId="0" quotePrefix="1"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vertical="center"/>
    </xf>
    <xf numFmtId="2" fontId="10" fillId="0" borderId="1" xfId="0" applyNumberFormat="1" applyFont="1" applyBorder="1" applyAlignment="1">
      <alignment horizontal="center" vertical="center"/>
    </xf>
    <xf numFmtId="0" fontId="10" fillId="0" borderId="1" xfId="0" applyFont="1" applyBorder="1" applyAlignment="1">
      <alignment horizontal="right" vertical="center"/>
    </xf>
    <xf numFmtId="0" fontId="19" fillId="0" borderId="0" xfId="0" applyFont="1" applyFill="1" applyBorder="1" applyAlignment="1">
      <alignment horizontal="center" vertical="center"/>
    </xf>
    <xf numFmtId="0" fontId="19" fillId="0" borderId="0" xfId="0" applyFont="1" applyFill="1" applyBorder="1" applyAlignment="1">
      <alignment vertical="center"/>
    </xf>
    <xf numFmtId="0" fontId="10" fillId="0" borderId="0" xfId="0" applyFont="1" applyFill="1" applyBorder="1" applyAlignment="1">
      <alignment horizontal="center" vertical="center"/>
    </xf>
    <xf numFmtId="0" fontId="19" fillId="0" borderId="0" xfId="0" applyFont="1" applyBorder="1" applyAlignment="1">
      <alignment horizontal="center" vertical="center"/>
    </xf>
    <xf numFmtId="0" fontId="10" fillId="7" borderId="1" xfId="0" applyFont="1" applyFill="1" applyBorder="1" applyAlignment="1">
      <alignment horizontal="center" vertical="top"/>
    </xf>
    <xf numFmtId="0" fontId="10" fillId="7" borderId="1" xfId="0" applyFont="1" applyFill="1" applyBorder="1" applyAlignment="1">
      <alignment horizontal="center" vertical="top" wrapText="1"/>
    </xf>
    <xf numFmtId="0" fontId="19" fillId="3" borderId="1" xfId="0" applyFont="1" applyFill="1" applyBorder="1" applyAlignment="1">
      <alignment horizontal="center" vertical="center" wrapText="1"/>
    </xf>
    <xf numFmtId="0" fontId="19" fillId="3" borderId="1" xfId="0" applyFont="1" applyFill="1" applyBorder="1" applyAlignment="1">
      <alignment horizontal="center" vertical="center"/>
    </xf>
    <xf numFmtId="0" fontId="10" fillId="0" borderId="0" xfId="0" applyFont="1" applyAlignment="1">
      <alignment vertical="center"/>
    </xf>
    <xf numFmtId="0" fontId="19"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wrapText="1"/>
    </xf>
    <xf numFmtId="0" fontId="0" fillId="0" borderId="0" xfId="0" applyBorder="1"/>
    <xf numFmtId="1" fontId="22" fillId="0" borderId="0" xfId="0" applyNumberFormat="1" applyFont="1" applyFill="1" applyBorder="1" applyAlignment="1">
      <alignment vertical="center"/>
    </xf>
    <xf numFmtId="0" fontId="0" fillId="0" borderId="0" xfId="0" applyAlignment="1"/>
    <xf numFmtId="0" fontId="0" fillId="0" borderId="0" xfId="0" applyFill="1" applyBorder="1"/>
    <xf numFmtId="0" fontId="21" fillId="0" borderId="0" xfId="0" applyFont="1" applyFill="1" applyBorder="1" applyAlignment="1"/>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Fill="1" applyBorder="1" applyAlignment="1">
      <alignment horizontal="center" vertical="center" wrapText="1"/>
    </xf>
    <xf numFmtId="1" fontId="0" fillId="0" borderId="0" xfId="0" applyNumberFormat="1"/>
    <xf numFmtId="1" fontId="10" fillId="0" borderId="3" xfId="0" quotePrefix="1" applyNumberFormat="1" applyFont="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0" borderId="1" xfId="0" applyFont="1" applyBorder="1" applyAlignment="1">
      <alignment horizontal="right" vertical="center"/>
    </xf>
    <xf numFmtId="0" fontId="1" fillId="0" borderId="1" xfId="0" applyFont="1" applyBorder="1" applyAlignment="1">
      <alignment vertical="center"/>
    </xf>
    <xf numFmtId="0" fontId="10" fillId="0" borderId="1" xfId="0" applyFont="1" applyBorder="1" applyAlignment="1">
      <alignment vertical="center" wrapText="1"/>
    </xf>
    <xf numFmtId="0" fontId="19" fillId="0" borderId="0" xfId="0" applyFont="1" applyFill="1" applyBorder="1" applyAlignment="1">
      <alignment vertical="center" wrapText="1"/>
    </xf>
    <xf numFmtId="0" fontId="19" fillId="0" borderId="0" xfId="0" applyFont="1" applyAlignment="1">
      <alignmen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1" fontId="10" fillId="2" borderId="2" xfId="0" applyNumberFormat="1" applyFont="1" applyFill="1" applyBorder="1" applyAlignment="1">
      <alignment horizontal="center" vertical="center"/>
    </xf>
    <xf numFmtId="0" fontId="10" fillId="2" borderId="4" xfId="0" applyFont="1" applyFill="1" applyBorder="1" applyAlignment="1">
      <alignment horizontal="center" vertical="center"/>
    </xf>
    <xf numFmtId="1" fontId="0" fillId="0" borderId="1" xfId="0" applyNumberFormat="1" applyBorder="1" applyAlignment="1">
      <alignment horizontal="center" vertical="center"/>
    </xf>
    <xf numFmtId="0" fontId="0" fillId="0" borderId="1" xfId="0" applyFont="1" applyBorder="1" applyAlignment="1">
      <alignment horizontal="center" vertical="center"/>
    </xf>
    <xf numFmtId="0" fontId="0" fillId="0" borderId="0" xfId="0" pivotButton="1" applyAlignment="1"/>
    <xf numFmtId="0" fontId="10" fillId="7"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2" fontId="1" fillId="0" borderId="0" xfId="0" applyNumberFormat="1" applyFont="1" applyBorder="1" applyAlignment="1">
      <alignment horizontal="center" vertical="center"/>
    </xf>
    <xf numFmtId="2" fontId="11" fillId="0" borderId="1" xfId="0" applyNumberFormat="1" applyFont="1" applyBorder="1" applyAlignment="1">
      <alignment horizontal="center" vertical="center"/>
    </xf>
    <xf numFmtId="2" fontId="0" fillId="0" borderId="0" xfId="0" applyNumberForma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9" borderId="1" xfId="0" applyFont="1" applyFill="1" applyBorder="1" applyAlignment="1">
      <alignment vertical="center"/>
    </xf>
    <xf numFmtId="0" fontId="1" fillId="0" borderId="0"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Fill="1" applyBorder="1" applyAlignment="1">
      <alignment vertical="center"/>
    </xf>
    <xf numFmtId="0" fontId="17" fillId="0" borderId="3" xfId="0" applyFont="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left"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2"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21" fillId="8" borderId="5" xfId="0" applyFont="1" applyFill="1" applyBorder="1" applyAlignment="1">
      <alignment horizontal="center"/>
    </xf>
    <xf numFmtId="0" fontId="21" fillId="8" borderId="10" xfId="0" applyFont="1" applyFill="1" applyBorder="1" applyAlignment="1">
      <alignment horizontal="center"/>
    </xf>
    <xf numFmtId="0" fontId="21" fillId="8" borderId="11" xfId="0" applyFont="1" applyFill="1" applyBorder="1" applyAlignment="1">
      <alignment horizontal="center"/>
    </xf>
    <xf numFmtId="1" fontId="22" fillId="2" borderId="5" xfId="0" applyNumberFormat="1" applyFont="1" applyFill="1" applyBorder="1" applyAlignment="1">
      <alignment horizontal="center" vertical="center"/>
    </xf>
    <xf numFmtId="1" fontId="22" fillId="2" borderId="10" xfId="0" applyNumberFormat="1" applyFont="1" applyFill="1" applyBorder="1" applyAlignment="1">
      <alignment horizontal="center" vertical="center"/>
    </xf>
    <xf numFmtId="1" fontId="22" fillId="2" borderId="11" xfId="0" applyNumberFormat="1" applyFont="1" applyFill="1" applyBorder="1" applyAlignment="1">
      <alignment horizontal="center" vertical="center"/>
    </xf>
    <xf numFmtId="0" fontId="10" fillId="0" borderId="5"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8" xfId="0" applyFont="1" applyBorder="1" applyAlignment="1">
      <alignment horizontal="center" vertical="center"/>
    </xf>
    <xf numFmtId="0" fontId="10" fillId="0" borderId="9" xfId="0" applyFont="1" applyBorder="1" applyAlignment="1">
      <alignment horizontal="center" vertical="center"/>
    </xf>
    <xf numFmtId="1" fontId="10" fillId="0" borderId="18" xfId="0" applyNumberFormat="1" applyFont="1" applyBorder="1" applyAlignment="1">
      <alignment horizontal="center" vertical="center"/>
    </xf>
    <xf numFmtId="1" fontId="10" fillId="0" borderId="9" xfId="0" applyNumberFormat="1" applyFont="1" applyBorder="1" applyAlignment="1">
      <alignment horizontal="center" vertical="center"/>
    </xf>
    <xf numFmtId="2" fontId="10" fillId="0" borderId="5" xfId="0" applyNumberFormat="1" applyFont="1" applyBorder="1" applyAlignment="1">
      <alignment horizontal="center" vertical="center"/>
    </xf>
    <xf numFmtId="2" fontId="10" fillId="0" borderId="10" xfId="0" applyNumberFormat="1" applyFont="1" applyBorder="1" applyAlignment="1">
      <alignment horizontal="center" vertical="center"/>
    </xf>
    <xf numFmtId="2" fontId="10" fillId="0" borderId="11" xfId="0" applyNumberFormat="1"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2" fontId="10" fillId="0" borderId="5" xfId="0" applyNumberFormat="1" applyFont="1" applyBorder="1" applyAlignment="1">
      <alignment horizontal="left" vertical="center" indent="57"/>
    </xf>
    <xf numFmtId="2" fontId="10" fillId="0" borderId="10" xfId="0" applyNumberFormat="1" applyFont="1" applyBorder="1" applyAlignment="1">
      <alignment horizontal="left" vertical="center" indent="57"/>
    </xf>
    <xf numFmtId="2" fontId="10" fillId="0" borderId="11" xfId="0" applyNumberFormat="1" applyFont="1" applyBorder="1" applyAlignment="1">
      <alignment horizontal="left" vertical="center" indent="57"/>
    </xf>
    <xf numFmtId="0" fontId="10" fillId="2" borderId="1" xfId="0" applyFont="1" applyFill="1" applyBorder="1" applyAlignment="1">
      <alignment horizontal="center" vertical="center"/>
    </xf>
    <xf numFmtId="0" fontId="10" fillId="2" borderId="14" xfId="0" applyFont="1" applyFill="1" applyBorder="1" applyAlignment="1">
      <alignment horizontal="right" vertical="center"/>
    </xf>
    <xf numFmtId="0" fontId="10" fillId="2" borderId="15" xfId="0" applyFont="1" applyFill="1" applyBorder="1" applyAlignment="1">
      <alignment horizontal="right" vertical="center"/>
    </xf>
    <xf numFmtId="0" fontId="10" fillId="2" borderId="14" xfId="0" applyFont="1" applyFill="1" applyBorder="1" applyAlignment="1">
      <alignment horizontal="left" vertical="center" indent="14"/>
    </xf>
    <xf numFmtId="0" fontId="10" fillId="2" borderId="15" xfId="0" applyFont="1" applyFill="1" applyBorder="1" applyAlignment="1">
      <alignment horizontal="left" vertical="center" indent="14"/>
    </xf>
    <xf numFmtId="2" fontId="10" fillId="0" borderId="8" xfId="0" applyNumberFormat="1" applyFont="1" applyBorder="1" applyAlignment="1">
      <alignment horizontal="left" vertical="center" indent="58"/>
    </xf>
    <xf numFmtId="2" fontId="10" fillId="0" borderId="19" xfId="0" applyNumberFormat="1" applyFont="1" applyBorder="1" applyAlignment="1">
      <alignment horizontal="left" vertical="center" indent="57"/>
    </xf>
    <xf numFmtId="0" fontId="10" fillId="2" borderId="18" xfId="0" applyFont="1" applyFill="1" applyBorder="1" applyAlignment="1">
      <alignment horizontal="right" vertical="center"/>
    </xf>
    <xf numFmtId="0" fontId="10" fillId="2" borderId="9" xfId="0" applyFont="1" applyFill="1" applyBorder="1" applyAlignment="1">
      <alignment horizontal="right" vertical="center"/>
    </xf>
    <xf numFmtId="0" fontId="10" fillId="2" borderId="18" xfId="0" applyFont="1" applyFill="1" applyBorder="1" applyAlignment="1">
      <alignment horizontal="left" vertical="center" indent="15"/>
    </xf>
    <xf numFmtId="0" fontId="10" fillId="2" borderId="9" xfId="0" applyFont="1" applyFill="1" applyBorder="1" applyAlignment="1">
      <alignment horizontal="left" vertical="center" indent="15"/>
    </xf>
    <xf numFmtId="0" fontId="10" fillId="2" borderId="14" xfId="0" applyFont="1" applyFill="1" applyBorder="1" applyAlignment="1">
      <alignment horizontal="left" vertical="center" indent="15"/>
    </xf>
    <xf numFmtId="0" fontId="10" fillId="2" borderId="15" xfId="0" applyFont="1" applyFill="1" applyBorder="1" applyAlignment="1">
      <alignment horizontal="left" vertical="center" indent="15"/>
    </xf>
    <xf numFmtId="0" fontId="10" fillId="2" borderId="16" xfId="0" applyFont="1" applyFill="1" applyBorder="1" applyAlignment="1">
      <alignment horizontal="left" vertical="center" indent="15"/>
    </xf>
    <xf numFmtId="0" fontId="10" fillId="2" borderId="17" xfId="0" applyFont="1" applyFill="1" applyBorder="1" applyAlignment="1">
      <alignment horizontal="left" vertical="center" indent="15"/>
    </xf>
    <xf numFmtId="0" fontId="10" fillId="0" borderId="0" xfId="0" applyFont="1" applyAlignment="1">
      <alignment horizontal="left" vertical="center" indent="59"/>
    </xf>
    <xf numFmtId="2" fontId="10" fillId="0" borderId="8" xfId="0" applyNumberFormat="1" applyFont="1" applyBorder="1" applyAlignment="1">
      <alignment horizontal="left" vertical="center" indent="60"/>
    </xf>
    <xf numFmtId="0" fontId="10" fillId="2" borderId="1" xfId="0" applyFont="1" applyFill="1" applyBorder="1" applyAlignment="1">
      <alignment horizontal="right" vertical="center"/>
    </xf>
    <xf numFmtId="0" fontId="10" fillId="2" borderId="1" xfId="0" applyFont="1" applyFill="1" applyBorder="1" applyAlignment="1">
      <alignment horizontal="left" vertical="center" indent="15"/>
    </xf>
    <xf numFmtId="2" fontId="10" fillId="0" borderId="8" xfId="0" applyNumberFormat="1" applyFont="1" applyFill="1" applyBorder="1" applyAlignment="1">
      <alignment horizontal="left" vertical="center" indent="60"/>
    </xf>
    <xf numFmtId="0" fontId="10" fillId="2" borderId="16" xfId="0" applyFont="1" applyFill="1" applyBorder="1" applyAlignment="1">
      <alignment horizontal="left" vertical="center" indent="16"/>
    </xf>
    <xf numFmtId="0" fontId="10" fillId="2" borderId="17" xfId="0" applyFont="1" applyFill="1" applyBorder="1" applyAlignment="1">
      <alignment horizontal="left" vertical="center" indent="16"/>
    </xf>
    <xf numFmtId="2" fontId="10" fillId="0" borderId="5" xfId="0" applyNumberFormat="1" applyFont="1" applyBorder="1" applyAlignment="1">
      <alignment horizontal="left" vertical="center" indent="60"/>
    </xf>
    <xf numFmtId="2" fontId="10" fillId="0" borderId="10" xfId="0" applyNumberFormat="1" applyFont="1" applyBorder="1" applyAlignment="1">
      <alignment horizontal="left" vertical="center" indent="60"/>
    </xf>
    <xf numFmtId="2" fontId="10" fillId="0" borderId="11" xfId="0" applyNumberFormat="1" applyFont="1" applyBorder="1" applyAlignment="1">
      <alignment horizontal="left" vertical="center" indent="60"/>
    </xf>
    <xf numFmtId="0" fontId="10" fillId="2" borderId="2" xfId="0" applyFont="1" applyFill="1" applyBorder="1" applyAlignment="1">
      <alignment horizontal="center" vertical="center"/>
    </xf>
    <xf numFmtId="0" fontId="10" fillId="0" borderId="1" xfId="0" applyFont="1" applyBorder="1" applyAlignment="1">
      <alignment horizontal="right" vertical="center"/>
    </xf>
    <xf numFmtId="2" fontId="10" fillId="0" borderId="5" xfId="0" applyNumberFormat="1" applyFont="1" applyBorder="1" applyAlignment="1">
      <alignment horizontal="left" vertical="center" indent="61"/>
    </xf>
    <xf numFmtId="2" fontId="10" fillId="0" borderId="10" xfId="0" applyNumberFormat="1" applyFont="1" applyBorder="1" applyAlignment="1">
      <alignment horizontal="left" vertical="center" indent="61"/>
    </xf>
    <xf numFmtId="2" fontId="10" fillId="0" borderId="11" xfId="0" applyNumberFormat="1" applyFont="1" applyBorder="1" applyAlignment="1">
      <alignment horizontal="left" vertical="center" indent="61"/>
    </xf>
    <xf numFmtId="0" fontId="10" fillId="0" borderId="5" xfId="0" applyFont="1" applyBorder="1" applyAlignment="1">
      <alignment horizontal="left" vertical="center" indent="50"/>
    </xf>
    <xf numFmtId="0" fontId="10" fillId="0" borderId="10" xfId="0" applyFont="1" applyBorder="1" applyAlignment="1">
      <alignment horizontal="left" vertical="center" indent="50"/>
    </xf>
    <xf numFmtId="0" fontId="10" fillId="0" borderId="11" xfId="0" applyFont="1" applyBorder="1" applyAlignment="1">
      <alignment horizontal="left" vertical="center" indent="50"/>
    </xf>
    <xf numFmtId="0" fontId="20" fillId="6" borderId="1" xfId="0" applyFont="1" applyFill="1" applyBorder="1" applyAlignment="1">
      <alignment horizontal="center" vertical="center"/>
    </xf>
    <xf numFmtId="0" fontId="10" fillId="0" borderId="0" xfId="0" applyFont="1" applyAlignment="1">
      <alignment horizontal="left" vertical="center"/>
    </xf>
    <xf numFmtId="0" fontId="10" fillId="0" borderId="7" xfId="0" applyFont="1" applyBorder="1" applyAlignment="1">
      <alignment horizontal="left" vertical="center"/>
    </xf>
    <xf numFmtId="0" fontId="10" fillId="0" borderId="0" xfId="0" applyFont="1" applyAlignment="1">
      <alignment horizontal="center" vertical="center"/>
    </xf>
    <xf numFmtId="0" fontId="10" fillId="2" borderId="14" xfId="0" applyFont="1" applyFill="1" applyBorder="1" applyAlignment="1">
      <alignment horizontal="center" vertical="top" wrapText="1"/>
    </xf>
    <xf numFmtId="0" fontId="10" fillId="2" borderId="15" xfId="0" applyFont="1" applyFill="1" applyBorder="1" applyAlignment="1">
      <alignment horizontal="center" vertical="top" wrapText="1"/>
    </xf>
    <xf numFmtId="0" fontId="23" fillId="6" borderId="1" xfId="0" applyFont="1" applyFill="1" applyBorder="1" applyAlignment="1">
      <alignment horizontal="center" vertic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3" fillId="4" borderId="1" xfId="0" applyFont="1" applyFill="1" applyBorder="1" applyAlignment="1">
      <alignment horizontal="center" vertical="center"/>
    </xf>
    <xf numFmtId="0" fontId="21" fillId="8" borderId="5" xfId="0" applyFont="1" applyFill="1" applyBorder="1" applyAlignment="1">
      <alignment horizontal="center" vertical="center"/>
    </xf>
    <xf numFmtId="0" fontId="21" fillId="8" borderId="10" xfId="0" applyFont="1" applyFill="1" applyBorder="1" applyAlignment="1">
      <alignment horizontal="center" vertical="center"/>
    </xf>
    <xf numFmtId="0" fontId="21" fillId="8" borderId="11" xfId="0" applyFont="1" applyFill="1" applyBorder="1" applyAlignment="1">
      <alignment horizontal="center" vertical="center"/>
    </xf>
    <xf numFmtId="0" fontId="17" fillId="0" borderId="3" xfId="0" applyFont="1" applyBorder="1" applyAlignment="1">
      <alignment horizontal="center" vertical="center"/>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17" fillId="0" borderId="4"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1" fontId="10" fillId="0" borderId="14" xfId="0" applyNumberFormat="1" applyFont="1" applyBorder="1" applyAlignment="1">
      <alignment horizontal="center" vertical="center"/>
    </xf>
    <xf numFmtId="1" fontId="10" fillId="0" borderId="15" xfId="0" applyNumberFormat="1" applyFont="1" applyBorder="1" applyAlignment="1">
      <alignment horizontal="center" vertical="center"/>
    </xf>
    <xf numFmtId="2" fontId="10" fillId="0" borderId="14" xfId="0" applyNumberFormat="1" applyFont="1" applyBorder="1" applyAlignment="1">
      <alignment horizontal="center" vertical="center"/>
    </xf>
    <xf numFmtId="2" fontId="10" fillId="0" borderId="19" xfId="0" applyNumberFormat="1" applyFont="1" applyBorder="1" applyAlignment="1">
      <alignment horizontal="center" vertical="center"/>
    </xf>
    <xf numFmtId="2" fontId="10" fillId="0" borderId="15" xfId="0" applyNumberFormat="1" applyFont="1" applyBorder="1" applyAlignment="1">
      <alignment horizontal="center" vertical="center"/>
    </xf>
    <xf numFmtId="0" fontId="18" fillId="6" borderId="1" xfId="0" applyFont="1" applyFill="1" applyBorder="1" applyAlignment="1">
      <alignment horizontal="center" vertical="center"/>
    </xf>
    <xf numFmtId="2" fontId="10" fillId="0" borderId="8" xfId="0" applyNumberFormat="1" applyFont="1" applyFill="1" applyBorder="1" applyAlignment="1">
      <alignment horizontal="center" vertical="center"/>
    </xf>
    <xf numFmtId="2" fontId="10" fillId="0" borderId="8" xfId="0" applyNumberFormat="1" applyFont="1" applyBorder="1" applyAlignment="1">
      <alignment horizontal="center" vertical="center"/>
    </xf>
    <xf numFmtId="2" fontId="10" fillId="0" borderId="0" xfId="0" applyNumberFormat="1" applyFont="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2" fontId="1" fillId="0" borderId="0" xfId="0" applyNumberFormat="1" applyFont="1" applyBorder="1" applyAlignment="1">
      <alignment horizontal="center" vertical="center"/>
    </xf>
    <xf numFmtId="0" fontId="24" fillId="0" borderId="8" xfId="0" applyFont="1" applyBorder="1" applyAlignment="1">
      <alignment horizontal="center" vertical="center"/>
    </xf>
    <xf numFmtId="0" fontId="10" fillId="0" borderId="8" xfId="0" applyFont="1" applyBorder="1" applyAlignment="1">
      <alignment horizontal="center" vertical="center"/>
    </xf>
    <xf numFmtId="0" fontId="6" fillId="0" borderId="7" xfId="0" applyFont="1" applyBorder="1" applyAlignment="1">
      <alignment horizontal="left" vertical="center"/>
    </xf>
    <xf numFmtId="0" fontId="6" fillId="0" borderId="0" xfId="0" applyFont="1" applyAlignment="1">
      <alignment horizontal="center" vertical="center"/>
    </xf>
    <xf numFmtId="0" fontId="16" fillId="6" borderId="1" xfId="0" applyFont="1" applyFill="1" applyBorder="1" applyAlignment="1">
      <alignment horizontal="center" vertical="center"/>
    </xf>
    <xf numFmtId="0" fontId="6" fillId="0" borderId="0" xfId="0" applyFont="1" applyAlignment="1">
      <alignment horizontal="left"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3" fillId="6" borderId="1" xfId="0" applyFont="1" applyFill="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12" fillId="0" borderId="0" xfId="0" applyFont="1" applyAlignment="1">
      <alignment horizontal="center" vertical="center"/>
    </xf>
    <xf numFmtId="0" fontId="0" fillId="0" borderId="1" xfId="0" applyBorder="1" applyAlignment="1">
      <alignment horizontal="center" vertical="center"/>
    </xf>
    <xf numFmtId="0" fontId="1" fillId="0" borderId="0" xfId="0" applyFont="1" applyFill="1" applyBorder="1" applyAlignment="1">
      <alignment horizontal="center" vertical="center" wrapText="1"/>
    </xf>
    <xf numFmtId="0" fontId="10" fillId="2" borderId="16" xfId="0" applyFont="1" applyFill="1" applyBorder="1" applyAlignment="1">
      <alignment vertical="center"/>
    </xf>
    <xf numFmtId="0" fontId="10" fillId="2" borderId="17" xfId="0" applyFont="1" applyFill="1" applyBorder="1" applyAlignment="1">
      <alignment vertical="center"/>
    </xf>
    <xf numFmtId="0" fontId="10" fillId="2" borderId="18" xfId="0" applyFont="1" applyFill="1" applyBorder="1" applyAlignment="1">
      <alignment vertical="center"/>
    </xf>
    <xf numFmtId="0" fontId="10" fillId="2" borderId="9" xfId="0" applyFont="1" applyFill="1" applyBorder="1" applyAlignment="1">
      <alignment vertical="center"/>
    </xf>
  </cellXfs>
  <cellStyles count="1">
    <cellStyle name="Normal" xfId="0" builtinId="0"/>
  </cellStyles>
  <dxfs count="93">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numFmt numFmtId="2" formatCode="0.00"/>
    </dxf>
    <dxf>
      <numFmt numFmtId="2" formatCode="0.00"/>
    </dxf>
    <dxf>
      <numFmt numFmtId="2" formatCode="0.0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
      <numFmt numFmtId="1" formatCode="0"/>
    </dxf>
    <dxf>
      <numFmt numFmtId="165" formatCode="0.0"/>
    </dxf>
    <dxf>
      <numFmt numFmtId="2" formatCode="0.00"/>
    </dxf>
    <dxf>
      <numFmt numFmtId="165" formatCode="0.0"/>
    </dxf>
    <dxf>
      <alignment wrapText="0" readingOrder="0"/>
    </dxf>
    <dxf>
      <alignment wrapText="0" readingOrder="0"/>
    </dxf>
    <dxf>
      <alignment wrapText="0"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
      <numFmt numFmtId="164" formatCode="0.00000000"/>
    </dxf>
    <dxf>
      <alignment wrapText="0" readingOrder="0"/>
    </dxf>
    <dxf>
      <alignment wrapText="0" readingOrder="0"/>
    </dxf>
    <dxf>
      <alignment wrapText="0" readingOrder="0"/>
    </dxf>
    <dxf>
      <alignment wrapText="1" readingOrder="0"/>
    </dxf>
    <dxf>
      <alignment wrapText="1" readingOrder="0"/>
    </dxf>
    <dxf>
      <alignment wrapText="1" readingOrder="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(Recovered).xlsx]University 115m!PivotTable4</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'University 115m'!$G$131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'University 115m'!$F$132:$F$139</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'University 115m'!$G$132:$G$139</c:f>
              <c:numCache>
                <c:formatCode>General</c:formatCode>
                <c:ptCount val="7"/>
                <c:pt idx="0">
                  <c:v>2.7777777777777777</c:v>
                </c:pt>
                <c:pt idx="1">
                  <c:v>1.4545454545454546</c:v>
                </c:pt>
                <c:pt idx="2">
                  <c:v>1.5</c:v>
                </c:pt>
                <c:pt idx="3">
                  <c:v>1.6666666666666667</c:v>
                </c:pt>
                <c:pt idx="4">
                  <c:v>#N/A</c:v>
                </c:pt>
                <c:pt idx="5">
                  <c:v>0.5714285714285714</c:v>
                </c:pt>
                <c:pt idx="6">
                  <c:v>2.5454545454545454</c:v>
                </c:pt>
              </c:numCache>
            </c:numRef>
          </c:val>
          <c:extLst>
            <c:ext xmlns:c16="http://schemas.microsoft.com/office/drawing/2014/chart" uri="{C3380CC4-5D6E-409C-BE32-E72D297353CC}">
              <c16:uniqueId val="{00000002-5BF4-4A2E-8642-651BDCD321E3}"/>
            </c:ext>
          </c:extLst>
        </c:ser>
        <c:dLbls>
          <c:showLegendKey val="0"/>
          <c:showVal val="0"/>
          <c:showCatName val="0"/>
          <c:showSerName val="0"/>
          <c:showPercent val="0"/>
          <c:showBubbleSize val="0"/>
        </c:dLbls>
        <c:gapWidth val="219"/>
        <c:overlap val="-27"/>
        <c:axId val="504057520"/>
        <c:axId val="504055024"/>
      </c:barChart>
      <c:catAx>
        <c:axId val="5040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5024"/>
        <c:crosses val="autoZero"/>
        <c:auto val="1"/>
        <c:lblAlgn val="ctr"/>
        <c:lblOffset val="100"/>
        <c:noMultiLvlLbl val="0"/>
      </c:catAx>
      <c:valAx>
        <c:axId val="50405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4057520"/>
        <c:crosses val="autoZero"/>
        <c:crossBetween val="between"/>
      </c:valAx>
      <c:spPr>
        <a:noFill/>
        <a:ln>
          <a:noFill/>
        </a:ln>
        <a:effectLst/>
      </c:spPr>
    </c:plotArea>
    <c:legend>
      <c:legendPos val="b"/>
      <c:layout>
        <c:manualLayout>
          <c:xMode val="edge"/>
          <c:yMode val="edge"/>
          <c:x val="0.46279640751472051"/>
          <c:y val="0.9015323811267778"/>
          <c:w val="7.864735786592611E-2"/>
          <c:h val="6.44005981810413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(Recovered).xlsx]University 115m!PivotTable5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Grade Points(0-4)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'University 115m'!$G$152</c:f>
              <c:strCache>
                <c:ptCount val="1"/>
                <c:pt idx="0">
                  <c:v>Total</c:v>
                </c:pt>
              </c:strCache>
            </c:strRef>
          </c:tx>
          <c:spPr>
            <a:solidFill>
              <a:schemeClr val="accent1"/>
            </a:solidFill>
            <a:ln>
              <a:noFill/>
            </a:ln>
            <a:effectLst/>
          </c:spPr>
          <c:invertIfNegative val="0"/>
          <c:dLbls>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'University 115m'!$F$153:$F$187</c:f>
              <c:strCache>
                <c:ptCount val="34"/>
                <c:pt idx="0">
                  <c:v>1.1 Curriculum Planning and Implementation</c:v>
                </c:pt>
                <c:pt idx="1">
                  <c:v>1.2 Academic Flexibility</c:v>
                </c:pt>
                <c:pt idx="2">
                  <c:v>1.3 Curriculum Enrichment</c:v>
                </c:pt>
                <c:pt idx="3">
                  <c:v>1.4 Feedback System</c:v>
                </c:pt>
                <c:pt idx="4">
                  <c:v>2.1 Student Enrolment and Profile</c:v>
                </c:pt>
                <c:pt idx="5">
                  <c:v>2.2 Catering to Student Diversity</c:v>
                </c:pt>
                <c:pt idx="6">
                  <c:v>2.3 Teaching-Learning Process</c:v>
                </c:pt>
                <c:pt idx="7">
                  <c:v>2.4 Teacher Profile and Quality</c:v>
                </c:pt>
                <c:pt idx="8">
                  <c:v>2.5 Evaluation Process and Reforms</c:v>
                </c:pt>
                <c:pt idx="9">
                  <c:v>2.6 Student Performance and Learning Outcomes</c:v>
                </c:pt>
                <c:pt idx="10">
                  <c:v>2.7 Student Satisfaction Survey</c:v>
                </c:pt>
                <c:pt idx="11">
                  <c:v>3.1 Promotion of Research and Facilities</c:v>
                </c:pt>
                <c:pt idx="12">
                  <c:v>3.2 Resource Mobilization for Research</c:v>
                </c:pt>
                <c:pt idx="13">
                  <c:v>3.3 Innovation Ecosystem</c:v>
                </c:pt>
                <c:pt idx="14">
                  <c:v>3.4 Research Publications and Awards</c:v>
                </c:pt>
                <c:pt idx="15">
                  <c:v>3.5 Consultancy</c:v>
                </c:pt>
                <c:pt idx="16">
                  <c:v>3.6 Extension Activities</c:v>
                </c:pt>
                <c:pt idx="17">
                  <c:v>3.7 Collaboration</c:v>
                </c:pt>
                <c:pt idx="18">
                  <c:v>4.1 Physical Facilities</c:v>
                </c:pt>
                <c:pt idx="19">
                  <c:v>4.2 Library as a Learning Resource</c:v>
                </c:pt>
                <c:pt idx="20">
                  <c:v>4.3 IT Infrastructure</c:v>
                </c:pt>
                <c:pt idx="21">
                  <c:v>4.4 Maintenance of Campus Infrastructure</c:v>
                </c:pt>
                <c:pt idx="22">
                  <c:v>5.1 Student Support</c:v>
                </c:pt>
                <c:pt idx="23">
                  <c:v>5.2 Student Progression</c:v>
                </c:pt>
                <c:pt idx="24">
                  <c:v>5.3 Student Participation and Activities</c:v>
                </c:pt>
                <c:pt idx="25">
                  <c:v>5.4 Alumni Engagement</c:v>
                </c:pt>
                <c:pt idx="26">
                  <c:v>6.1 Institutional Vision and Leadership</c:v>
                </c:pt>
                <c:pt idx="27">
                  <c:v>6.2 Strategy Development and Deployment</c:v>
                </c:pt>
                <c:pt idx="28">
                  <c:v>6.3 Faculty Empowerment Strategies</c:v>
                </c:pt>
                <c:pt idx="29">
                  <c:v>6.4 Financial Management and Resource Mobilization</c:v>
                </c:pt>
                <c:pt idx="30">
                  <c:v>6.5 Internal Quality Assurance System (IQAS)</c:v>
                </c:pt>
                <c:pt idx="31">
                  <c:v>7.1 Institutional Values and Social Responsibilities</c:v>
                </c:pt>
                <c:pt idx="32">
                  <c:v>7.2 Best Practices</c:v>
                </c:pt>
                <c:pt idx="33">
                  <c:v>7.3 Institutional Distinctiveness</c:v>
                </c:pt>
              </c:strCache>
            </c:strRef>
          </c:cat>
          <c:val>
            <c:numRef>
              <c:f>'University 115m'!$G$153:$G$187</c:f>
              <c:numCache>
                <c:formatCode>0.00</c:formatCode>
                <c:ptCount val="34"/>
                <c:pt idx="0">
                  <c:v>3</c:v>
                </c:pt>
                <c:pt idx="1">
                  <c:v>2</c:v>
                </c:pt>
                <c:pt idx="2">
                  <c:v>2.3333333333333335</c:v>
                </c:pt>
                <c:pt idx="3">
                  <c:v>4</c:v>
                </c:pt>
                <c:pt idx="4">
                  <c:v>1.5</c:v>
                </c:pt>
                <c:pt idx="5">
                  <c:v>4</c:v>
                </c:pt>
                <c:pt idx="6">
                  <c:v>4</c:v>
                </c:pt>
                <c:pt idx="7">
                  <c:v>1.3333333333333333</c:v>
                </c:pt>
                <c:pt idx="8">
                  <c:v>0.5</c:v>
                </c:pt>
                <c:pt idx="9">
                  <c:v>0</c:v>
                </c:pt>
                <c:pt idx="11">
                  <c:v>1.8333333333333333</c:v>
                </c:pt>
                <c:pt idx="12">
                  <c:v>1.3333333333333333</c:v>
                </c:pt>
                <c:pt idx="13">
                  <c:v>2.5</c:v>
                </c:pt>
                <c:pt idx="14">
                  <c:v>1.25</c:v>
                </c:pt>
                <c:pt idx="15">
                  <c:v>0</c:v>
                </c:pt>
                <c:pt idx="16">
                  <c:v>1.5</c:v>
                </c:pt>
                <c:pt idx="17">
                  <c:v>2</c:v>
                </c:pt>
                <c:pt idx="18">
                  <c:v>1.3333333333333333</c:v>
                </c:pt>
                <c:pt idx="19">
                  <c:v>1.3333333333333333</c:v>
                </c:pt>
                <c:pt idx="20">
                  <c:v>#N/A</c:v>
                </c:pt>
                <c:pt idx="21">
                  <c:v>0</c:v>
                </c:pt>
                <c:pt idx="22">
                  <c:v>2.6666666666666665</c:v>
                </c:pt>
                <c:pt idx="23">
                  <c:v>0</c:v>
                </c:pt>
                <c:pt idx="24">
                  <c:v>0</c:v>
                </c:pt>
                <c:pt idx="25">
                  <c:v>0</c:v>
                </c:pt>
                <c:pt idx="26">
                  <c:v>0</c:v>
                </c:pt>
                <c:pt idx="27">
                  <c:v>2</c:v>
                </c:pt>
                <c:pt idx="28">
                  <c:v>0</c:v>
                </c:pt>
                <c:pt idx="29">
                  <c:v>0</c:v>
                </c:pt>
                <c:pt idx="30">
                  <c:v>2</c:v>
                </c:pt>
                <c:pt idx="31">
                  <c:v>4</c:v>
                </c:pt>
              </c:numCache>
            </c:numRef>
          </c:val>
          <c:extLst>
            <c:ext xmlns:c16="http://schemas.microsoft.com/office/drawing/2014/chart" uri="{C3380CC4-5D6E-409C-BE32-E72D297353CC}">
              <c16:uniqueId val="{00000000-FC85-408A-9FF9-B7388071D4A9}"/>
            </c:ext>
          </c:extLst>
        </c:ser>
        <c:dLbls>
          <c:showLegendKey val="0"/>
          <c:showVal val="0"/>
          <c:showCatName val="0"/>
          <c:showSerName val="0"/>
          <c:showPercent val="0"/>
          <c:showBubbleSize val="0"/>
        </c:dLbls>
        <c:gapWidth val="219"/>
        <c:overlap val="-27"/>
        <c:axId val="597878688"/>
        <c:axId val="597884096"/>
      </c:barChart>
      <c:catAx>
        <c:axId val="597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4096"/>
        <c:crosses val="autoZero"/>
        <c:auto val="1"/>
        <c:lblAlgn val="ctr"/>
        <c:lblOffset val="100"/>
        <c:noMultiLvlLbl val="0"/>
      </c:catAx>
      <c:valAx>
        <c:axId val="597884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8688"/>
        <c:crosses val="autoZero"/>
        <c:crossBetween val="between"/>
      </c:valAx>
      <c:spPr>
        <a:noFill/>
        <a:ln>
          <a:noFill/>
        </a:ln>
        <a:effectLst/>
      </c:spPr>
    </c:plotArea>
    <c:legend>
      <c:legendPos val="b"/>
      <c:layout>
        <c:manualLayout>
          <c:xMode val="edge"/>
          <c:yMode val="edge"/>
          <c:x val="0.46059187110281735"/>
          <c:y val="0.88238589967920678"/>
          <c:w val="7.7586651055782802E-2"/>
          <c:h val="5.35116217205223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(Recovered).xlsx]University 115m!PivotTable6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QnM/QlM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'University 115m'!$G$190</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'University 115m'!$F$191:$F$193</c:f>
              <c:strCache>
                <c:ptCount val="2"/>
                <c:pt idx="0">
                  <c:v>QlM</c:v>
                </c:pt>
                <c:pt idx="1">
                  <c:v>QnM</c:v>
                </c:pt>
              </c:strCache>
            </c:strRef>
          </c:cat>
          <c:val>
            <c:numRef>
              <c:f>'University 115m'!$G$191:$G$193</c:f>
              <c:numCache>
                <c:formatCode>General</c:formatCode>
                <c:ptCount val="2"/>
                <c:pt idx="0">
                  <c:v>0</c:v>
                </c:pt>
                <c:pt idx="1">
                  <c:v>#N/A</c:v>
                </c:pt>
              </c:numCache>
            </c:numRef>
          </c:val>
          <c:extLst>
            <c:ext xmlns:c16="http://schemas.microsoft.com/office/drawing/2014/chart" uri="{C3380CC4-5D6E-409C-BE32-E72D297353CC}">
              <c16:uniqueId val="{00000000-DE40-45AE-B6A2-CB2F7F50B448}"/>
            </c:ext>
          </c:extLst>
        </c:ser>
        <c:dLbls>
          <c:showLegendKey val="0"/>
          <c:showVal val="0"/>
          <c:showCatName val="0"/>
          <c:showSerName val="0"/>
          <c:showPercent val="0"/>
          <c:showBubbleSize val="0"/>
        </c:dLbls>
        <c:gapWidth val="219"/>
        <c:overlap val="-27"/>
        <c:axId val="660644240"/>
        <c:axId val="660639664"/>
      </c:barChart>
      <c:catAx>
        <c:axId val="66064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9664"/>
        <c:crosses val="autoZero"/>
        <c:auto val="1"/>
        <c:lblAlgn val="ctr"/>
        <c:lblOffset val="100"/>
        <c:noMultiLvlLbl val="0"/>
      </c:catAx>
      <c:valAx>
        <c:axId val="6606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44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(Recovered).xlsx]University 115m!PivotTable7</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Each Metric Wise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'University 115m'!$G$196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'University 115m'!$F$197:$F$312</c:f>
              <c:strCache>
                <c:ptCount val="115"/>
                <c:pt idx="0">
                  <c:v>1.1.1</c:v>
                </c:pt>
                <c:pt idx="1">
                  <c:v>1.1.2</c:v>
                </c:pt>
                <c:pt idx="2">
                  <c:v>1.1.3</c:v>
                </c:pt>
                <c:pt idx="3">
                  <c:v>1.2.1</c:v>
                </c:pt>
                <c:pt idx="4">
                  <c:v>1.2.2</c:v>
                </c:pt>
                <c:pt idx="5">
                  <c:v>1.3.1</c:v>
                </c:pt>
                <c:pt idx="6">
                  <c:v>1.3.2</c:v>
                </c:pt>
                <c:pt idx="7">
                  <c:v>1.3.3</c:v>
                </c:pt>
                <c:pt idx="8">
                  <c:v>1.3.4</c:v>
                </c:pt>
                <c:pt idx="9">
                  <c:v>1.4.1</c:v>
                </c:pt>
                <c:pt idx="10">
                  <c:v>1.4.2</c:v>
                </c:pt>
                <c:pt idx="11">
                  <c:v>2.1.1</c:v>
                </c:pt>
                <c:pt idx="12">
                  <c:v>2.1.2</c:v>
                </c:pt>
                <c:pt idx="13">
                  <c:v>2.2.1</c:v>
                </c:pt>
                <c:pt idx="14">
                  <c:v>2.2.2</c:v>
                </c:pt>
                <c:pt idx="15">
                  <c:v>2.3.1</c:v>
                </c:pt>
                <c:pt idx="16">
                  <c:v>2.3.2</c:v>
                </c:pt>
                <c:pt idx="17">
                  <c:v>2.3.3</c:v>
                </c:pt>
                <c:pt idx="18">
                  <c:v>2.4.1</c:v>
                </c:pt>
                <c:pt idx="19">
                  <c:v>2.4.2</c:v>
                </c:pt>
                <c:pt idx="20">
                  <c:v>2.4.3</c:v>
                </c:pt>
                <c:pt idx="21">
                  <c:v>2.4.4</c:v>
                </c:pt>
                <c:pt idx="22">
                  <c:v>2.5.1</c:v>
                </c:pt>
                <c:pt idx="23">
                  <c:v>2.5.2</c:v>
                </c:pt>
                <c:pt idx="24">
                  <c:v>2.5.3</c:v>
                </c:pt>
                <c:pt idx="25">
                  <c:v>2.5.4</c:v>
                </c:pt>
                <c:pt idx="26">
                  <c:v>2.6.1</c:v>
                </c:pt>
                <c:pt idx="27">
                  <c:v>2.6.2</c:v>
                </c:pt>
                <c:pt idx="28">
                  <c:v>2.6.3</c:v>
                </c:pt>
                <c:pt idx="29">
                  <c:v>2.7.1</c:v>
                </c:pt>
                <c:pt idx="30">
                  <c:v>3.1.1</c:v>
                </c:pt>
                <c:pt idx="31">
                  <c:v>3.1.2</c:v>
                </c:pt>
                <c:pt idx="32">
                  <c:v>3.1.3</c:v>
                </c:pt>
                <c:pt idx="33">
                  <c:v>3.1.4</c:v>
                </c:pt>
                <c:pt idx="34">
                  <c:v>3.1.5</c:v>
                </c:pt>
                <c:pt idx="35">
                  <c:v>3.1.6</c:v>
                </c:pt>
                <c:pt idx="36">
                  <c:v>3.2.1</c:v>
                </c:pt>
                <c:pt idx="37">
                  <c:v>3.2.2</c:v>
                </c:pt>
                <c:pt idx="38">
                  <c:v>3.2.3</c:v>
                </c:pt>
                <c:pt idx="39">
                  <c:v>3.3.1</c:v>
                </c:pt>
                <c:pt idx="40">
                  <c:v>3.3.2</c:v>
                </c:pt>
                <c:pt idx="41">
                  <c:v>3.3.3</c:v>
                </c:pt>
                <c:pt idx="42">
                  <c:v>3.4.1</c:v>
                </c:pt>
                <c:pt idx="43">
                  <c:v>3.4.2</c:v>
                </c:pt>
                <c:pt idx="44">
                  <c:v>3.4.3</c:v>
                </c:pt>
                <c:pt idx="45">
                  <c:v>3.4.4</c:v>
                </c:pt>
                <c:pt idx="46">
                  <c:v>3.4.5</c:v>
                </c:pt>
                <c:pt idx="47">
                  <c:v>3.4.6</c:v>
                </c:pt>
                <c:pt idx="48">
                  <c:v>3.4.7</c:v>
                </c:pt>
                <c:pt idx="49">
                  <c:v>3.4.8</c:v>
                </c:pt>
                <c:pt idx="50">
                  <c:v>3.4.9</c:v>
                </c:pt>
                <c:pt idx="51">
                  <c:v>3.5.1</c:v>
                </c:pt>
                <c:pt idx="52">
                  <c:v>3.5.2</c:v>
                </c:pt>
                <c:pt idx="53">
                  <c:v>3.6.1</c:v>
                </c:pt>
                <c:pt idx="54">
                  <c:v>3.6.2</c:v>
                </c:pt>
                <c:pt idx="55">
                  <c:v>3.6.3</c:v>
                </c:pt>
                <c:pt idx="56">
                  <c:v>3.6.4</c:v>
                </c:pt>
                <c:pt idx="57">
                  <c:v>3.7.1</c:v>
                </c:pt>
                <c:pt idx="58">
                  <c:v>3.7.2</c:v>
                </c:pt>
                <c:pt idx="59">
                  <c:v>4.1.1</c:v>
                </c:pt>
                <c:pt idx="60">
                  <c:v>4.1.2</c:v>
                </c:pt>
                <c:pt idx="61">
                  <c:v>4.1.3</c:v>
                </c:pt>
                <c:pt idx="62">
                  <c:v>4.1.4</c:v>
                </c:pt>
                <c:pt idx="63">
                  <c:v>4.2.1</c:v>
                </c:pt>
                <c:pt idx="64">
                  <c:v>4.2.2</c:v>
                </c:pt>
                <c:pt idx="65">
                  <c:v>4.2.3</c:v>
                </c:pt>
                <c:pt idx="66">
                  <c:v>4.2.4</c:v>
                </c:pt>
                <c:pt idx="67">
                  <c:v>4.3.1</c:v>
                </c:pt>
                <c:pt idx="68">
                  <c:v>4.3.2</c:v>
                </c:pt>
                <c:pt idx="69">
                  <c:v>4.3.3</c:v>
                </c:pt>
                <c:pt idx="70">
                  <c:v>4.3.4</c:v>
                </c:pt>
                <c:pt idx="71">
                  <c:v>4.3.5</c:v>
                </c:pt>
                <c:pt idx="72">
                  <c:v>4.4.1</c:v>
                </c:pt>
                <c:pt idx="73">
                  <c:v>4.4.2</c:v>
                </c:pt>
                <c:pt idx="74">
                  <c:v>5.1.1</c:v>
                </c:pt>
                <c:pt idx="75">
                  <c:v>5.1.2</c:v>
                </c:pt>
                <c:pt idx="76">
                  <c:v>5.1.3</c:v>
                </c:pt>
                <c:pt idx="77">
                  <c:v>5.1.4</c:v>
                </c:pt>
                <c:pt idx="78">
                  <c:v>5.2.1</c:v>
                </c:pt>
                <c:pt idx="79">
                  <c:v>5.2.2</c:v>
                </c:pt>
                <c:pt idx="80">
                  <c:v>5.2.3</c:v>
                </c:pt>
                <c:pt idx="81">
                  <c:v>5.3.1</c:v>
                </c:pt>
                <c:pt idx="82">
                  <c:v>5.3.2</c:v>
                </c:pt>
                <c:pt idx="83">
                  <c:v>5.3.3</c:v>
                </c:pt>
                <c:pt idx="84">
                  <c:v>5.4.1</c:v>
                </c:pt>
                <c:pt idx="85">
                  <c:v>5.4.2</c:v>
                </c:pt>
                <c:pt idx="86">
                  <c:v>6.1.1</c:v>
                </c:pt>
                <c:pt idx="87">
                  <c:v>6.1.2</c:v>
                </c:pt>
                <c:pt idx="88">
                  <c:v>6.2.1</c:v>
                </c:pt>
                <c:pt idx="89">
                  <c:v>6.2.2</c:v>
                </c:pt>
                <c:pt idx="90">
                  <c:v>6.2.3</c:v>
                </c:pt>
                <c:pt idx="91">
                  <c:v>6.3.1</c:v>
                </c:pt>
                <c:pt idx="92">
                  <c:v>6.3.2</c:v>
                </c:pt>
                <c:pt idx="93">
                  <c:v>6.3.3</c:v>
                </c:pt>
                <c:pt idx="94">
                  <c:v>6.3.4</c:v>
                </c:pt>
                <c:pt idx="95">
                  <c:v>6.4.1</c:v>
                </c:pt>
                <c:pt idx="96">
                  <c:v>6.4.2</c:v>
                </c:pt>
                <c:pt idx="97">
                  <c:v>6.4.3</c:v>
                </c:pt>
                <c:pt idx="98">
                  <c:v>6.4.4</c:v>
                </c:pt>
                <c:pt idx="99">
                  <c:v>6.5.1</c:v>
                </c:pt>
                <c:pt idx="100">
                  <c:v>6.5.2</c:v>
                </c:pt>
                <c:pt idx="101">
                  <c:v>6.5.3</c:v>
                </c:pt>
                <c:pt idx="102">
                  <c:v>7.1.1</c:v>
                </c:pt>
                <c:pt idx="103">
                  <c:v>7.1.10</c:v>
                </c:pt>
                <c:pt idx="104">
                  <c:v>7.1.11</c:v>
                </c:pt>
                <c:pt idx="105">
                  <c:v>7.1.2</c:v>
                </c:pt>
                <c:pt idx="106">
                  <c:v>7.1.3</c:v>
                </c:pt>
                <c:pt idx="107">
                  <c:v>7.1.4</c:v>
                </c:pt>
                <c:pt idx="108">
                  <c:v>7.1.5</c:v>
                </c:pt>
                <c:pt idx="109">
                  <c:v>7.1.6</c:v>
                </c:pt>
                <c:pt idx="110">
                  <c:v>7.1.7</c:v>
                </c:pt>
                <c:pt idx="111">
                  <c:v>7.1.8</c:v>
                </c:pt>
                <c:pt idx="112">
                  <c:v>7.1.9</c:v>
                </c:pt>
                <c:pt idx="113">
                  <c:v>7.2.1</c:v>
                </c:pt>
                <c:pt idx="114">
                  <c:v>7.3.1</c:v>
                </c:pt>
              </c:strCache>
            </c:strRef>
          </c:cat>
          <c:val>
            <c:numRef>
              <c:f>'University 115m'!$G$197:$G$312</c:f>
              <c:numCache>
                <c:formatCode>General</c:formatCode>
                <c:ptCount val="115"/>
                <c:pt idx="1">
                  <c:v>3</c:v>
                </c:pt>
                <c:pt idx="2">
                  <c:v>3</c:v>
                </c:pt>
                <c:pt idx="3">
                  <c:v>0</c:v>
                </c:pt>
                <c:pt idx="4">
                  <c:v>4</c:v>
                </c:pt>
                <c:pt idx="6">
                  <c:v>4</c:v>
                </c:pt>
                <c:pt idx="7">
                  <c:v>3</c:v>
                </c:pt>
                <c:pt idx="8">
                  <c:v>0</c:v>
                </c:pt>
                <c:pt idx="9">
                  <c:v>4</c:v>
                </c:pt>
                <c:pt idx="10">
                  <c:v>4</c:v>
                </c:pt>
                <c:pt idx="11">
                  <c:v>0</c:v>
                </c:pt>
                <c:pt idx="12">
                  <c:v>3</c:v>
                </c:pt>
                <c:pt idx="14">
                  <c:v>4</c:v>
                </c:pt>
                <c:pt idx="17">
                  <c:v>4</c:v>
                </c:pt>
                <c:pt idx="19">
                  <c:v>3</c:v>
                </c:pt>
                <c:pt idx="20">
                  <c:v>0</c:v>
                </c:pt>
                <c:pt idx="21">
                  <c:v>1</c:v>
                </c:pt>
                <c:pt idx="22">
                  <c:v>1</c:v>
                </c:pt>
                <c:pt idx="23">
                  <c:v>0</c:v>
                </c:pt>
                <c:pt idx="27">
                  <c:v>0</c:v>
                </c:pt>
                <c:pt idx="28">
                  <c:v>0</c:v>
                </c:pt>
                <c:pt idx="30">
                  <c:v>0</c:v>
                </c:pt>
                <c:pt idx="31">
                  <c:v>1</c:v>
                </c:pt>
                <c:pt idx="32">
                  <c:v>0</c:v>
                </c:pt>
                <c:pt idx="33">
                  <c:v>2</c:v>
                </c:pt>
                <c:pt idx="34">
                  <c:v>4</c:v>
                </c:pt>
                <c:pt idx="35">
                  <c:v>4</c:v>
                </c:pt>
                <c:pt idx="37">
                  <c:v>4</c:v>
                </c:pt>
                <c:pt idx="38">
                  <c:v>0</c:v>
                </c:pt>
                <c:pt idx="39">
                  <c:v>0</c:v>
                </c:pt>
                <c:pt idx="40">
                  <c:v>4</c:v>
                </c:pt>
                <c:pt idx="41">
                  <c:v>1</c:v>
                </c:pt>
                <c:pt idx="42">
                  <c:v>4</c:v>
                </c:pt>
                <c:pt idx="43">
                  <c:v>4</c:v>
                </c:pt>
                <c:pt idx="44">
                  <c:v>0</c:v>
                </c:pt>
                <c:pt idx="45">
                  <c:v>0</c:v>
                </c:pt>
                <c:pt idx="47">
                  <c:v>0</c:v>
                </c:pt>
                <c:pt idx="48">
                  <c:v>1</c:v>
                </c:pt>
                <c:pt idx="49">
                  <c:v>0</c:v>
                </c:pt>
                <c:pt idx="50">
                  <c:v>1</c:v>
                </c:pt>
                <c:pt idx="51">
                  <c:v>0</c:v>
                </c:pt>
                <c:pt idx="54">
                  <c:v>0</c:v>
                </c:pt>
                <c:pt idx="55">
                  <c:v>3</c:v>
                </c:pt>
                <c:pt idx="57">
                  <c:v>0</c:v>
                </c:pt>
                <c:pt idx="58">
                  <c:v>4</c:v>
                </c:pt>
                <c:pt idx="59">
                  <c:v>0</c:v>
                </c:pt>
                <c:pt idx="61">
                  <c:v>0</c:v>
                </c:pt>
                <c:pt idx="62">
                  <c:v>4</c:v>
                </c:pt>
                <c:pt idx="63">
                  <c:v>0</c:v>
                </c:pt>
                <c:pt idx="64">
                  <c:v>4</c:v>
                </c:pt>
                <c:pt idx="66">
                  <c:v>0</c:v>
                </c:pt>
                <c:pt idx="67">
                  <c:v>0</c:v>
                </c:pt>
                <c:pt idx="68">
                  <c:v>0</c:v>
                </c:pt>
                <c:pt idx="69">
                  <c:v>#N/A</c:v>
                </c:pt>
                <c:pt idx="70">
                  <c:v>4</c:v>
                </c:pt>
                <c:pt idx="71">
                  <c:v>4</c:v>
                </c:pt>
                <c:pt idx="72">
                  <c:v>0</c:v>
                </c:pt>
                <c:pt idx="73">
                  <c:v>0</c:v>
                </c:pt>
                <c:pt idx="74">
                  <c:v>0</c:v>
                </c:pt>
                <c:pt idx="76">
                  <c:v>4</c:v>
                </c:pt>
                <c:pt idx="77">
                  <c:v>4</c:v>
                </c:pt>
                <c:pt idx="78">
                  <c:v>0</c:v>
                </c:pt>
                <c:pt idx="83">
                  <c:v>0</c:v>
                </c:pt>
                <c:pt idx="85">
                  <c:v>0</c:v>
                </c:pt>
                <c:pt idx="86">
                  <c:v>0</c:v>
                </c:pt>
                <c:pt idx="87">
                  <c:v>0</c:v>
                </c:pt>
                <c:pt idx="89">
                  <c:v>0</c:v>
                </c:pt>
                <c:pt idx="90">
                  <c:v>4</c:v>
                </c:pt>
                <c:pt idx="93">
                  <c:v>0</c:v>
                </c:pt>
                <c:pt idx="95">
                  <c:v>0</c:v>
                </c:pt>
                <c:pt idx="97">
                  <c:v>0</c:v>
                </c:pt>
                <c:pt idx="98">
                  <c:v>0</c:v>
                </c:pt>
                <c:pt idx="99">
                  <c:v>0</c:v>
                </c:pt>
                <c:pt idx="100">
                  <c:v>4</c:v>
                </c:pt>
                <c:pt idx="103">
                  <c:v>4</c:v>
                </c:pt>
                <c:pt idx="105">
                  <c:v>4</c:v>
                </c:pt>
                <c:pt idx="107">
                  <c:v>4</c:v>
                </c:pt>
                <c:pt idx="108">
                  <c:v>4</c:v>
                </c:pt>
                <c:pt idx="109">
                  <c:v>4</c:v>
                </c:pt>
                <c:pt idx="110">
                  <c:v>4</c:v>
                </c:pt>
              </c:numCache>
            </c:numRef>
          </c:val>
          <c:extLst>
            <c:ext xmlns:c16="http://schemas.microsoft.com/office/drawing/2014/chart" uri="{C3380CC4-5D6E-409C-BE32-E72D297353CC}">
              <c16:uniqueId val="{00000000-DDA6-4018-9593-77533297B8C7}"/>
            </c:ext>
          </c:extLst>
        </c:ser>
        <c:dLbls>
          <c:showLegendKey val="0"/>
          <c:showVal val="0"/>
          <c:showCatName val="0"/>
          <c:showSerName val="0"/>
          <c:showPercent val="0"/>
          <c:showBubbleSize val="0"/>
        </c:dLbls>
        <c:gapWidth val="219"/>
        <c:overlap val="-27"/>
        <c:axId val="660631760"/>
        <c:axId val="660623024"/>
      </c:barChart>
      <c:catAx>
        <c:axId val="66063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23024"/>
        <c:crosses val="autoZero"/>
        <c:auto val="1"/>
        <c:lblAlgn val="ctr"/>
        <c:lblOffset val="100"/>
        <c:noMultiLvlLbl val="0"/>
      </c:catAx>
      <c:valAx>
        <c:axId val="6606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60631760"/>
        <c:crosses val="autoZero"/>
        <c:crossBetween val="between"/>
      </c:valAx>
      <c:spPr>
        <a:noFill/>
        <a:ln>
          <a:noFill/>
        </a:ln>
        <a:effectLst/>
      </c:spPr>
    </c:plotArea>
    <c:legend>
      <c:legendPos val="b"/>
      <c:layout>
        <c:manualLayout>
          <c:xMode val="edge"/>
          <c:yMode val="edge"/>
          <c:x val="0.46279650560045338"/>
          <c:y val="0.90090441819772527"/>
          <c:w val="7.7811483111363794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(Recovered).xlsx]Qn (79m)!PivotTable1</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QnM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0"/>
        <c:ser>
          <c:idx val="0"/>
          <c:order val="0"/>
          <c:tx>
            <c:strRef>
              <c:f>'Qn (79m)'!$G$86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'Qn (79m)'!$F$87:$F$94</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'Qn (79m)'!$G$87:$G$94</c:f>
              <c:numCache>
                <c:formatCode>General</c:formatCode>
                <c:ptCount val="7"/>
                <c:pt idx="0">
                  <c:v>3.2222222222222223</c:v>
                </c:pt>
                <c:pt idx="1">
                  <c:v>2</c:v>
                </c:pt>
                <c:pt idx="2">
                  <c:v>1.75</c:v>
                </c:pt>
                <c:pt idx="3">
                  <c:v>2.3333333333333335</c:v>
                </c:pt>
                <c:pt idx="4">
                  <c:v>1.7272727272727273</c:v>
                </c:pt>
                <c:pt idx="5">
                  <c:v>1.5</c:v>
                </c:pt>
                <c:pt idx="6">
                  <c:v>3.3</c:v>
                </c:pt>
              </c:numCache>
            </c:numRef>
          </c:val>
          <c:extLst>
            <c:ext xmlns:c16="http://schemas.microsoft.com/office/drawing/2014/chart" uri="{C3380CC4-5D6E-409C-BE32-E72D297353CC}">
              <c16:uniqueId val="{00000000-A67A-43D7-9917-D8DC2C4761F1}"/>
            </c:ext>
          </c:extLst>
        </c:ser>
        <c:dLbls>
          <c:showLegendKey val="0"/>
          <c:showVal val="0"/>
          <c:showCatName val="0"/>
          <c:showSerName val="0"/>
          <c:showPercent val="0"/>
          <c:showBubbleSize val="0"/>
        </c:dLbls>
        <c:gapWidth val="219"/>
        <c:overlap val="-27"/>
        <c:axId val="506375440"/>
        <c:axId val="506376272"/>
      </c:barChart>
      <c:catAx>
        <c:axId val="50637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6272"/>
        <c:crosses val="autoZero"/>
        <c:auto val="1"/>
        <c:lblAlgn val="ctr"/>
        <c:lblOffset val="100"/>
        <c:noMultiLvlLbl val="0"/>
      </c:catAx>
      <c:valAx>
        <c:axId val="50637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063754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(Recovered).xlsx]Qn (79m)!PivotTable2</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'Qn (79m)'!$G$101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(79m)'!$F$102:$F$133</c:f>
              <c:strCache>
                <c:ptCount val="31"/>
                <c:pt idx="0">
                  <c:v>1.2 Academic Flexibility</c:v>
                </c:pt>
                <c:pt idx="1">
                  <c:v>1.3 Curriculum Enrichment</c:v>
                </c:pt>
                <c:pt idx="2">
                  <c:v>1.4 Feedback System</c:v>
                </c:pt>
                <c:pt idx="3">
                  <c:v>2.1 Student Enrolment and Profile</c:v>
                </c:pt>
                <c:pt idx="4">
                  <c:v>2.4 Teacher Profile and Quality</c:v>
                </c:pt>
                <c:pt idx="5">
                  <c:v>2.6 Student Performance and Learning Outcomes</c:v>
                </c:pt>
                <c:pt idx="6">
                  <c:v>2.7 Student Satisfaction Survey</c:v>
                </c:pt>
                <c:pt idx="7">
                  <c:v>4.1 Physical Facilities</c:v>
                </c:pt>
                <c:pt idx="8">
                  <c:v>4.3 IT Infrastructure</c:v>
                </c:pt>
                <c:pt idx="9">
                  <c:v>4.4 Maintenance of Campus Infrastructure</c:v>
                </c:pt>
                <c:pt idx="10">
                  <c:v>5.1 Student Support</c:v>
                </c:pt>
                <c:pt idx="11">
                  <c:v>5.2 Student Progression</c:v>
                </c:pt>
                <c:pt idx="12">
                  <c:v>5.3 Student Participation and Activities</c:v>
                </c:pt>
                <c:pt idx="13">
                  <c:v>6.2 Strategy Development and Deployment</c:v>
                </c:pt>
                <c:pt idx="14">
                  <c:v>6.3 Faculty Empowerment Strategies</c:v>
                </c:pt>
                <c:pt idx="15">
                  <c:v>6.5 Internal Quality Assurance System (IQAS)</c:v>
                </c:pt>
                <c:pt idx="16">
                  <c:v>7.1 Institutional Values and Social Responsibilities</c:v>
                </c:pt>
                <c:pt idx="17">
                  <c:v>1.1 Curriculum Planning and Implementation</c:v>
                </c:pt>
                <c:pt idx="18">
                  <c:v>2.2 Catering to Student Diversity</c:v>
                </c:pt>
                <c:pt idx="19">
                  <c:v>2.3 Teaching-Learning Process</c:v>
                </c:pt>
                <c:pt idx="20">
                  <c:v>2.5 Evaluation Process and Reforms</c:v>
                </c:pt>
                <c:pt idx="21">
                  <c:v>3.1 Promotion of Research and Facilities</c:v>
                </c:pt>
                <c:pt idx="22">
                  <c:v>3.2 Resource Mobilization for Research</c:v>
                </c:pt>
                <c:pt idx="23">
                  <c:v>3.3 Innovation Ecosystem</c:v>
                </c:pt>
                <c:pt idx="24">
                  <c:v>3.4 Research Publications and Awards</c:v>
                </c:pt>
                <c:pt idx="25">
                  <c:v>3.5 Consultancy</c:v>
                </c:pt>
                <c:pt idx="26">
                  <c:v>3.6 Extension Activities</c:v>
                </c:pt>
                <c:pt idx="27">
                  <c:v>3.7 Collaboration</c:v>
                </c:pt>
                <c:pt idx="28">
                  <c:v>4.2 Library as a Learning Resource</c:v>
                </c:pt>
                <c:pt idx="29">
                  <c:v>5.4 Alumni Engagement</c:v>
                </c:pt>
                <c:pt idx="30">
                  <c:v>6.4 Financial Management and Resource Mobilization</c:v>
                </c:pt>
              </c:strCache>
            </c:strRef>
          </c:cat>
          <c:val>
            <c:numRef>
              <c:f>'Qn (79m)'!$G$102:$G$133</c:f>
              <c:numCache>
                <c:formatCode>General</c:formatCode>
                <c:ptCount val="31"/>
                <c:pt idx="0">
                  <c:v>2</c:v>
                </c:pt>
                <c:pt idx="1">
                  <c:v>3.6666666666666665</c:v>
                </c:pt>
                <c:pt idx="2">
                  <c:v>4</c:v>
                </c:pt>
                <c:pt idx="3">
                  <c:v>1.5</c:v>
                </c:pt>
                <c:pt idx="4">
                  <c:v>2</c:v>
                </c:pt>
                <c:pt idx="5">
                  <c:v>4</c:v>
                </c:pt>
                <c:pt idx="6">
                  <c:v>2</c:v>
                </c:pt>
                <c:pt idx="7">
                  <c:v>0</c:v>
                </c:pt>
                <c:pt idx="8">
                  <c:v>2</c:v>
                </c:pt>
                <c:pt idx="9">
                  <c:v>0</c:v>
                </c:pt>
                <c:pt idx="10">
                  <c:v>2.25</c:v>
                </c:pt>
                <c:pt idx="11">
                  <c:v>0.66666666666666663</c:v>
                </c:pt>
                <c:pt idx="12">
                  <c:v>3</c:v>
                </c:pt>
                <c:pt idx="13">
                  <c:v>4</c:v>
                </c:pt>
                <c:pt idx="14">
                  <c:v>0.33333333333333331</c:v>
                </c:pt>
                <c:pt idx="15">
                  <c:v>4</c:v>
                </c:pt>
                <c:pt idx="16">
                  <c:v>4</c:v>
                </c:pt>
                <c:pt idx="17">
                  <c:v>3</c:v>
                </c:pt>
                <c:pt idx="18">
                  <c:v>4</c:v>
                </c:pt>
                <c:pt idx="19">
                  <c:v>4</c:v>
                </c:pt>
                <c:pt idx="20">
                  <c:v>0.33333333333333331</c:v>
                </c:pt>
                <c:pt idx="21">
                  <c:v>2.2000000000000002</c:v>
                </c:pt>
                <c:pt idx="22">
                  <c:v>1.3333333333333333</c:v>
                </c:pt>
                <c:pt idx="23">
                  <c:v>2.5</c:v>
                </c:pt>
                <c:pt idx="24">
                  <c:v>1.4444444444444444</c:v>
                </c:pt>
                <c:pt idx="25">
                  <c:v>4</c:v>
                </c:pt>
                <c:pt idx="26">
                  <c:v>1.6666666666666667</c:v>
                </c:pt>
                <c:pt idx="27">
                  <c:v>2</c:v>
                </c:pt>
                <c:pt idx="28">
                  <c:v>3.3333333333333335</c:v>
                </c:pt>
                <c:pt idx="29">
                  <c:v>0</c:v>
                </c:pt>
                <c:pt idx="30">
                  <c:v>2</c:v>
                </c:pt>
              </c:numCache>
            </c:numRef>
          </c:val>
          <c:extLst>
            <c:ext xmlns:c16="http://schemas.microsoft.com/office/drawing/2014/chart" uri="{C3380CC4-5D6E-409C-BE32-E72D297353CC}">
              <c16:uniqueId val="{00000000-2022-4337-84B2-066DCB5F2F0B}"/>
            </c:ext>
          </c:extLst>
        </c:ser>
        <c:dLbls>
          <c:showLegendKey val="0"/>
          <c:showVal val="0"/>
          <c:showCatName val="0"/>
          <c:showSerName val="0"/>
          <c:showPercent val="0"/>
          <c:showBubbleSize val="0"/>
        </c:dLbls>
        <c:gapWidth val="219"/>
        <c:overlap val="-27"/>
        <c:axId val="598185792"/>
        <c:axId val="598183712"/>
      </c:barChart>
      <c:catAx>
        <c:axId val="5981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3712"/>
        <c:crosses val="autoZero"/>
        <c:auto val="1"/>
        <c:lblAlgn val="ctr"/>
        <c:lblOffset val="100"/>
        <c:noMultiLvlLbl val="0"/>
      </c:catAx>
      <c:valAx>
        <c:axId val="5981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8185792"/>
        <c:crosses val="autoZero"/>
        <c:crossBetween val="between"/>
      </c:valAx>
      <c:spPr>
        <a:noFill/>
        <a:ln>
          <a:noFill/>
        </a:ln>
        <a:effectLst/>
      </c:spPr>
    </c:plotArea>
    <c:legend>
      <c:legendPos val="b"/>
      <c:layout>
        <c:manualLayout>
          <c:xMode val="edge"/>
          <c:yMode val="edge"/>
          <c:x val="0.45543328958880142"/>
          <c:y val="0.92918231374924298"/>
          <c:w val="7.9967154778975896E-2"/>
          <c:h val="5.49722227649583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(Recovered).xlsx]Qn (79m)!PivotTable3</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Metric Wise QnM Grade Points(0-4)</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'Qn (79m)'!$G$135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'Qn (79m)'!$F$136:$F$215</c:f>
              <c:strCache>
                <c:ptCount val="79"/>
                <c:pt idx="0">
                  <c:v>1.1.2</c:v>
                </c:pt>
                <c:pt idx="1">
                  <c:v>1.1.3</c:v>
                </c:pt>
                <c:pt idx="2">
                  <c:v>1.2.1</c:v>
                </c:pt>
                <c:pt idx="3">
                  <c:v>1.2.2</c:v>
                </c:pt>
                <c:pt idx="4">
                  <c:v>1.3.2</c:v>
                </c:pt>
                <c:pt idx="5">
                  <c:v>1.3.3</c:v>
                </c:pt>
                <c:pt idx="6">
                  <c:v>1.3.4</c:v>
                </c:pt>
                <c:pt idx="7">
                  <c:v>1.4.1</c:v>
                </c:pt>
                <c:pt idx="8">
                  <c:v>1.4.2</c:v>
                </c:pt>
                <c:pt idx="9">
                  <c:v>2.1.1</c:v>
                </c:pt>
                <c:pt idx="10">
                  <c:v>2.1.2</c:v>
                </c:pt>
                <c:pt idx="11">
                  <c:v>2.2.2</c:v>
                </c:pt>
                <c:pt idx="12">
                  <c:v>2.3.3</c:v>
                </c:pt>
                <c:pt idx="13">
                  <c:v>2.4.1</c:v>
                </c:pt>
                <c:pt idx="14">
                  <c:v>2.4.2</c:v>
                </c:pt>
                <c:pt idx="15">
                  <c:v>2.4.3</c:v>
                </c:pt>
                <c:pt idx="16">
                  <c:v>2.4.4</c:v>
                </c:pt>
                <c:pt idx="17">
                  <c:v>2.5.1</c:v>
                </c:pt>
                <c:pt idx="18">
                  <c:v>2.5.2</c:v>
                </c:pt>
                <c:pt idx="19">
                  <c:v>2.5.4</c:v>
                </c:pt>
                <c:pt idx="20">
                  <c:v>2.6.3</c:v>
                </c:pt>
                <c:pt idx="21">
                  <c:v>2.7.1</c:v>
                </c:pt>
                <c:pt idx="22">
                  <c:v>3.1.2</c:v>
                </c:pt>
                <c:pt idx="23">
                  <c:v>3.1.3</c:v>
                </c:pt>
                <c:pt idx="24">
                  <c:v>3.1.4</c:v>
                </c:pt>
                <c:pt idx="25">
                  <c:v>3.1.5</c:v>
                </c:pt>
                <c:pt idx="26">
                  <c:v>3.1.6</c:v>
                </c:pt>
                <c:pt idx="27">
                  <c:v>3.2.1</c:v>
                </c:pt>
                <c:pt idx="28">
                  <c:v>3.2.2</c:v>
                </c:pt>
                <c:pt idx="29">
                  <c:v>3.2.3</c:v>
                </c:pt>
                <c:pt idx="30">
                  <c:v>3.3.2</c:v>
                </c:pt>
                <c:pt idx="31">
                  <c:v>3.3.3</c:v>
                </c:pt>
                <c:pt idx="32">
                  <c:v>3.4.1</c:v>
                </c:pt>
                <c:pt idx="33">
                  <c:v>3.4.2</c:v>
                </c:pt>
                <c:pt idx="34">
                  <c:v>3.4.3</c:v>
                </c:pt>
                <c:pt idx="35">
                  <c:v>3.4.4</c:v>
                </c:pt>
                <c:pt idx="36">
                  <c:v>3.4.5</c:v>
                </c:pt>
                <c:pt idx="37">
                  <c:v>3.4.6</c:v>
                </c:pt>
                <c:pt idx="38">
                  <c:v>3.4.7</c:v>
                </c:pt>
                <c:pt idx="39">
                  <c:v>3.4.8</c:v>
                </c:pt>
                <c:pt idx="40">
                  <c:v>3.4.9</c:v>
                </c:pt>
                <c:pt idx="41">
                  <c:v>3.5.2</c:v>
                </c:pt>
                <c:pt idx="42">
                  <c:v>3.6.2</c:v>
                </c:pt>
                <c:pt idx="43">
                  <c:v>3.6.3</c:v>
                </c:pt>
                <c:pt idx="44">
                  <c:v>3.6.4</c:v>
                </c:pt>
                <c:pt idx="45">
                  <c:v>3.7.1</c:v>
                </c:pt>
                <c:pt idx="46">
                  <c:v>3.7.2</c:v>
                </c:pt>
                <c:pt idx="47">
                  <c:v>4.1.4</c:v>
                </c:pt>
                <c:pt idx="48">
                  <c:v>4.2.2</c:v>
                </c:pt>
                <c:pt idx="49">
                  <c:v>4.2.3</c:v>
                </c:pt>
                <c:pt idx="50">
                  <c:v>4.2.4</c:v>
                </c:pt>
                <c:pt idx="51">
                  <c:v>4.3.1</c:v>
                </c:pt>
                <c:pt idx="52">
                  <c:v>4.3.3</c:v>
                </c:pt>
                <c:pt idx="53">
                  <c:v>4.3.4</c:v>
                </c:pt>
                <c:pt idx="54">
                  <c:v>4.3.5</c:v>
                </c:pt>
                <c:pt idx="55">
                  <c:v>4.4.1</c:v>
                </c:pt>
                <c:pt idx="56">
                  <c:v>5.1.1</c:v>
                </c:pt>
                <c:pt idx="57">
                  <c:v>5.1.2</c:v>
                </c:pt>
                <c:pt idx="58">
                  <c:v>5.1.3</c:v>
                </c:pt>
                <c:pt idx="59">
                  <c:v>5.1.4</c:v>
                </c:pt>
                <c:pt idx="60">
                  <c:v>5.2.1</c:v>
                </c:pt>
                <c:pt idx="61">
                  <c:v>5.2.2</c:v>
                </c:pt>
                <c:pt idx="62">
                  <c:v>5.2.3</c:v>
                </c:pt>
                <c:pt idx="63">
                  <c:v>5.3.1</c:v>
                </c:pt>
                <c:pt idx="64">
                  <c:v>5.3.3</c:v>
                </c:pt>
                <c:pt idx="65">
                  <c:v>5.4.2</c:v>
                </c:pt>
                <c:pt idx="66">
                  <c:v>6.2.3</c:v>
                </c:pt>
                <c:pt idx="67">
                  <c:v>6.3.2</c:v>
                </c:pt>
                <c:pt idx="68">
                  <c:v>6.3.3</c:v>
                </c:pt>
                <c:pt idx="69">
                  <c:v>6.3.4</c:v>
                </c:pt>
                <c:pt idx="70">
                  <c:v>6.4.2</c:v>
                </c:pt>
                <c:pt idx="71">
                  <c:v>6.4.3</c:v>
                </c:pt>
                <c:pt idx="72">
                  <c:v>6.5.2</c:v>
                </c:pt>
                <c:pt idx="73">
                  <c:v>7.1.10</c:v>
                </c:pt>
                <c:pt idx="74">
                  <c:v>7.1.2</c:v>
                </c:pt>
                <c:pt idx="75">
                  <c:v>7.1.4</c:v>
                </c:pt>
                <c:pt idx="76">
                  <c:v>7.1.5</c:v>
                </c:pt>
                <c:pt idx="77">
                  <c:v>7.1.6</c:v>
                </c:pt>
                <c:pt idx="78">
                  <c:v>7.1.7</c:v>
                </c:pt>
              </c:strCache>
            </c:strRef>
          </c:cat>
          <c:val>
            <c:numRef>
              <c:f>'Qn (79m)'!$G$136:$G$215</c:f>
              <c:numCache>
                <c:formatCode>General</c:formatCode>
                <c:ptCount val="79"/>
                <c:pt idx="0">
                  <c:v>3</c:v>
                </c:pt>
                <c:pt idx="1">
                  <c:v>3</c:v>
                </c:pt>
                <c:pt idx="2">
                  <c:v>0</c:v>
                </c:pt>
                <c:pt idx="3">
                  <c:v>4</c:v>
                </c:pt>
                <c:pt idx="4">
                  <c:v>4</c:v>
                </c:pt>
                <c:pt idx="5">
                  <c:v>3</c:v>
                </c:pt>
                <c:pt idx="6">
                  <c:v>4</c:v>
                </c:pt>
                <c:pt idx="7">
                  <c:v>4</c:v>
                </c:pt>
                <c:pt idx="8">
                  <c:v>4</c:v>
                </c:pt>
                <c:pt idx="9">
                  <c:v>0</c:v>
                </c:pt>
                <c:pt idx="10">
                  <c:v>3</c:v>
                </c:pt>
                <c:pt idx="11">
                  <c:v>4</c:v>
                </c:pt>
                <c:pt idx="12">
                  <c:v>4</c:v>
                </c:pt>
                <c:pt idx="13">
                  <c:v>4</c:v>
                </c:pt>
                <c:pt idx="14">
                  <c:v>3</c:v>
                </c:pt>
                <c:pt idx="15">
                  <c:v>0</c:v>
                </c:pt>
                <c:pt idx="16">
                  <c:v>1</c:v>
                </c:pt>
                <c:pt idx="17">
                  <c:v>1</c:v>
                </c:pt>
                <c:pt idx="18">
                  <c:v>0</c:v>
                </c:pt>
                <c:pt idx="19">
                  <c:v>0</c:v>
                </c:pt>
                <c:pt idx="20">
                  <c:v>4</c:v>
                </c:pt>
                <c:pt idx="21">
                  <c:v>2</c:v>
                </c:pt>
                <c:pt idx="22">
                  <c:v>1</c:v>
                </c:pt>
                <c:pt idx="23">
                  <c:v>0</c:v>
                </c:pt>
                <c:pt idx="24">
                  <c:v>2</c:v>
                </c:pt>
                <c:pt idx="25">
                  <c:v>4</c:v>
                </c:pt>
                <c:pt idx="26">
                  <c:v>4</c:v>
                </c:pt>
                <c:pt idx="27">
                  <c:v>0</c:v>
                </c:pt>
                <c:pt idx="28">
                  <c:v>4</c:v>
                </c:pt>
                <c:pt idx="29">
                  <c:v>0</c:v>
                </c:pt>
                <c:pt idx="30">
                  <c:v>4</c:v>
                </c:pt>
                <c:pt idx="31">
                  <c:v>1</c:v>
                </c:pt>
                <c:pt idx="32">
                  <c:v>4</c:v>
                </c:pt>
                <c:pt idx="33">
                  <c:v>4</c:v>
                </c:pt>
                <c:pt idx="34">
                  <c:v>0</c:v>
                </c:pt>
                <c:pt idx="35">
                  <c:v>0</c:v>
                </c:pt>
                <c:pt idx="36">
                  <c:v>0</c:v>
                </c:pt>
                <c:pt idx="37">
                  <c:v>0</c:v>
                </c:pt>
                <c:pt idx="38">
                  <c:v>4</c:v>
                </c:pt>
                <c:pt idx="39">
                  <c:v>0</c:v>
                </c:pt>
                <c:pt idx="40">
                  <c:v>1</c:v>
                </c:pt>
                <c:pt idx="41">
                  <c:v>4</c:v>
                </c:pt>
                <c:pt idx="42">
                  <c:v>0</c:v>
                </c:pt>
                <c:pt idx="43">
                  <c:v>3</c:v>
                </c:pt>
                <c:pt idx="44">
                  <c:v>2</c:v>
                </c:pt>
                <c:pt idx="45">
                  <c:v>0</c:v>
                </c:pt>
                <c:pt idx="46">
                  <c:v>4</c:v>
                </c:pt>
                <c:pt idx="47">
                  <c:v>0</c:v>
                </c:pt>
                <c:pt idx="48">
                  <c:v>4</c:v>
                </c:pt>
                <c:pt idx="49">
                  <c:v>4</c:v>
                </c:pt>
                <c:pt idx="50">
                  <c:v>2</c:v>
                </c:pt>
                <c:pt idx="51">
                  <c:v>0</c:v>
                </c:pt>
                <c:pt idx="52">
                  <c:v>0</c:v>
                </c:pt>
                <c:pt idx="53">
                  <c:v>4</c:v>
                </c:pt>
                <c:pt idx="54">
                  <c:v>4</c:v>
                </c:pt>
                <c:pt idx="55">
                  <c:v>0</c:v>
                </c:pt>
                <c:pt idx="56">
                  <c:v>0</c:v>
                </c:pt>
                <c:pt idx="57">
                  <c:v>1</c:v>
                </c:pt>
                <c:pt idx="58">
                  <c:v>4</c:v>
                </c:pt>
                <c:pt idx="59">
                  <c:v>4</c:v>
                </c:pt>
                <c:pt idx="60">
                  <c:v>0</c:v>
                </c:pt>
                <c:pt idx="61">
                  <c:v>1</c:v>
                </c:pt>
                <c:pt idx="62">
                  <c:v>1</c:v>
                </c:pt>
                <c:pt idx="63">
                  <c:v>3</c:v>
                </c:pt>
                <c:pt idx="64">
                  <c:v>3</c:v>
                </c:pt>
                <c:pt idx="65">
                  <c:v>0</c:v>
                </c:pt>
                <c:pt idx="66">
                  <c:v>4</c:v>
                </c:pt>
                <c:pt idx="67">
                  <c:v>0</c:v>
                </c:pt>
                <c:pt idx="68">
                  <c:v>0</c:v>
                </c:pt>
                <c:pt idx="69">
                  <c:v>1</c:v>
                </c:pt>
                <c:pt idx="70">
                  <c:v>0</c:v>
                </c:pt>
                <c:pt idx="71">
                  <c:v>4</c:v>
                </c:pt>
                <c:pt idx="72">
                  <c:v>4</c:v>
                </c:pt>
                <c:pt idx="73">
                  <c:v>4</c:v>
                </c:pt>
                <c:pt idx="74">
                  <c:v>4</c:v>
                </c:pt>
                <c:pt idx="75">
                  <c:v>4</c:v>
                </c:pt>
                <c:pt idx="76">
                  <c:v>4</c:v>
                </c:pt>
                <c:pt idx="77">
                  <c:v>4</c:v>
                </c:pt>
                <c:pt idx="78">
                  <c:v>4</c:v>
                </c:pt>
              </c:numCache>
            </c:numRef>
          </c:val>
          <c:extLst>
            <c:ext xmlns:c16="http://schemas.microsoft.com/office/drawing/2014/chart" uri="{C3380CC4-5D6E-409C-BE32-E72D297353CC}">
              <c16:uniqueId val="{00000000-6FFE-4D8A-BF8A-0A367CC8FF69}"/>
            </c:ext>
          </c:extLst>
        </c:ser>
        <c:dLbls>
          <c:showLegendKey val="0"/>
          <c:showVal val="0"/>
          <c:showCatName val="0"/>
          <c:showSerName val="0"/>
          <c:showPercent val="0"/>
          <c:showBubbleSize val="0"/>
        </c:dLbls>
        <c:gapWidth val="219"/>
        <c:overlap val="-27"/>
        <c:axId val="597887008"/>
        <c:axId val="597879104"/>
      </c:barChart>
      <c:catAx>
        <c:axId val="59788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64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79104"/>
        <c:crosses val="autoZero"/>
        <c:auto val="1"/>
        <c:lblAlgn val="ctr"/>
        <c:lblOffset val="100"/>
        <c:noMultiLvlLbl val="0"/>
      </c:catAx>
      <c:valAx>
        <c:axId val="597879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597887008"/>
        <c:crosses val="autoZero"/>
        <c:crossBetween val="between"/>
      </c:valAx>
      <c:spPr>
        <a:noFill/>
        <a:ln>
          <a:noFill/>
        </a:ln>
        <a:effectLst/>
      </c:spPr>
    </c:plotArea>
    <c:legend>
      <c:legendPos val="b"/>
      <c:layout>
        <c:manualLayout>
          <c:xMode val="edge"/>
          <c:yMode val="edge"/>
          <c:x val="0.46098884514435706"/>
          <c:y val="0.89863075526774105"/>
          <c:w val="7.4571858032025554E-2"/>
          <c:h val="7.1298293557795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(Recovered).xlsx]Ql (36m)!PivotTable4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a:solidFill>
                  <a:srgbClr val="FF0000"/>
                </a:solidFill>
              </a:rPr>
              <a:t>Metric Wise QlM Grade Points(0-4)</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(36m)'!$G$45</c:f>
              <c:strCache>
                <c:ptCount val="1"/>
                <c:pt idx="0">
                  <c:v>Total</c:v>
                </c:pt>
              </c:strCache>
            </c:strRef>
          </c:tx>
          <c:spPr>
            <a:solidFill>
              <a:schemeClr val="accent1"/>
            </a:solidFill>
            <a:ln>
              <a:noFill/>
            </a:ln>
            <a:effectLst/>
          </c:spPr>
          <c:invertIfNegative val="0"/>
          <c:cat>
            <c:strRef>
              <c:f>'Ql (36m)'!$F$46:$F$82</c:f>
              <c:strCache>
                <c:ptCount val="36"/>
                <c:pt idx="0">
                  <c:v>1.1.1</c:v>
                </c:pt>
                <c:pt idx="1">
                  <c:v>1.3.1</c:v>
                </c:pt>
                <c:pt idx="2">
                  <c:v>2.2.1</c:v>
                </c:pt>
                <c:pt idx="3">
                  <c:v>2.3.1</c:v>
                </c:pt>
                <c:pt idx="4">
                  <c:v>2.3.2</c:v>
                </c:pt>
                <c:pt idx="5">
                  <c:v>2.5.3</c:v>
                </c:pt>
                <c:pt idx="6">
                  <c:v>2.6.1</c:v>
                </c:pt>
                <c:pt idx="7">
                  <c:v>2.6.2</c:v>
                </c:pt>
                <c:pt idx="8">
                  <c:v>3.1.1</c:v>
                </c:pt>
                <c:pt idx="9">
                  <c:v>3.3.1</c:v>
                </c:pt>
                <c:pt idx="10">
                  <c:v>3.5.1</c:v>
                </c:pt>
                <c:pt idx="11">
                  <c:v>3.6.1</c:v>
                </c:pt>
                <c:pt idx="12">
                  <c:v>4.1.1</c:v>
                </c:pt>
                <c:pt idx="13">
                  <c:v>4.1.2</c:v>
                </c:pt>
                <c:pt idx="14">
                  <c:v>4.1.3</c:v>
                </c:pt>
                <c:pt idx="15">
                  <c:v>4.2.1</c:v>
                </c:pt>
                <c:pt idx="16">
                  <c:v>4.3.2</c:v>
                </c:pt>
                <c:pt idx="17">
                  <c:v>4.4.2</c:v>
                </c:pt>
                <c:pt idx="18">
                  <c:v>5.3.2</c:v>
                </c:pt>
                <c:pt idx="19">
                  <c:v>5.4.1</c:v>
                </c:pt>
                <c:pt idx="20">
                  <c:v>6.1.1</c:v>
                </c:pt>
                <c:pt idx="21">
                  <c:v>6.1.2</c:v>
                </c:pt>
                <c:pt idx="22">
                  <c:v>6.2.1</c:v>
                </c:pt>
                <c:pt idx="23">
                  <c:v>6.2.2</c:v>
                </c:pt>
                <c:pt idx="24">
                  <c:v>6.3.1</c:v>
                </c:pt>
                <c:pt idx="25">
                  <c:v>6.4.1</c:v>
                </c:pt>
                <c:pt idx="26">
                  <c:v>6.4.4</c:v>
                </c:pt>
                <c:pt idx="27">
                  <c:v>6.5.1</c:v>
                </c:pt>
                <c:pt idx="28">
                  <c:v>6.5.3</c:v>
                </c:pt>
                <c:pt idx="29">
                  <c:v>7.1.1</c:v>
                </c:pt>
                <c:pt idx="30">
                  <c:v>7.1.11</c:v>
                </c:pt>
                <c:pt idx="31">
                  <c:v>7.1.3</c:v>
                </c:pt>
                <c:pt idx="32">
                  <c:v>7.1.8</c:v>
                </c:pt>
                <c:pt idx="33">
                  <c:v>7.1.9</c:v>
                </c:pt>
                <c:pt idx="34">
                  <c:v>7.2.1</c:v>
                </c:pt>
                <c:pt idx="35">
                  <c:v>7.3.1</c:v>
                </c:pt>
              </c:strCache>
            </c:strRef>
          </c:cat>
          <c:val>
            <c:numRef>
              <c:f>'Ql (36m)'!$G$46:$G$82</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036B-401A-9451-851DBB1C5C47}"/>
            </c:ext>
          </c:extLst>
        </c:ser>
        <c:dLbls>
          <c:showLegendKey val="0"/>
          <c:showVal val="0"/>
          <c:showCatName val="0"/>
          <c:showSerName val="0"/>
          <c:showPercent val="0"/>
          <c:showBubbleSize val="0"/>
        </c:dLbls>
        <c:gapWidth val="219"/>
        <c:overlap val="-27"/>
        <c:axId val="969911679"/>
        <c:axId val="969912927"/>
      </c:barChart>
      <c:catAx>
        <c:axId val="96991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927"/>
        <c:crosses val="autoZero"/>
        <c:auto val="1"/>
        <c:lblAlgn val="ctr"/>
        <c:lblOffset val="100"/>
        <c:noMultiLvlLbl val="0"/>
      </c:catAx>
      <c:valAx>
        <c:axId val="96991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1679"/>
        <c:crosses val="autoZero"/>
        <c:crossBetween val="between"/>
      </c:valAx>
      <c:spPr>
        <a:noFill/>
        <a:ln>
          <a:noFill/>
        </a:ln>
        <a:effectLst/>
      </c:spPr>
    </c:plotArea>
    <c:legend>
      <c:legendPos val="b"/>
      <c:layout>
        <c:manualLayout>
          <c:xMode val="edge"/>
          <c:yMode val="edge"/>
          <c:x val="0.46037047996201497"/>
          <c:y val="0.88706073199183433"/>
          <c:w val="7.9258854093920555E-2"/>
          <c:h val="7.69229367162437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(Recovered).xlsx]Ql (36m)!PivotTable5</c:name>
    <c:fmtId val="1"/>
  </c:pivotSource>
  <c:chart>
    <c:title>
      <c:tx>
        <c:rich>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Key Indicator wise QlM Grade Points (0-4)</a:t>
            </a:r>
          </a:p>
        </c:rich>
      </c:tx>
      <c:layout>
        <c:manualLayout>
          <c:xMode val="edge"/>
          <c:yMode val="edge"/>
          <c:x val="0.19823600174978129"/>
          <c:y val="9.890868904544826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'Ql (36m)'!$G$84</c:f>
              <c:strCache>
                <c:ptCount val="1"/>
                <c:pt idx="0">
                  <c:v>Total</c:v>
                </c:pt>
              </c:strCache>
            </c:strRef>
          </c:tx>
          <c:spPr>
            <a:solidFill>
              <a:schemeClr val="accent1"/>
            </a:solidFill>
            <a:ln>
              <a:noFill/>
            </a:ln>
            <a:effectLst/>
          </c:spPr>
          <c:invertIfNegative val="0"/>
          <c:cat>
            <c:strRef>
              <c:f>'Ql (36m)'!$F$85:$F$109</c:f>
              <c:strCache>
                <c:ptCount val="24"/>
                <c:pt idx="0">
                  <c:v>1.1 Curriculum Planning and Implementation</c:v>
                </c:pt>
                <c:pt idx="1">
                  <c:v>1.3 Curriculum Enrichment</c:v>
                </c:pt>
                <c:pt idx="2">
                  <c:v>2.2 Catering to Student Diversity</c:v>
                </c:pt>
                <c:pt idx="3">
                  <c:v>2.3 Teaching-Learning Process</c:v>
                </c:pt>
                <c:pt idx="4">
                  <c:v>2.5 Evaluation Process and Reforms</c:v>
                </c:pt>
                <c:pt idx="5">
                  <c:v>2.6 Student Performance and Learning Outcomes</c:v>
                </c:pt>
                <c:pt idx="6">
                  <c:v>3.1 Promotion of Research and Facilities</c:v>
                </c:pt>
                <c:pt idx="7">
                  <c:v>3.2 Resource Mobilization for Research</c:v>
                </c:pt>
                <c:pt idx="8">
                  <c:v>3.5 Consultancy</c:v>
                </c:pt>
                <c:pt idx="9">
                  <c:v>3.6 Extension Activities</c:v>
                </c:pt>
                <c:pt idx="10">
                  <c:v>4.1 Physical Facilities</c:v>
                </c:pt>
                <c:pt idx="11">
                  <c:v>4.2 Library as a Learning Resource</c:v>
                </c:pt>
                <c:pt idx="12">
                  <c:v>4.3 IT Infrastructure</c:v>
                </c:pt>
                <c:pt idx="13">
                  <c:v>4.4 Maintenance of Campus Infrastructure</c:v>
                </c:pt>
                <c:pt idx="14">
                  <c:v>5.3 Student Participation and Activities</c:v>
                </c:pt>
                <c:pt idx="15">
                  <c:v>5.4 Alumni Engagement</c:v>
                </c:pt>
                <c:pt idx="16">
                  <c:v>6.1 Institutional Vision and Leadership</c:v>
                </c:pt>
                <c:pt idx="17">
                  <c:v>6.2 Strategy Development and Deployment</c:v>
                </c:pt>
                <c:pt idx="18">
                  <c:v>6.3 Faculty Empowerment Strategies</c:v>
                </c:pt>
                <c:pt idx="19">
                  <c:v>6.4 Financial Management and Resource Mobilization</c:v>
                </c:pt>
                <c:pt idx="20">
                  <c:v>6.5 Internal Quality Assurance System (IQAS)</c:v>
                </c:pt>
                <c:pt idx="21">
                  <c:v>7.1 Institutional Values and Social Responsibilities</c:v>
                </c:pt>
                <c:pt idx="22">
                  <c:v>7.2 Best Practices</c:v>
                </c:pt>
                <c:pt idx="23">
                  <c:v>7.3 Institutional Distinctiveness</c:v>
                </c:pt>
              </c:strCache>
            </c:strRef>
          </c:cat>
          <c:val>
            <c:numRef>
              <c:f>'Ql (36m)'!$G$85:$G$109</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C1AB-4EDB-8F22-9F9639D386A8}"/>
            </c:ext>
          </c:extLst>
        </c:ser>
        <c:dLbls>
          <c:showLegendKey val="0"/>
          <c:showVal val="0"/>
          <c:showCatName val="0"/>
          <c:showSerName val="0"/>
          <c:showPercent val="0"/>
          <c:showBubbleSize val="0"/>
        </c:dLbls>
        <c:gapWidth val="219"/>
        <c:overlap val="-27"/>
        <c:axId val="968476031"/>
        <c:axId val="969912511"/>
      </c:barChart>
      <c:catAx>
        <c:axId val="96847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9912511"/>
        <c:crosses val="autoZero"/>
        <c:auto val="1"/>
        <c:lblAlgn val="ctr"/>
        <c:lblOffset val="100"/>
        <c:noMultiLvlLbl val="0"/>
      </c:catAx>
      <c:valAx>
        <c:axId val="969912511"/>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47603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sz="1000">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[GRADING FORMAT NEW FOR UNIVERSITY 09-09-2022 (2) (Recovered).xlsx]Ql (36m)!PivotTable6</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a:solidFill>
                  <a:srgbClr val="FF0000"/>
                </a:solidFill>
              </a:rPr>
              <a:t>Criteria Wise QlM Grade Points(0-4)</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'Ql (36m)'!$G$112</c:f>
              <c:strCache>
                <c:ptCount val="1"/>
                <c:pt idx="0">
                  <c:v>Total</c:v>
                </c:pt>
              </c:strCache>
            </c:strRef>
          </c:tx>
          <c:spPr>
            <a:solidFill>
              <a:schemeClr val="accent1"/>
            </a:solidFill>
            <a:ln>
              <a:noFill/>
            </a:ln>
            <a:effectLst/>
          </c:spPr>
          <c:invertIfNegative val="0"/>
          <c:cat>
            <c:strRef>
              <c:f>'Ql (36m)'!$F$113:$F$120</c:f>
              <c:strCache>
                <c:ptCount val="7"/>
                <c:pt idx="0">
                  <c:v>1. Curricular Aspects</c:v>
                </c:pt>
                <c:pt idx="1">
                  <c:v>2. Teaching-Learning and Evaluation</c:v>
                </c:pt>
                <c:pt idx="2">
                  <c:v>3. Research, Innovations and Extension</c:v>
                </c:pt>
                <c:pt idx="3">
                  <c:v>4. Infrastructure and Learning Resources</c:v>
                </c:pt>
                <c:pt idx="4">
                  <c:v>5. Student Support and Progression</c:v>
                </c:pt>
                <c:pt idx="5">
                  <c:v>6. Governance, Leadership and Management</c:v>
                </c:pt>
                <c:pt idx="6">
                  <c:v>7. Institutional Values and Best Practices</c:v>
                </c:pt>
              </c:strCache>
            </c:strRef>
          </c:cat>
          <c:val>
            <c:numRef>
              <c:f>'Ql (36m)'!$G$113:$G$120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E0D7-46F9-9D4C-04DAC45CF6CB}"/>
            </c:ext>
          </c:extLst>
        </c:ser>
        <c:dLbls>
          <c:showLegendKey val="0"/>
          <c:showVal val="0"/>
          <c:showCatName val="0"/>
          <c:showSerName val="0"/>
          <c:showPercent val="0"/>
          <c:showBubbleSize val="0"/>
        </c:dLbls>
        <c:gapWidth val="219"/>
        <c:overlap val="-27"/>
        <c:axId val="1021785983"/>
        <c:axId val="1021786399"/>
      </c:barChart>
      <c:catAx>
        <c:axId val="102178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6399"/>
        <c:crosses val="autoZero"/>
        <c:auto val="1"/>
        <c:lblAlgn val="ctr"/>
        <c:lblOffset val="100"/>
        <c:noMultiLvlLbl val="0"/>
      </c:catAx>
      <c:valAx>
        <c:axId val="1021786399"/>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21785983"/>
        <c:crosses val="autoZero"/>
        <c:crossBetween val="between"/>
      </c:valAx>
      <c:spPr>
        <a:noFill/>
        <a:ln>
          <a:noFill/>
        </a:ln>
        <a:effectLst/>
      </c:spPr>
    </c:plotArea>
    <c:legend>
      <c:legendPos val="b"/>
      <c:layout>
        <c:manualLayout>
          <c:xMode val="edge"/>
          <c:yMode val="edge"/>
          <c:x val="0.45617191601049867"/>
          <c:y val="0.92850498950789051"/>
          <c:w val="7.9399493864650617E-2"/>
          <c:h val="5.55233227425519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rgbClr val="002060"/>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6.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6.jpeg"/></Relationships>
</file>

<file path=xl/drawings/drawing1.xml><?xml version="1.0" encoding="utf-8"?>
<xdr:wsDr xmlns:xdr="http://schemas.openxmlformats.org/drawingml/2006/spreadsheetDrawing" xmlns:a="http://schemas.openxmlformats.org/drawingml/2006/main">
  <xdr:twoCellAnchor>
    <xdr:from>
      <xdr:col>9</xdr:col>
      <xdr:colOff>37039</xdr:colOff>
      <xdr:row>132</xdr:row>
      <xdr:rowOff>25400</xdr:rowOff>
    </xdr:from>
    <xdr:to>
      <xdr:col>17</xdr:col>
      <xdr:colOff>582083</xdr:colOff>
      <xdr:row>149</xdr:row>
      <xdr:rowOff>63500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21167</xdr:colOff>
      <xdr:row>153</xdr:row>
      <xdr:rowOff>25400</xdr:rowOff>
    </xdr:from>
    <xdr:to>
      <xdr:col>17</xdr:col>
      <xdr:colOff>582083</xdr:colOff>
      <xdr:row>173</xdr:row>
      <xdr:rowOff>158749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37040</xdr:colOff>
      <xdr:row>178</xdr:row>
      <xdr:rowOff>25401</xdr:rowOff>
    </xdr:from>
    <xdr:to>
      <xdr:col>17</xdr:col>
      <xdr:colOff>582083</xdr:colOff>
      <xdr:row>194</xdr:row>
      <xdr:rowOff>101601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37039</xdr:colOff>
      <xdr:row>198</xdr:row>
      <xdr:rowOff>35984</xdr:rowOff>
    </xdr:from>
    <xdr:to>
      <xdr:col>17</xdr:col>
      <xdr:colOff>582084</xdr:colOff>
      <xdr:row>212</xdr:row>
      <xdr:rowOff>112184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781050</xdr:colOff>
      <xdr:row>72</xdr:row>
      <xdr:rowOff>66675</xdr:rowOff>
    </xdr:from>
    <xdr:to>
      <xdr:col>2</xdr:col>
      <xdr:colOff>228150</xdr:colOff>
      <xdr:row>72</xdr:row>
      <xdr:rowOff>390485</xdr:rowOff>
    </xdr:to>
    <xdr:pic>
      <xdr:nvPicPr>
        <xdr:cNvPr id="2" name="Picture 1"/>
        <xdr:cNvPicPr>
          <a:picLocks noChangeAspect="1"/>
        </xdr:cNvPicPr>
      </xdr:nvPicPr>
      <xdr:blipFill>
        <a:blip xmlns:r="http://schemas.openxmlformats.org/officeDocument/2006/relationships" r:embed="rId1"/>
        <a:stretch>
          <a:fillRect/>
        </a:stretch>
      </xdr:blipFill>
      <xdr:spPr>
        <a:xfrm>
          <a:off x="1181100" y="26012775"/>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4438650" y="6896099"/>
          <a:ext cx="609600" cy="569495"/>
        </a:xfrm>
        <a:prstGeom prst="rect">
          <a:avLst/>
        </a:prstGeom>
      </xdr:spPr>
    </xdr:pic>
    <xdr:clientData/>
  </xdr:twoCellAnchor>
  <xdr:twoCellAnchor editAs="oneCell">
    <xdr:from>
      <xdr:col>3</xdr:col>
      <xdr:colOff>40781</xdr:colOff>
      <xdr:row>12</xdr:row>
      <xdr:rowOff>133351</xdr:rowOff>
    </xdr:from>
    <xdr:to>
      <xdr:col>3</xdr:col>
      <xdr:colOff>819150</xdr:colOff>
      <xdr:row>12</xdr:row>
      <xdr:rowOff>736941</xdr:rowOff>
    </xdr:to>
    <xdr:pic>
      <xdr:nvPicPr>
        <xdr:cNvPr id="4" name="Picture 3"/>
        <xdr:cNvPicPr>
          <a:picLocks noChangeAspect="1"/>
        </xdr:cNvPicPr>
      </xdr:nvPicPr>
      <xdr:blipFill>
        <a:blip xmlns:r="http://schemas.openxmlformats.org/officeDocument/2006/relationships" r:embed="rId3"/>
        <a:stretch>
          <a:fillRect/>
        </a:stretch>
      </xdr:blipFill>
      <xdr:spPr>
        <a:xfrm>
          <a:off x="5565281" y="6877051"/>
          <a:ext cx="778369" cy="603590"/>
        </a:xfrm>
        <a:prstGeom prst="rect">
          <a:avLst/>
        </a:prstGeom>
      </xdr:spPr>
    </xdr:pic>
    <xdr:clientData/>
  </xdr:twoCellAnchor>
  <xdr:twoCellAnchor editAs="oneCell">
    <xdr:from>
      <xdr:col>1</xdr:col>
      <xdr:colOff>1333500</xdr:colOff>
      <xdr:row>14</xdr:row>
      <xdr:rowOff>85724</xdr:rowOff>
    </xdr:from>
    <xdr:to>
      <xdr:col>2</xdr:col>
      <xdr:colOff>640623</xdr:colOff>
      <xdr:row>14</xdr:row>
      <xdr:rowOff>828675</xdr:rowOff>
    </xdr:to>
    <xdr:pic>
      <xdr:nvPicPr>
        <xdr:cNvPr id="5" name="Picture 4"/>
        <xdr:cNvPicPr>
          <a:picLocks noChangeAspect="1"/>
        </xdr:cNvPicPr>
      </xdr:nvPicPr>
      <xdr:blipFill>
        <a:blip xmlns:r="http://schemas.openxmlformats.org/officeDocument/2006/relationships" r:embed="rId4"/>
        <a:stretch>
          <a:fillRect/>
        </a:stretch>
      </xdr:blipFill>
      <xdr:spPr>
        <a:xfrm>
          <a:off x="1733550" y="7981949"/>
          <a:ext cx="3460023" cy="742951"/>
        </a:xfrm>
        <a:prstGeom prst="rect">
          <a:avLst/>
        </a:prstGeom>
      </xdr:spPr>
    </xdr:pic>
    <xdr:clientData/>
  </xdr:twoCellAnchor>
  <xdr:twoCellAnchor editAs="oneCell">
    <xdr:from>
      <xdr:col>1</xdr:col>
      <xdr:colOff>3143250</xdr:colOff>
      <xdr:row>16</xdr:row>
      <xdr:rowOff>104775</xdr:rowOff>
    </xdr:from>
    <xdr:to>
      <xdr:col>1</xdr:col>
      <xdr:colOff>3800393</xdr:colOff>
      <xdr:row>16</xdr:row>
      <xdr:rowOff>361918</xdr:rowOff>
    </xdr:to>
    <xdr:pic>
      <xdr:nvPicPr>
        <xdr:cNvPr id="6" name="Picture 5"/>
        <xdr:cNvPicPr>
          <a:picLocks noChangeAspect="1"/>
        </xdr:cNvPicPr>
      </xdr:nvPicPr>
      <xdr:blipFill>
        <a:blip xmlns:r="http://schemas.openxmlformats.org/officeDocument/2006/relationships" r:embed="rId5"/>
        <a:stretch>
          <a:fillRect/>
        </a:stretch>
      </xdr:blipFill>
      <xdr:spPr>
        <a:xfrm>
          <a:off x="3543300" y="9229725"/>
          <a:ext cx="657143" cy="257143"/>
        </a:xfrm>
        <a:prstGeom prst="rect">
          <a:avLst/>
        </a:prstGeom>
      </xdr:spPr>
    </xdr:pic>
    <xdr:clientData/>
  </xdr:twoCellAnchor>
  <xdr:twoCellAnchor editAs="oneCell">
    <xdr:from>
      <xdr:col>1</xdr:col>
      <xdr:colOff>1000125</xdr:colOff>
      <xdr:row>30</xdr:row>
      <xdr:rowOff>28575</xdr:rowOff>
    </xdr:from>
    <xdr:to>
      <xdr:col>2</xdr:col>
      <xdr:colOff>428177</xdr:colOff>
      <xdr:row>30</xdr:row>
      <xdr:rowOff>333375</xdr:rowOff>
    </xdr:to>
    <xdr:pic>
      <xdr:nvPicPr>
        <xdr:cNvPr id="7" name="Picture 6"/>
        <xdr:cNvPicPr>
          <a:picLocks noChangeAspect="1"/>
        </xdr:cNvPicPr>
      </xdr:nvPicPr>
      <xdr:blipFill>
        <a:blip xmlns:r="http://schemas.openxmlformats.org/officeDocument/2006/relationships" r:embed="rId6"/>
        <a:stretch>
          <a:fillRect/>
        </a:stretch>
      </xdr:blipFill>
      <xdr:spPr>
        <a:xfrm>
          <a:off x="1400175" y="1357312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4400550" y="1319212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5553075" y="13201650"/>
          <a:ext cx="1152381" cy="314286"/>
        </a:xfrm>
        <a:prstGeom prst="rect">
          <a:avLst/>
        </a:prstGeom>
      </xdr:spPr>
    </xdr:pic>
    <xdr:clientData/>
  </xdr:twoCellAnchor>
  <xdr:twoCellAnchor editAs="oneCell">
    <xdr:from>
      <xdr:col>2</xdr:col>
      <xdr:colOff>28575</xdr:colOff>
      <xdr:row>39</xdr:row>
      <xdr:rowOff>47625</xdr:rowOff>
    </xdr:from>
    <xdr:to>
      <xdr:col>2</xdr:col>
      <xdr:colOff>590480</xdr:colOff>
      <xdr:row>39</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4371975" y="16049625"/>
          <a:ext cx="561905" cy="295238"/>
        </a:xfrm>
        <a:prstGeom prst="rect">
          <a:avLst/>
        </a:prstGeom>
      </xdr:spPr>
    </xdr:pic>
    <xdr:clientData/>
  </xdr:twoCellAnchor>
  <xdr:twoCellAnchor editAs="oneCell">
    <xdr:from>
      <xdr:col>3</xdr:col>
      <xdr:colOff>38100</xdr:colOff>
      <xdr:row>39</xdr:row>
      <xdr:rowOff>14681</xdr:rowOff>
    </xdr:from>
    <xdr:to>
      <xdr:col>3</xdr:col>
      <xdr:colOff>1171575</xdr:colOff>
      <xdr:row>39</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5562600" y="16016681"/>
          <a:ext cx="1133475" cy="309130"/>
        </a:xfrm>
        <a:prstGeom prst="rect">
          <a:avLst/>
        </a:prstGeom>
      </xdr:spPr>
    </xdr:pic>
    <xdr:clientData/>
  </xdr:twoCellAnchor>
  <xdr:twoCellAnchor editAs="oneCell">
    <xdr:from>
      <xdr:col>1</xdr:col>
      <xdr:colOff>904875</xdr:colOff>
      <xdr:row>40</xdr:row>
      <xdr:rowOff>47625</xdr:rowOff>
    </xdr:from>
    <xdr:to>
      <xdr:col>2</xdr:col>
      <xdr:colOff>419100</xdr:colOff>
      <xdr:row>40</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304925" y="16421100"/>
          <a:ext cx="3667125" cy="352381"/>
        </a:xfrm>
        <a:prstGeom prst="rect">
          <a:avLst/>
        </a:prstGeom>
      </xdr:spPr>
    </xdr:pic>
    <xdr:clientData/>
  </xdr:twoCellAnchor>
  <xdr:twoCellAnchor editAs="oneCell">
    <xdr:from>
      <xdr:col>2</xdr:col>
      <xdr:colOff>85725</xdr:colOff>
      <xdr:row>49</xdr:row>
      <xdr:rowOff>38100</xdr:rowOff>
    </xdr:from>
    <xdr:to>
      <xdr:col>2</xdr:col>
      <xdr:colOff>628582</xdr:colOff>
      <xdr:row>49</xdr:row>
      <xdr:rowOff>333338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4429125" y="18907125"/>
          <a:ext cx="542857" cy="295238"/>
        </a:xfrm>
        <a:prstGeom prst="rect">
          <a:avLst/>
        </a:prstGeom>
      </xdr:spPr>
    </xdr:pic>
    <xdr:clientData/>
  </xdr:twoCellAnchor>
  <xdr:twoCellAnchor editAs="oneCell">
    <xdr:from>
      <xdr:col>3</xdr:col>
      <xdr:colOff>47625</xdr:colOff>
      <xdr:row>49</xdr:row>
      <xdr:rowOff>19050</xdr:rowOff>
    </xdr:from>
    <xdr:to>
      <xdr:col>3</xdr:col>
      <xdr:colOff>1190482</xdr:colOff>
      <xdr:row>49</xdr:row>
      <xdr:rowOff>352383</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5572125" y="18888075"/>
          <a:ext cx="1142857" cy="333333"/>
        </a:xfrm>
        <a:prstGeom prst="rect">
          <a:avLst/>
        </a:prstGeom>
      </xdr:spPr>
    </xdr:pic>
    <xdr:clientData/>
  </xdr:twoCellAnchor>
  <xdr:twoCellAnchor editAs="oneCell">
    <xdr:from>
      <xdr:col>1</xdr:col>
      <xdr:colOff>914400</xdr:colOff>
      <xdr:row>50</xdr:row>
      <xdr:rowOff>66675</xdr:rowOff>
    </xdr:from>
    <xdr:to>
      <xdr:col>2</xdr:col>
      <xdr:colOff>351976</xdr:colOff>
      <xdr:row>50</xdr:row>
      <xdr:rowOff>371437</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314450" y="19316700"/>
          <a:ext cx="3590476" cy="304762"/>
        </a:xfrm>
        <a:prstGeom prst="rect">
          <a:avLst/>
        </a:prstGeom>
      </xdr:spPr>
    </xdr:pic>
    <xdr:clientData/>
  </xdr:twoCellAnchor>
  <xdr:twoCellAnchor editAs="oneCell">
    <xdr:from>
      <xdr:col>3</xdr:col>
      <xdr:colOff>28575</xdr:colOff>
      <xdr:row>56</xdr:row>
      <xdr:rowOff>38100</xdr:rowOff>
    </xdr:from>
    <xdr:to>
      <xdr:col>3</xdr:col>
      <xdr:colOff>1161908</xdr:colOff>
      <xdr:row>56</xdr:row>
      <xdr:rowOff>323814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5553075" y="21107400"/>
          <a:ext cx="1133333" cy="285714"/>
        </a:xfrm>
        <a:prstGeom prst="rect">
          <a:avLst/>
        </a:prstGeom>
      </xdr:spPr>
    </xdr:pic>
    <xdr:clientData/>
  </xdr:twoCellAnchor>
  <xdr:twoCellAnchor editAs="oneCell">
    <xdr:from>
      <xdr:col>2</xdr:col>
      <xdr:colOff>57150</xdr:colOff>
      <xdr:row>56</xdr:row>
      <xdr:rowOff>38100</xdr:rowOff>
    </xdr:from>
    <xdr:to>
      <xdr:col>2</xdr:col>
      <xdr:colOff>609531</xdr:colOff>
      <xdr:row>56</xdr:row>
      <xdr:rowOff>333338</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4400550" y="21107400"/>
          <a:ext cx="552381" cy="295238"/>
        </a:xfrm>
        <a:prstGeom prst="rect">
          <a:avLst/>
        </a:prstGeom>
      </xdr:spPr>
    </xdr:pic>
    <xdr:clientData/>
  </xdr:twoCellAnchor>
  <xdr:twoCellAnchor editAs="oneCell">
    <xdr:from>
      <xdr:col>1</xdr:col>
      <xdr:colOff>904875</xdr:colOff>
      <xdr:row>57</xdr:row>
      <xdr:rowOff>76200</xdr:rowOff>
    </xdr:from>
    <xdr:to>
      <xdr:col>2</xdr:col>
      <xdr:colOff>351975</xdr:colOff>
      <xdr:row>57</xdr:row>
      <xdr:rowOff>390486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1304925" y="21497925"/>
          <a:ext cx="3600000" cy="314286"/>
        </a:xfrm>
        <a:prstGeom prst="rect">
          <a:avLst/>
        </a:prstGeom>
      </xdr:spPr>
    </xdr:pic>
    <xdr:clientData/>
  </xdr:twoCellAnchor>
  <xdr:twoCellAnchor editAs="oneCell">
    <xdr:from>
      <xdr:col>3</xdr:col>
      <xdr:colOff>38100</xdr:colOff>
      <xdr:row>63</xdr:row>
      <xdr:rowOff>57150</xdr:rowOff>
    </xdr:from>
    <xdr:to>
      <xdr:col>3</xdr:col>
      <xdr:colOff>1209529</xdr:colOff>
      <xdr:row>63</xdr:row>
      <xdr:rowOff>352388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5562600" y="23364825"/>
          <a:ext cx="1171429" cy="295238"/>
        </a:xfrm>
        <a:prstGeom prst="rect">
          <a:avLst/>
        </a:prstGeom>
      </xdr:spPr>
    </xdr:pic>
    <xdr:clientData/>
  </xdr:twoCellAnchor>
  <xdr:twoCellAnchor editAs="oneCell">
    <xdr:from>
      <xdr:col>2</xdr:col>
      <xdr:colOff>19050</xdr:colOff>
      <xdr:row>63</xdr:row>
      <xdr:rowOff>47625</xdr:rowOff>
    </xdr:from>
    <xdr:to>
      <xdr:col>2</xdr:col>
      <xdr:colOff>561907</xdr:colOff>
      <xdr:row>63</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4362450" y="23355300"/>
          <a:ext cx="542857" cy="314286"/>
        </a:xfrm>
        <a:prstGeom prst="rect">
          <a:avLst/>
        </a:prstGeom>
      </xdr:spPr>
    </xdr:pic>
    <xdr:clientData/>
  </xdr:twoCellAnchor>
  <xdr:twoCellAnchor editAs="oneCell">
    <xdr:from>
      <xdr:col>1</xdr:col>
      <xdr:colOff>857250</xdr:colOff>
      <xdr:row>64</xdr:row>
      <xdr:rowOff>57150</xdr:rowOff>
    </xdr:from>
    <xdr:to>
      <xdr:col>2</xdr:col>
      <xdr:colOff>304350</xdr:colOff>
      <xdr:row>64</xdr:row>
      <xdr:rowOff>380960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257300" y="23745825"/>
          <a:ext cx="3600000" cy="323810"/>
        </a:xfrm>
        <a:prstGeom prst="rect">
          <a:avLst/>
        </a:prstGeom>
      </xdr:spPr>
    </xdr:pic>
    <xdr:clientData/>
  </xdr:twoCellAnchor>
  <xdr:twoCellAnchor editAs="oneCell">
    <xdr:from>
      <xdr:col>3</xdr:col>
      <xdr:colOff>38100</xdr:colOff>
      <xdr:row>71</xdr:row>
      <xdr:rowOff>47625</xdr:rowOff>
    </xdr:from>
    <xdr:to>
      <xdr:col>3</xdr:col>
      <xdr:colOff>1180957</xdr:colOff>
      <xdr:row>71</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5562600" y="25593675"/>
          <a:ext cx="1142857" cy="304762"/>
        </a:xfrm>
        <a:prstGeom prst="rect">
          <a:avLst/>
        </a:prstGeom>
      </xdr:spPr>
    </xdr:pic>
    <xdr:clientData/>
  </xdr:twoCellAnchor>
  <xdr:twoCellAnchor editAs="oneCell">
    <xdr:from>
      <xdr:col>2</xdr:col>
      <xdr:colOff>9525</xdr:colOff>
      <xdr:row>71</xdr:row>
      <xdr:rowOff>57150</xdr:rowOff>
    </xdr:from>
    <xdr:to>
      <xdr:col>2</xdr:col>
      <xdr:colOff>561906</xdr:colOff>
      <xdr:row>71</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4352925" y="25603200"/>
          <a:ext cx="552381" cy="295238"/>
        </a:xfrm>
        <a:prstGeom prst="rect">
          <a:avLst/>
        </a:prstGeom>
      </xdr:spPr>
    </xdr:pic>
    <xdr:clientData/>
  </xdr:twoCellAnchor>
  <xdr:twoCellAnchor editAs="oneCell">
    <xdr:from>
      <xdr:col>3</xdr:col>
      <xdr:colOff>38100</xdr:colOff>
      <xdr:row>77</xdr:row>
      <xdr:rowOff>57150</xdr:rowOff>
    </xdr:from>
    <xdr:to>
      <xdr:col>3</xdr:col>
      <xdr:colOff>1171433</xdr:colOff>
      <xdr:row>77</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5562600" y="27146250"/>
          <a:ext cx="1133333" cy="276190"/>
        </a:xfrm>
        <a:prstGeom prst="rect">
          <a:avLst/>
        </a:prstGeom>
      </xdr:spPr>
    </xdr:pic>
    <xdr:clientData/>
  </xdr:twoCellAnchor>
  <xdr:twoCellAnchor editAs="oneCell">
    <xdr:from>
      <xdr:col>2</xdr:col>
      <xdr:colOff>38100</xdr:colOff>
      <xdr:row>77</xdr:row>
      <xdr:rowOff>47625</xdr:rowOff>
    </xdr:from>
    <xdr:to>
      <xdr:col>2</xdr:col>
      <xdr:colOff>580957</xdr:colOff>
      <xdr:row>77</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4591050" y="31013400"/>
          <a:ext cx="542857" cy="295238"/>
        </a:xfrm>
        <a:prstGeom prst="rect">
          <a:avLst/>
        </a:prstGeom>
      </xdr:spPr>
    </xdr:pic>
    <xdr:clientData/>
  </xdr:twoCellAnchor>
  <xdr:twoCellAnchor editAs="oneCell">
    <xdr:from>
      <xdr:col>1</xdr:col>
      <xdr:colOff>838200</xdr:colOff>
      <xdr:row>78</xdr:row>
      <xdr:rowOff>76200</xdr:rowOff>
    </xdr:from>
    <xdr:to>
      <xdr:col>2</xdr:col>
      <xdr:colOff>313871</xdr:colOff>
      <xdr:row>78</xdr:row>
      <xdr:rowOff>390486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238250" y="27517725"/>
          <a:ext cx="3628571" cy="314286"/>
        </a:xfrm>
        <a:prstGeom prst="rect">
          <a:avLst/>
        </a:prstGeom>
      </xdr:spPr>
    </xdr:pic>
    <xdr:clientData/>
  </xdr:twoCellAnchor>
  <xdr:twoCellAnchor editAs="oneCell">
    <xdr:from>
      <xdr:col>1</xdr:col>
      <xdr:colOff>2943225</xdr:colOff>
      <xdr:row>81</xdr:row>
      <xdr:rowOff>133350</xdr:rowOff>
    </xdr:from>
    <xdr:to>
      <xdr:col>1</xdr:col>
      <xdr:colOff>3600368</xdr:colOff>
      <xdr:row>81</xdr:row>
      <xdr:rowOff>390493</xdr:rowOff>
    </xdr:to>
    <xdr:pic>
      <xdr:nvPicPr>
        <xdr:cNvPr id="35" name="Picture 34"/>
        <xdr:cNvPicPr>
          <a:picLocks noChangeAspect="1"/>
        </xdr:cNvPicPr>
      </xdr:nvPicPr>
      <xdr:blipFill>
        <a:blip xmlns:r="http://schemas.openxmlformats.org/officeDocument/2006/relationships" r:embed="rId5"/>
        <a:stretch>
          <a:fillRect/>
        </a:stretch>
      </xdr:blipFill>
      <xdr:spPr>
        <a:xfrm>
          <a:off x="3343275" y="33166050"/>
          <a:ext cx="657143" cy="257143"/>
        </a:xfrm>
        <a:prstGeom prst="rect">
          <a:avLst/>
        </a:prstGeom>
      </xdr:spPr>
    </xdr:pic>
    <xdr:clientData/>
  </xdr:twoCellAnchor>
  <xdr:twoCellAnchor editAs="oneCell">
    <xdr:from>
      <xdr:col>1</xdr:col>
      <xdr:colOff>314325</xdr:colOff>
      <xdr:row>80</xdr:row>
      <xdr:rowOff>76200</xdr:rowOff>
    </xdr:from>
    <xdr:to>
      <xdr:col>1</xdr:col>
      <xdr:colOff>3419474</xdr:colOff>
      <xdr:row>80</xdr:row>
      <xdr:rowOff>742951</xdr:rowOff>
    </xdr:to>
    <xdr:pic>
      <xdr:nvPicPr>
        <xdr:cNvPr id="32" name="Picture 31"/>
        <xdr:cNvPicPr>
          <a:picLocks noChangeAspect="1"/>
        </xdr:cNvPicPr>
      </xdr:nvPicPr>
      <xdr:blipFill>
        <a:blip xmlns:r="http://schemas.openxmlformats.org/officeDocument/2006/relationships" r:embed="rId4"/>
        <a:stretch>
          <a:fillRect/>
        </a:stretch>
      </xdr:blipFill>
      <xdr:spPr>
        <a:xfrm>
          <a:off x="714375" y="32204025"/>
          <a:ext cx="3105149" cy="6667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19049</xdr:colOff>
      <xdr:row>87</xdr:row>
      <xdr:rowOff>38100</xdr:rowOff>
    </xdr:from>
    <xdr:to>
      <xdr:col>17</xdr:col>
      <xdr:colOff>571499</xdr:colOff>
      <xdr:row>105</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xdr:colOff>
      <xdr:row>109</xdr:row>
      <xdr:rowOff>28574</xdr:rowOff>
    </xdr:from>
    <xdr:to>
      <xdr:col>17</xdr:col>
      <xdr:colOff>581025</xdr:colOff>
      <xdr:row>130</xdr:row>
      <xdr:rowOff>176892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46943</xdr:colOff>
      <xdr:row>133</xdr:row>
      <xdr:rowOff>40820</xdr:rowOff>
    </xdr:from>
    <xdr:to>
      <xdr:col>17</xdr:col>
      <xdr:colOff>594631</xdr:colOff>
      <xdr:row>149</xdr:row>
      <xdr:rowOff>50345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70</xdr:row>
      <xdr:rowOff>76200</xdr:rowOff>
    </xdr:from>
    <xdr:to>
      <xdr:col>1</xdr:col>
      <xdr:colOff>3295200</xdr:colOff>
      <xdr:row>70</xdr:row>
      <xdr:rowOff>400010</xdr:rowOff>
    </xdr:to>
    <xdr:pic>
      <xdr:nvPicPr>
        <xdr:cNvPr id="37" name="Picture 36"/>
        <xdr:cNvPicPr>
          <a:picLocks noChangeAspect="1"/>
        </xdr:cNvPicPr>
      </xdr:nvPicPr>
      <xdr:blipFill>
        <a:blip xmlns:r="http://schemas.openxmlformats.org/officeDocument/2006/relationships" r:embed="rId1"/>
        <a:stretch>
          <a:fillRect/>
        </a:stretch>
      </xdr:blipFill>
      <xdr:spPr>
        <a:xfrm>
          <a:off x="95250" y="29337000"/>
          <a:ext cx="3600000" cy="323810"/>
        </a:xfrm>
        <a:prstGeom prst="rect">
          <a:avLst/>
        </a:prstGeom>
      </xdr:spPr>
    </xdr:pic>
    <xdr:clientData/>
  </xdr:twoCellAnchor>
  <xdr:twoCellAnchor editAs="oneCell">
    <xdr:from>
      <xdr:col>2</xdr:col>
      <xdr:colOff>95250</xdr:colOff>
      <xdr:row>12</xdr:row>
      <xdr:rowOff>152399</xdr:rowOff>
    </xdr:from>
    <xdr:to>
      <xdr:col>2</xdr:col>
      <xdr:colOff>704850</xdr:colOff>
      <xdr:row>12</xdr:row>
      <xdr:rowOff>721894</xdr:rowOff>
    </xdr:to>
    <xdr:pic>
      <xdr:nvPicPr>
        <xdr:cNvPr id="2" name="Picture 1"/>
        <xdr:cNvPicPr>
          <a:picLocks noChangeAspect="1"/>
        </xdr:cNvPicPr>
      </xdr:nvPicPr>
      <xdr:blipFill>
        <a:blip xmlns:r="http://schemas.openxmlformats.org/officeDocument/2006/relationships" r:embed="rId2"/>
        <a:stretch>
          <a:fillRect/>
        </a:stretch>
      </xdr:blipFill>
      <xdr:spPr>
        <a:xfrm>
          <a:off x="3686175" y="4343399"/>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3" name="Picture 2"/>
        <xdr:cNvPicPr>
          <a:picLocks noChangeAspect="1"/>
        </xdr:cNvPicPr>
      </xdr:nvPicPr>
      <xdr:blipFill>
        <a:blip xmlns:r="http://schemas.openxmlformats.org/officeDocument/2006/relationships" r:embed="rId3"/>
        <a:stretch>
          <a:fillRect/>
        </a:stretch>
      </xdr:blipFill>
      <xdr:spPr>
        <a:xfrm>
          <a:off x="4714874" y="4351815"/>
          <a:ext cx="742951" cy="576125"/>
        </a:xfrm>
        <a:prstGeom prst="rect">
          <a:avLst/>
        </a:prstGeom>
      </xdr:spPr>
    </xdr:pic>
    <xdr:clientData/>
  </xdr:twoCellAnchor>
  <xdr:twoCellAnchor editAs="oneCell">
    <xdr:from>
      <xdr:col>1</xdr:col>
      <xdr:colOff>123825</xdr:colOff>
      <xdr:row>14</xdr:row>
      <xdr:rowOff>123824</xdr:rowOff>
    </xdr:from>
    <xdr:to>
      <xdr:col>1</xdr:col>
      <xdr:colOff>3228974</xdr:colOff>
      <xdr:row>14</xdr:row>
      <xdr:rowOff>790575</xdr:rowOff>
    </xdr:to>
    <xdr:pic>
      <xdr:nvPicPr>
        <xdr:cNvPr id="4" name="Picture 3"/>
        <xdr:cNvPicPr>
          <a:picLocks noChangeAspect="1"/>
        </xdr:cNvPicPr>
      </xdr:nvPicPr>
      <xdr:blipFill>
        <a:blip xmlns:r="http://schemas.openxmlformats.org/officeDocument/2006/relationships" r:embed="rId4"/>
        <a:stretch>
          <a:fillRect/>
        </a:stretch>
      </xdr:blipFill>
      <xdr:spPr>
        <a:xfrm>
          <a:off x="523875" y="8020049"/>
          <a:ext cx="3105149" cy="666751"/>
        </a:xfrm>
        <a:prstGeom prst="rect">
          <a:avLst/>
        </a:prstGeom>
      </xdr:spPr>
    </xdr:pic>
    <xdr:clientData/>
  </xdr:twoCellAnchor>
  <xdr:twoCellAnchor editAs="oneCell">
    <xdr:from>
      <xdr:col>1</xdr:col>
      <xdr:colOff>2600325</xdr:colOff>
      <xdr:row>16</xdr:row>
      <xdr:rowOff>104775</xdr:rowOff>
    </xdr:from>
    <xdr:to>
      <xdr:col>1</xdr:col>
      <xdr:colOff>3257468</xdr:colOff>
      <xdr:row>16</xdr:row>
      <xdr:rowOff>361918</xdr:rowOff>
    </xdr:to>
    <xdr:pic>
      <xdr:nvPicPr>
        <xdr:cNvPr id="5" name="Picture 4"/>
        <xdr:cNvPicPr>
          <a:picLocks noChangeAspect="1"/>
        </xdr:cNvPicPr>
      </xdr:nvPicPr>
      <xdr:blipFill>
        <a:blip xmlns:r="http://schemas.openxmlformats.org/officeDocument/2006/relationships" r:embed="rId5"/>
        <a:stretch>
          <a:fillRect/>
        </a:stretch>
      </xdr:blipFill>
      <xdr:spPr>
        <a:xfrm>
          <a:off x="3000375" y="9172575"/>
          <a:ext cx="657143" cy="257143"/>
        </a:xfrm>
        <a:prstGeom prst="rect">
          <a:avLst/>
        </a:prstGeom>
      </xdr:spPr>
    </xdr:pic>
    <xdr:clientData/>
  </xdr:twoCellAnchor>
  <xdr:twoCellAnchor editAs="oneCell">
    <xdr:from>
      <xdr:col>0</xdr:col>
      <xdr:colOff>95250</xdr:colOff>
      <xdr:row>29</xdr:row>
      <xdr:rowOff>47625</xdr:rowOff>
    </xdr:from>
    <xdr:to>
      <xdr:col>1</xdr:col>
      <xdr:colOff>3276152</xdr:colOff>
      <xdr:row>29</xdr:row>
      <xdr:rowOff>352425</xdr:rowOff>
    </xdr:to>
    <xdr:pic>
      <xdr:nvPicPr>
        <xdr:cNvPr id="20" name="Picture 19"/>
        <xdr:cNvPicPr>
          <a:picLocks noChangeAspect="1"/>
        </xdr:cNvPicPr>
      </xdr:nvPicPr>
      <xdr:blipFill>
        <a:blip xmlns:r="http://schemas.openxmlformats.org/officeDocument/2006/relationships" r:embed="rId6"/>
        <a:stretch>
          <a:fillRect/>
        </a:stretch>
      </xdr:blipFill>
      <xdr:spPr>
        <a:xfrm>
          <a:off x="95250" y="13935075"/>
          <a:ext cx="3580952" cy="304800"/>
        </a:xfrm>
        <a:prstGeom prst="rect">
          <a:avLst/>
        </a:prstGeom>
      </xdr:spPr>
    </xdr:pic>
    <xdr:clientData/>
  </xdr:twoCellAnchor>
  <xdr:twoCellAnchor editAs="oneCell">
    <xdr:from>
      <xdr:col>2</xdr:col>
      <xdr:colOff>57150</xdr:colOff>
      <xdr:row>28</xdr:row>
      <xdr:rowOff>28575</xdr:rowOff>
    </xdr:from>
    <xdr:to>
      <xdr:col>2</xdr:col>
      <xdr:colOff>628579</xdr:colOff>
      <xdr:row>28</xdr:row>
      <xdr:rowOff>342861</xdr:rowOff>
    </xdr:to>
    <xdr:pic>
      <xdr:nvPicPr>
        <xdr:cNvPr id="21" name="Picture 20"/>
        <xdr:cNvPicPr>
          <a:picLocks noChangeAspect="1"/>
        </xdr:cNvPicPr>
      </xdr:nvPicPr>
      <xdr:blipFill>
        <a:blip xmlns:r="http://schemas.openxmlformats.org/officeDocument/2006/relationships" r:embed="rId7"/>
        <a:stretch>
          <a:fillRect/>
        </a:stretch>
      </xdr:blipFill>
      <xdr:spPr>
        <a:xfrm>
          <a:off x="4400550" y="13192125"/>
          <a:ext cx="571429" cy="314286"/>
        </a:xfrm>
        <a:prstGeom prst="rect">
          <a:avLst/>
        </a:prstGeom>
      </xdr:spPr>
    </xdr:pic>
    <xdr:clientData/>
  </xdr:twoCellAnchor>
  <xdr:twoCellAnchor editAs="oneCell">
    <xdr:from>
      <xdr:col>3</xdr:col>
      <xdr:colOff>28575</xdr:colOff>
      <xdr:row>28</xdr:row>
      <xdr:rowOff>38100</xdr:rowOff>
    </xdr:from>
    <xdr:to>
      <xdr:col>3</xdr:col>
      <xdr:colOff>1180956</xdr:colOff>
      <xdr:row>28</xdr:row>
      <xdr:rowOff>352386</xdr:rowOff>
    </xdr:to>
    <xdr:pic>
      <xdr:nvPicPr>
        <xdr:cNvPr id="22" name="Picture 21"/>
        <xdr:cNvPicPr>
          <a:picLocks noChangeAspect="1"/>
        </xdr:cNvPicPr>
      </xdr:nvPicPr>
      <xdr:blipFill>
        <a:blip xmlns:r="http://schemas.openxmlformats.org/officeDocument/2006/relationships" r:embed="rId8"/>
        <a:stretch>
          <a:fillRect/>
        </a:stretch>
      </xdr:blipFill>
      <xdr:spPr>
        <a:xfrm>
          <a:off x="4667250" y="9896475"/>
          <a:ext cx="1152381" cy="314286"/>
        </a:xfrm>
        <a:prstGeom prst="rect">
          <a:avLst/>
        </a:prstGeom>
      </xdr:spPr>
    </xdr:pic>
    <xdr:clientData/>
  </xdr:twoCellAnchor>
  <xdr:twoCellAnchor editAs="oneCell">
    <xdr:from>
      <xdr:col>2</xdr:col>
      <xdr:colOff>28575</xdr:colOff>
      <xdr:row>38</xdr:row>
      <xdr:rowOff>47625</xdr:rowOff>
    </xdr:from>
    <xdr:to>
      <xdr:col>2</xdr:col>
      <xdr:colOff>590480</xdr:colOff>
      <xdr:row>38</xdr:row>
      <xdr:rowOff>342863</xdr:rowOff>
    </xdr:to>
    <xdr:pic>
      <xdr:nvPicPr>
        <xdr:cNvPr id="23" name="Picture 22"/>
        <xdr:cNvPicPr>
          <a:picLocks noChangeAspect="1"/>
        </xdr:cNvPicPr>
      </xdr:nvPicPr>
      <xdr:blipFill>
        <a:blip xmlns:r="http://schemas.openxmlformats.org/officeDocument/2006/relationships" r:embed="rId9"/>
        <a:stretch>
          <a:fillRect/>
        </a:stretch>
      </xdr:blipFill>
      <xdr:spPr>
        <a:xfrm>
          <a:off x="3619500" y="11877675"/>
          <a:ext cx="561905" cy="295238"/>
        </a:xfrm>
        <a:prstGeom prst="rect">
          <a:avLst/>
        </a:prstGeom>
      </xdr:spPr>
    </xdr:pic>
    <xdr:clientData/>
  </xdr:twoCellAnchor>
  <xdr:twoCellAnchor editAs="oneCell">
    <xdr:from>
      <xdr:col>3</xdr:col>
      <xdr:colOff>38100</xdr:colOff>
      <xdr:row>38</xdr:row>
      <xdr:rowOff>14681</xdr:rowOff>
    </xdr:from>
    <xdr:to>
      <xdr:col>3</xdr:col>
      <xdr:colOff>1171575</xdr:colOff>
      <xdr:row>38</xdr:row>
      <xdr:rowOff>323811</xdr:rowOff>
    </xdr:to>
    <xdr:pic>
      <xdr:nvPicPr>
        <xdr:cNvPr id="24" name="Picture 23"/>
        <xdr:cNvPicPr>
          <a:picLocks noChangeAspect="1"/>
        </xdr:cNvPicPr>
      </xdr:nvPicPr>
      <xdr:blipFill>
        <a:blip xmlns:r="http://schemas.openxmlformats.org/officeDocument/2006/relationships" r:embed="rId10"/>
        <a:stretch>
          <a:fillRect/>
        </a:stretch>
      </xdr:blipFill>
      <xdr:spPr>
        <a:xfrm>
          <a:off x="4676775" y="11844731"/>
          <a:ext cx="1133475" cy="309130"/>
        </a:xfrm>
        <a:prstGeom prst="rect">
          <a:avLst/>
        </a:prstGeom>
      </xdr:spPr>
    </xdr:pic>
    <xdr:clientData/>
  </xdr:twoCellAnchor>
  <xdr:twoCellAnchor editAs="oneCell">
    <xdr:from>
      <xdr:col>0</xdr:col>
      <xdr:colOff>57150</xdr:colOff>
      <xdr:row>39</xdr:row>
      <xdr:rowOff>57150</xdr:rowOff>
    </xdr:from>
    <xdr:to>
      <xdr:col>1</xdr:col>
      <xdr:colOff>3324225</xdr:colOff>
      <xdr:row>39</xdr:row>
      <xdr:rowOff>409531</xdr:rowOff>
    </xdr:to>
    <xdr:pic>
      <xdr:nvPicPr>
        <xdr:cNvPr id="25" name="Picture 24"/>
        <xdr:cNvPicPr>
          <a:picLocks noChangeAspect="1"/>
        </xdr:cNvPicPr>
      </xdr:nvPicPr>
      <xdr:blipFill>
        <a:blip xmlns:r="http://schemas.openxmlformats.org/officeDocument/2006/relationships" r:embed="rId11"/>
        <a:stretch>
          <a:fillRect/>
        </a:stretch>
      </xdr:blipFill>
      <xdr:spPr>
        <a:xfrm>
          <a:off x="57150" y="17573625"/>
          <a:ext cx="3667125" cy="352381"/>
        </a:xfrm>
        <a:prstGeom prst="rect">
          <a:avLst/>
        </a:prstGeom>
      </xdr:spPr>
    </xdr:pic>
    <xdr:clientData/>
  </xdr:twoCellAnchor>
  <xdr:twoCellAnchor editAs="oneCell">
    <xdr:from>
      <xdr:col>2</xdr:col>
      <xdr:colOff>85725</xdr:colOff>
      <xdr:row>48</xdr:row>
      <xdr:rowOff>38100</xdr:rowOff>
    </xdr:from>
    <xdr:to>
      <xdr:col>2</xdr:col>
      <xdr:colOff>628582</xdr:colOff>
      <xdr:row>48</xdr:row>
      <xdr:rowOff>333338</xdr:rowOff>
    </xdr:to>
    <xdr:pic>
      <xdr:nvPicPr>
        <xdr:cNvPr id="26" name="Picture 25"/>
        <xdr:cNvPicPr>
          <a:picLocks noChangeAspect="1"/>
        </xdr:cNvPicPr>
      </xdr:nvPicPr>
      <xdr:blipFill>
        <a:blip xmlns:r="http://schemas.openxmlformats.org/officeDocument/2006/relationships" r:embed="rId12"/>
        <a:stretch>
          <a:fillRect/>
        </a:stretch>
      </xdr:blipFill>
      <xdr:spPr>
        <a:xfrm>
          <a:off x="4438650" y="19326225"/>
          <a:ext cx="542857" cy="295238"/>
        </a:xfrm>
        <a:prstGeom prst="rect">
          <a:avLst/>
        </a:prstGeom>
      </xdr:spPr>
    </xdr:pic>
    <xdr:clientData/>
  </xdr:twoCellAnchor>
  <xdr:twoCellAnchor editAs="oneCell">
    <xdr:from>
      <xdr:col>3</xdr:col>
      <xdr:colOff>47625</xdr:colOff>
      <xdr:row>48</xdr:row>
      <xdr:rowOff>19050</xdr:rowOff>
    </xdr:from>
    <xdr:to>
      <xdr:col>3</xdr:col>
      <xdr:colOff>1190482</xdr:colOff>
      <xdr:row>48</xdr:row>
      <xdr:rowOff>352383</xdr:rowOff>
    </xdr:to>
    <xdr:pic>
      <xdr:nvPicPr>
        <xdr:cNvPr id="27" name="Picture 26"/>
        <xdr:cNvPicPr>
          <a:picLocks noChangeAspect="1"/>
        </xdr:cNvPicPr>
      </xdr:nvPicPr>
      <xdr:blipFill>
        <a:blip xmlns:r="http://schemas.openxmlformats.org/officeDocument/2006/relationships" r:embed="rId13"/>
        <a:stretch>
          <a:fillRect/>
        </a:stretch>
      </xdr:blipFill>
      <xdr:spPr>
        <a:xfrm>
          <a:off x="5495925" y="19307175"/>
          <a:ext cx="1142857" cy="333333"/>
        </a:xfrm>
        <a:prstGeom prst="rect">
          <a:avLst/>
        </a:prstGeom>
      </xdr:spPr>
    </xdr:pic>
    <xdr:clientData/>
  </xdr:twoCellAnchor>
  <xdr:twoCellAnchor editAs="oneCell">
    <xdr:from>
      <xdr:col>0</xdr:col>
      <xdr:colOff>66675</xdr:colOff>
      <xdr:row>49</xdr:row>
      <xdr:rowOff>76200</xdr:rowOff>
    </xdr:from>
    <xdr:to>
      <xdr:col>1</xdr:col>
      <xdr:colOff>3257101</xdr:colOff>
      <xdr:row>49</xdr:row>
      <xdr:rowOff>380962</xdr:rowOff>
    </xdr:to>
    <xdr:pic>
      <xdr:nvPicPr>
        <xdr:cNvPr id="28" name="Picture 27"/>
        <xdr:cNvPicPr>
          <a:picLocks noChangeAspect="1"/>
        </xdr:cNvPicPr>
      </xdr:nvPicPr>
      <xdr:blipFill>
        <a:blip xmlns:r="http://schemas.openxmlformats.org/officeDocument/2006/relationships" r:embed="rId14"/>
        <a:stretch>
          <a:fillRect/>
        </a:stretch>
      </xdr:blipFill>
      <xdr:spPr>
        <a:xfrm>
          <a:off x="66675" y="21269325"/>
          <a:ext cx="3590476" cy="304762"/>
        </a:xfrm>
        <a:prstGeom prst="rect">
          <a:avLst/>
        </a:prstGeom>
      </xdr:spPr>
    </xdr:pic>
    <xdr:clientData/>
  </xdr:twoCellAnchor>
  <xdr:twoCellAnchor editAs="oneCell">
    <xdr:from>
      <xdr:col>3</xdr:col>
      <xdr:colOff>28575</xdr:colOff>
      <xdr:row>55</xdr:row>
      <xdr:rowOff>38100</xdr:rowOff>
    </xdr:from>
    <xdr:to>
      <xdr:col>3</xdr:col>
      <xdr:colOff>1161908</xdr:colOff>
      <xdr:row>55</xdr:row>
      <xdr:rowOff>323814</xdr:rowOff>
    </xdr:to>
    <xdr:pic>
      <xdr:nvPicPr>
        <xdr:cNvPr id="29" name="Picture 28"/>
        <xdr:cNvPicPr>
          <a:picLocks noChangeAspect="1"/>
        </xdr:cNvPicPr>
      </xdr:nvPicPr>
      <xdr:blipFill>
        <a:blip xmlns:r="http://schemas.openxmlformats.org/officeDocument/2006/relationships" r:embed="rId15"/>
        <a:stretch>
          <a:fillRect/>
        </a:stretch>
      </xdr:blipFill>
      <xdr:spPr>
        <a:xfrm>
          <a:off x="5476875" y="21412200"/>
          <a:ext cx="1133333" cy="285714"/>
        </a:xfrm>
        <a:prstGeom prst="rect">
          <a:avLst/>
        </a:prstGeom>
      </xdr:spPr>
    </xdr:pic>
    <xdr:clientData/>
  </xdr:twoCellAnchor>
  <xdr:twoCellAnchor editAs="oneCell">
    <xdr:from>
      <xdr:col>2</xdr:col>
      <xdr:colOff>57150</xdr:colOff>
      <xdr:row>55</xdr:row>
      <xdr:rowOff>38100</xdr:rowOff>
    </xdr:from>
    <xdr:to>
      <xdr:col>2</xdr:col>
      <xdr:colOff>609531</xdr:colOff>
      <xdr:row>55</xdr:row>
      <xdr:rowOff>333338</xdr:rowOff>
    </xdr:to>
    <xdr:pic>
      <xdr:nvPicPr>
        <xdr:cNvPr id="30" name="Picture 29"/>
        <xdr:cNvPicPr>
          <a:picLocks noChangeAspect="1"/>
        </xdr:cNvPicPr>
      </xdr:nvPicPr>
      <xdr:blipFill>
        <a:blip xmlns:r="http://schemas.openxmlformats.org/officeDocument/2006/relationships" r:embed="rId16"/>
        <a:stretch>
          <a:fillRect/>
        </a:stretch>
      </xdr:blipFill>
      <xdr:spPr>
        <a:xfrm>
          <a:off x="4410075" y="21412200"/>
          <a:ext cx="552381" cy="295238"/>
        </a:xfrm>
        <a:prstGeom prst="rect">
          <a:avLst/>
        </a:prstGeom>
      </xdr:spPr>
    </xdr:pic>
    <xdr:clientData/>
  </xdr:twoCellAnchor>
  <xdr:twoCellAnchor editAs="oneCell">
    <xdr:from>
      <xdr:col>0</xdr:col>
      <xdr:colOff>19050</xdr:colOff>
      <xdr:row>56</xdr:row>
      <xdr:rowOff>76200</xdr:rowOff>
    </xdr:from>
    <xdr:to>
      <xdr:col>1</xdr:col>
      <xdr:colOff>3219000</xdr:colOff>
      <xdr:row>56</xdr:row>
      <xdr:rowOff>390486</xdr:rowOff>
    </xdr:to>
    <xdr:pic>
      <xdr:nvPicPr>
        <xdr:cNvPr id="31" name="Picture 30"/>
        <xdr:cNvPicPr>
          <a:picLocks noChangeAspect="1"/>
        </xdr:cNvPicPr>
      </xdr:nvPicPr>
      <xdr:blipFill>
        <a:blip xmlns:r="http://schemas.openxmlformats.org/officeDocument/2006/relationships" r:embed="rId17"/>
        <a:stretch>
          <a:fillRect/>
        </a:stretch>
      </xdr:blipFill>
      <xdr:spPr>
        <a:xfrm>
          <a:off x="19050" y="23898225"/>
          <a:ext cx="3600000" cy="314286"/>
        </a:xfrm>
        <a:prstGeom prst="rect">
          <a:avLst/>
        </a:prstGeom>
      </xdr:spPr>
    </xdr:pic>
    <xdr:clientData/>
  </xdr:twoCellAnchor>
  <xdr:twoCellAnchor editAs="oneCell">
    <xdr:from>
      <xdr:col>3</xdr:col>
      <xdr:colOff>38100</xdr:colOff>
      <xdr:row>62</xdr:row>
      <xdr:rowOff>57150</xdr:rowOff>
    </xdr:from>
    <xdr:to>
      <xdr:col>3</xdr:col>
      <xdr:colOff>1209529</xdr:colOff>
      <xdr:row>62</xdr:row>
      <xdr:rowOff>352388</xdr:rowOff>
    </xdr:to>
    <xdr:pic>
      <xdr:nvPicPr>
        <xdr:cNvPr id="32" name="Picture 31"/>
        <xdr:cNvPicPr>
          <a:picLocks noChangeAspect="1"/>
        </xdr:cNvPicPr>
      </xdr:nvPicPr>
      <xdr:blipFill>
        <a:blip xmlns:r="http://schemas.openxmlformats.org/officeDocument/2006/relationships" r:embed="rId18"/>
        <a:stretch>
          <a:fillRect/>
        </a:stretch>
      </xdr:blipFill>
      <xdr:spPr>
        <a:xfrm>
          <a:off x="4676775" y="17306925"/>
          <a:ext cx="1171429" cy="295238"/>
        </a:xfrm>
        <a:prstGeom prst="rect">
          <a:avLst/>
        </a:prstGeom>
      </xdr:spPr>
    </xdr:pic>
    <xdr:clientData/>
  </xdr:twoCellAnchor>
  <xdr:twoCellAnchor editAs="oneCell">
    <xdr:from>
      <xdr:col>2</xdr:col>
      <xdr:colOff>19050</xdr:colOff>
      <xdr:row>62</xdr:row>
      <xdr:rowOff>47625</xdr:rowOff>
    </xdr:from>
    <xdr:to>
      <xdr:col>2</xdr:col>
      <xdr:colOff>561907</xdr:colOff>
      <xdr:row>62</xdr:row>
      <xdr:rowOff>361911</xdr:rowOff>
    </xdr:to>
    <xdr:pic>
      <xdr:nvPicPr>
        <xdr:cNvPr id="33" name="Picture 32"/>
        <xdr:cNvPicPr>
          <a:picLocks noChangeAspect="1"/>
        </xdr:cNvPicPr>
      </xdr:nvPicPr>
      <xdr:blipFill>
        <a:blip xmlns:r="http://schemas.openxmlformats.org/officeDocument/2006/relationships" r:embed="rId19"/>
        <a:stretch>
          <a:fillRect/>
        </a:stretch>
      </xdr:blipFill>
      <xdr:spPr>
        <a:xfrm>
          <a:off x="3609975" y="17297400"/>
          <a:ext cx="542857" cy="314286"/>
        </a:xfrm>
        <a:prstGeom prst="rect">
          <a:avLst/>
        </a:prstGeom>
      </xdr:spPr>
    </xdr:pic>
    <xdr:clientData/>
  </xdr:twoCellAnchor>
  <xdr:twoCellAnchor editAs="oneCell">
    <xdr:from>
      <xdr:col>0</xdr:col>
      <xdr:colOff>57150</xdr:colOff>
      <xdr:row>63</xdr:row>
      <xdr:rowOff>85725</xdr:rowOff>
    </xdr:from>
    <xdr:to>
      <xdr:col>1</xdr:col>
      <xdr:colOff>3257100</xdr:colOff>
      <xdr:row>63</xdr:row>
      <xdr:rowOff>409535</xdr:rowOff>
    </xdr:to>
    <xdr:pic>
      <xdr:nvPicPr>
        <xdr:cNvPr id="34" name="Picture 33"/>
        <xdr:cNvPicPr>
          <a:picLocks noChangeAspect="1"/>
        </xdr:cNvPicPr>
      </xdr:nvPicPr>
      <xdr:blipFill>
        <a:blip xmlns:r="http://schemas.openxmlformats.org/officeDocument/2006/relationships" r:embed="rId20"/>
        <a:stretch>
          <a:fillRect/>
        </a:stretch>
      </xdr:blipFill>
      <xdr:spPr>
        <a:xfrm>
          <a:off x="57150" y="26527125"/>
          <a:ext cx="3600000" cy="323810"/>
        </a:xfrm>
        <a:prstGeom prst="rect">
          <a:avLst/>
        </a:prstGeom>
      </xdr:spPr>
    </xdr:pic>
    <xdr:clientData/>
  </xdr:twoCellAnchor>
  <xdr:twoCellAnchor editAs="oneCell">
    <xdr:from>
      <xdr:col>3</xdr:col>
      <xdr:colOff>38100</xdr:colOff>
      <xdr:row>69</xdr:row>
      <xdr:rowOff>47625</xdr:rowOff>
    </xdr:from>
    <xdr:to>
      <xdr:col>3</xdr:col>
      <xdr:colOff>1180957</xdr:colOff>
      <xdr:row>69</xdr:row>
      <xdr:rowOff>352387</xdr:rowOff>
    </xdr:to>
    <xdr:pic>
      <xdr:nvPicPr>
        <xdr:cNvPr id="35" name="Picture 34"/>
        <xdr:cNvPicPr>
          <a:picLocks noChangeAspect="1"/>
        </xdr:cNvPicPr>
      </xdr:nvPicPr>
      <xdr:blipFill>
        <a:blip xmlns:r="http://schemas.openxmlformats.org/officeDocument/2006/relationships" r:embed="rId21"/>
        <a:stretch>
          <a:fillRect/>
        </a:stretch>
      </xdr:blipFill>
      <xdr:spPr>
        <a:xfrm>
          <a:off x="4676775" y="18897600"/>
          <a:ext cx="1142857" cy="304762"/>
        </a:xfrm>
        <a:prstGeom prst="rect">
          <a:avLst/>
        </a:prstGeom>
      </xdr:spPr>
    </xdr:pic>
    <xdr:clientData/>
  </xdr:twoCellAnchor>
  <xdr:twoCellAnchor editAs="oneCell">
    <xdr:from>
      <xdr:col>2</xdr:col>
      <xdr:colOff>9525</xdr:colOff>
      <xdr:row>69</xdr:row>
      <xdr:rowOff>57150</xdr:rowOff>
    </xdr:from>
    <xdr:to>
      <xdr:col>2</xdr:col>
      <xdr:colOff>561906</xdr:colOff>
      <xdr:row>69</xdr:row>
      <xdr:rowOff>352388</xdr:rowOff>
    </xdr:to>
    <xdr:pic>
      <xdr:nvPicPr>
        <xdr:cNvPr id="36" name="Picture 35"/>
        <xdr:cNvPicPr>
          <a:picLocks noChangeAspect="1"/>
        </xdr:cNvPicPr>
      </xdr:nvPicPr>
      <xdr:blipFill>
        <a:blip xmlns:r="http://schemas.openxmlformats.org/officeDocument/2006/relationships" r:embed="rId22"/>
        <a:stretch>
          <a:fillRect/>
        </a:stretch>
      </xdr:blipFill>
      <xdr:spPr>
        <a:xfrm>
          <a:off x="3600450" y="18907125"/>
          <a:ext cx="552381" cy="295238"/>
        </a:xfrm>
        <a:prstGeom prst="rect">
          <a:avLst/>
        </a:prstGeom>
      </xdr:spPr>
    </xdr:pic>
    <xdr:clientData/>
  </xdr:twoCellAnchor>
  <xdr:twoCellAnchor editAs="oneCell">
    <xdr:from>
      <xdr:col>3</xdr:col>
      <xdr:colOff>38100</xdr:colOff>
      <xdr:row>73</xdr:row>
      <xdr:rowOff>57150</xdr:rowOff>
    </xdr:from>
    <xdr:to>
      <xdr:col>3</xdr:col>
      <xdr:colOff>1171433</xdr:colOff>
      <xdr:row>73</xdr:row>
      <xdr:rowOff>333340</xdr:rowOff>
    </xdr:to>
    <xdr:pic>
      <xdr:nvPicPr>
        <xdr:cNvPr id="38" name="Picture 37"/>
        <xdr:cNvPicPr>
          <a:picLocks noChangeAspect="1"/>
        </xdr:cNvPicPr>
      </xdr:nvPicPr>
      <xdr:blipFill>
        <a:blip xmlns:r="http://schemas.openxmlformats.org/officeDocument/2006/relationships" r:embed="rId23"/>
        <a:stretch>
          <a:fillRect/>
        </a:stretch>
      </xdr:blipFill>
      <xdr:spPr>
        <a:xfrm>
          <a:off x="4676775" y="20126325"/>
          <a:ext cx="1133333" cy="276190"/>
        </a:xfrm>
        <a:prstGeom prst="rect">
          <a:avLst/>
        </a:prstGeom>
      </xdr:spPr>
    </xdr:pic>
    <xdr:clientData/>
  </xdr:twoCellAnchor>
  <xdr:twoCellAnchor editAs="oneCell">
    <xdr:from>
      <xdr:col>2</xdr:col>
      <xdr:colOff>28575</xdr:colOff>
      <xdr:row>73</xdr:row>
      <xdr:rowOff>47625</xdr:rowOff>
    </xdr:from>
    <xdr:to>
      <xdr:col>2</xdr:col>
      <xdr:colOff>571432</xdr:colOff>
      <xdr:row>73</xdr:row>
      <xdr:rowOff>342863</xdr:rowOff>
    </xdr:to>
    <xdr:pic>
      <xdr:nvPicPr>
        <xdr:cNvPr id="39" name="Picture 38"/>
        <xdr:cNvPicPr>
          <a:picLocks noChangeAspect="1"/>
        </xdr:cNvPicPr>
      </xdr:nvPicPr>
      <xdr:blipFill>
        <a:blip xmlns:r="http://schemas.openxmlformats.org/officeDocument/2006/relationships" r:embed="rId24"/>
        <a:stretch>
          <a:fillRect/>
        </a:stretch>
      </xdr:blipFill>
      <xdr:spPr>
        <a:xfrm>
          <a:off x="3619500" y="20116800"/>
          <a:ext cx="542857" cy="295238"/>
        </a:xfrm>
        <a:prstGeom prst="rect">
          <a:avLst/>
        </a:prstGeom>
      </xdr:spPr>
    </xdr:pic>
    <xdr:clientData/>
  </xdr:twoCellAnchor>
  <xdr:twoCellAnchor editAs="oneCell">
    <xdr:from>
      <xdr:col>0</xdr:col>
      <xdr:colOff>47625</xdr:colOff>
      <xdr:row>74</xdr:row>
      <xdr:rowOff>95250</xdr:rowOff>
    </xdr:from>
    <xdr:to>
      <xdr:col>1</xdr:col>
      <xdr:colOff>3276146</xdr:colOff>
      <xdr:row>74</xdr:row>
      <xdr:rowOff>409536</xdr:rowOff>
    </xdr:to>
    <xdr:pic>
      <xdr:nvPicPr>
        <xdr:cNvPr id="40" name="Picture 39"/>
        <xdr:cNvPicPr>
          <a:picLocks noChangeAspect="1"/>
        </xdr:cNvPicPr>
      </xdr:nvPicPr>
      <xdr:blipFill>
        <a:blip xmlns:r="http://schemas.openxmlformats.org/officeDocument/2006/relationships" r:embed="rId25"/>
        <a:stretch>
          <a:fillRect/>
        </a:stretch>
      </xdr:blipFill>
      <xdr:spPr>
        <a:xfrm>
          <a:off x="47625" y="30956250"/>
          <a:ext cx="3628571" cy="314286"/>
        </a:xfrm>
        <a:prstGeom prst="rect">
          <a:avLst/>
        </a:prstGeom>
      </xdr:spPr>
    </xdr:pic>
    <xdr:clientData/>
  </xdr:twoCellAnchor>
  <xdr:oneCellAnchor>
    <xdr:from>
      <xdr:col>1</xdr:col>
      <xdr:colOff>2676525</xdr:colOff>
      <xdr:row>77</xdr:row>
      <xdr:rowOff>104775</xdr:rowOff>
    </xdr:from>
    <xdr:ext cx="657143" cy="257143"/>
    <xdr:pic>
      <xdr:nvPicPr>
        <xdr:cNvPr id="45" name="Picture 44"/>
        <xdr:cNvPicPr>
          <a:picLocks noChangeAspect="1"/>
        </xdr:cNvPicPr>
      </xdr:nvPicPr>
      <xdr:blipFill>
        <a:blip xmlns:r="http://schemas.openxmlformats.org/officeDocument/2006/relationships" r:embed="rId5"/>
        <a:stretch>
          <a:fillRect/>
        </a:stretch>
      </xdr:blipFill>
      <xdr:spPr>
        <a:xfrm>
          <a:off x="3076575" y="32661225"/>
          <a:ext cx="657143" cy="257143"/>
        </a:xfrm>
        <a:prstGeom prst="rect">
          <a:avLst/>
        </a:prstGeom>
      </xdr:spPr>
    </xdr:pic>
    <xdr:clientData/>
  </xdr:oneCellAnchor>
  <xdr:twoCellAnchor editAs="oneCell">
    <xdr:from>
      <xdr:col>1</xdr:col>
      <xdr:colOff>219075</xdr:colOff>
      <xdr:row>76</xdr:row>
      <xdr:rowOff>133350</xdr:rowOff>
    </xdr:from>
    <xdr:to>
      <xdr:col>1</xdr:col>
      <xdr:colOff>3324224</xdr:colOff>
      <xdr:row>76</xdr:row>
      <xdr:rowOff>800101</xdr:rowOff>
    </xdr:to>
    <xdr:pic>
      <xdr:nvPicPr>
        <xdr:cNvPr id="46" name="Picture 45"/>
        <xdr:cNvPicPr>
          <a:picLocks noChangeAspect="1"/>
        </xdr:cNvPicPr>
      </xdr:nvPicPr>
      <xdr:blipFill>
        <a:blip xmlns:r="http://schemas.openxmlformats.org/officeDocument/2006/relationships" r:embed="rId4"/>
        <a:stretch>
          <a:fillRect/>
        </a:stretch>
      </xdr:blipFill>
      <xdr:spPr>
        <a:xfrm>
          <a:off x="619125" y="31784925"/>
          <a:ext cx="3105149" cy="6667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33337</xdr:colOff>
      <xdr:row>87</xdr:row>
      <xdr:rowOff>17990</xdr:rowOff>
    </xdr:from>
    <xdr:to>
      <xdr:col>19</xdr:col>
      <xdr:colOff>838200</xdr:colOff>
      <xdr:row>103</xdr:row>
      <xdr:rowOff>95249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42862</xdr:colOff>
      <xdr:row>64</xdr:row>
      <xdr:rowOff>19050</xdr:rowOff>
    </xdr:from>
    <xdr:to>
      <xdr:col>19</xdr:col>
      <xdr:colOff>838200</xdr:colOff>
      <xdr:row>82</xdr:row>
      <xdr:rowOff>158750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14286</xdr:colOff>
      <xdr:row>44</xdr:row>
      <xdr:rowOff>66674</xdr:rowOff>
    </xdr:from>
    <xdr:to>
      <xdr:col>19</xdr:col>
      <xdr:colOff>809625</xdr:colOff>
      <xdr:row>61</xdr:row>
      <xdr:rowOff>123825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62</xdr:row>
      <xdr:rowOff>57150</xdr:rowOff>
    </xdr:from>
    <xdr:to>
      <xdr:col>1</xdr:col>
      <xdr:colOff>3304725</xdr:colOff>
      <xdr:row>62</xdr:row>
      <xdr:rowOff>380960</xdr:rowOff>
    </xdr:to>
    <xdr:pic>
      <xdr:nvPicPr>
        <xdr:cNvPr id="2" name="Picture 1"/>
        <xdr:cNvPicPr>
          <a:picLocks noChangeAspect="1"/>
        </xdr:cNvPicPr>
      </xdr:nvPicPr>
      <xdr:blipFill>
        <a:blip xmlns:r="http://schemas.openxmlformats.org/officeDocument/2006/relationships" r:embed="rId1"/>
        <a:stretch>
          <a:fillRect/>
        </a:stretch>
      </xdr:blipFill>
      <xdr:spPr>
        <a:xfrm>
          <a:off x="104775" y="27441525"/>
          <a:ext cx="3600000" cy="323810"/>
        </a:xfrm>
        <a:prstGeom prst="rect">
          <a:avLst/>
        </a:prstGeom>
      </xdr:spPr>
    </xdr:pic>
    <xdr:clientData/>
  </xdr:twoCellAnchor>
  <xdr:twoCellAnchor editAs="oneCell">
    <xdr:from>
      <xdr:col>2</xdr:col>
      <xdr:colOff>38100</xdr:colOff>
      <xdr:row>12</xdr:row>
      <xdr:rowOff>152399</xdr:rowOff>
    </xdr:from>
    <xdr:to>
      <xdr:col>2</xdr:col>
      <xdr:colOff>647700</xdr:colOff>
      <xdr:row>12</xdr:row>
      <xdr:rowOff>721894</xdr:rowOff>
    </xdr:to>
    <xdr:pic>
      <xdr:nvPicPr>
        <xdr:cNvPr id="3" name="Picture 2"/>
        <xdr:cNvPicPr>
          <a:picLocks noChangeAspect="1"/>
        </xdr:cNvPicPr>
      </xdr:nvPicPr>
      <xdr:blipFill>
        <a:blip xmlns:r="http://schemas.openxmlformats.org/officeDocument/2006/relationships" r:embed="rId2"/>
        <a:stretch>
          <a:fillRect/>
        </a:stretch>
      </xdr:blipFill>
      <xdr:spPr>
        <a:xfrm>
          <a:off x="3629025" y="6543674"/>
          <a:ext cx="609600" cy="569495"/>
        </a:xfrm>
        <a:prstGeom prst="rect">
          <a:avLst/>
        </a:prstGeom>
      </xdr:spPr>
    </xdr:pic>
    <xdr:clientData/>
  </xdr:twoCellAnchor>
  <xdr:twoCellAnchor editAs="oneCell">
    <xdr:from>
      <xdr:col>3</xdr:col>
      <xdr:colOff>76199</xdr:colOff>
      <xdr:row>12</xdr:row>
      <xdr:rowOff>160815</xdr:rowOff>
    </xdr:from>
    <xdr:to>
      <xdr:col>3</xdr:col>
      <xdr:colOff>819150</xdr:colOff>
      <xdr:row>12</xdr:row>
      <xdr:rowOff>736940</xdr:rowOff>
    </xdr:to>
    <xdr:pic>
      <xdr:nvPicPr>
        <xdr:cNvPr id="4" name="Picture 3"/>
        <xdr:cNvPicPr>
          <a:picLocks noChangeAspect="1"/>
        </xdr:cNvPicPr>
      </xdr:nvPicPr>
      <xdr:blipFill>
        <a:blip xmlns:r="http://schemas.openxmlformats.org/officeDocument/2006/relationships" r:embed="rId3"/>
        <a:stretch>
          <a:fillRect/>
        </a:stretch>
      </xdr:blipFill>
      <xdr:spPr>
        <a:xfrm>
          <a:off x="4714874" y="4818540"/>
          <a:ext cx="742951" cy="576125"/>
        </a:xfrm>
        <a:prstGeom prst="rect">
          <a:avLst/>
        </a:prstGeom>
      </xdr:spPr>
    </xdr:pic>
    <xdr:clientData/>
  </xdr:twoCellAnchor>
  <xdr:twoCellAnchor editAs="oneCell">
    <xdr:from>
      <xdr:col>1</xdr:col>
      <xdr:colOff>533400</xdr:colOff>
      <xdr:row>14</xdr:row>
      <xdr:rowOff>142874</xdr:rowOff>
    </xdr:from>
    <xdr:to>
      <xdr:col>1</xdr:col>
      <xdr:colOff>3638549</xdr:colOff>
      <xdr:row>14</xdr:row>
      <xdr:rowOff>809625</xdr:rowOff>
    </xdr:to>
    <xdr:pic>
      <xdr:nvPicPr>
        <xdr:cNvPr id="5" name="Picture 4"/>
        <xdr:cNvPicPr>
          <a:picLocks noChangeAspect="1"/>
        </xdr:cNvPicPr>
      </xdr:nvPicPr>
      <xdr:blipFill>
        <a:blip xmlns:r="http://schemas.openxmlformats.org/officeDocument/2006/relationships" r:embed="rId4"/>
        <a:stretch>
          <a:fillRect/>
        </a:stretch>
      </xdr:blipFill>
      <xdr:spPr>
        <a:xfrm>
          <a:off x="933450" y="8172449"/>
          <a:ext cx="3105149" cy="666751"/>
        </a:xfrm>
        <a:prstGeom prst="rect">
          <a:avLst/>
        </a:prstGeom>
      </xdr:spPr>
    </xdr:pic>
    <xdr:clientData/>
  </xdr:twoCellAnchor>
  <xdr:twoCellAnchor editAs="oneCell">
    <xdr:from>
      <xdr:col>1</xdr:col>
      <xdr:colOff>3076575</xdr:colOff>
      <xdr:row>16</xdr:row>
      <xdr:rowOff>95250</xdr:rowOff>
    </xdr:from>
    <xdr:to>
      <xdr:col>1</xdr:col>
      <xdr:colOff>3733718</xdr:colOff>
      <xdr:row>16</xdr:row>
      <xdr:rowOff>352393</xdr:rowOff>
    </xdr:to>
    <xdr:pic>
      <xdr:nvPicPr>
        <xdr:cNvPr id="6" name="Picture 5"/>
        <xdr:cNvPicPr>
          <a:picLocks noChangeAspect="1"/>
        </xdr:cNvPicPr>
      </xdr:nvPicPr>
      <xdr:blipFill>
        <a:blip xmlns:r="http://schemas.openxmlformats.org/officeDocument/2006/relationships" r:embed="rId5"/>
        <a:stretch>
          <a:fillRect/>
        </a:stretch>
      </xdr:blipFill>
      <xdr:spPr>
        <a:xfrm>
          <a:off x="3476625" y="9296400"/>
          <a:ext cx="657143" cy="257143"/>
        </a:xfrm>
        <a:prstGeom prst="rect">
          <a:avLst/>
        </a:prstGeom>
      </xdr:spPr>
    </xdr:pic>
    <xdr:clientData/>
  </xdr:twoCellAnchor>
  <xdr:twoCellAnchor editAs="oneCell">
    <xdr:from>
      <xdr:col>1</xdr:col>
      <xdr:colOff>104775</xdr:colOff>
      <xdr:row>28</xdr:row>
      <xdr:rowOff>38100</xdr:rowOff>
    </xdr:from>
    <xdr:to>
      <xdr:col>1</xdr:col>
      <xdr:colOff>3685727</xdr:colOff>
      <xdr:row>28</xdr:row>
      <xdr:rowOff>361910</xdr:rowOff>
    </xdr:to>
    <xdr:pic>
      <xdr:nvPicPr>
        <xdr:cNvPr id="7" name="Picture 6"/>
        <xdr:cNvPicPr>
          <a:picLocks noChangeAspect="1"/>
        </xdr:cNvPicPr>
      </xdr:nvPicPr>
      <xdr:blipFill>
        <a:blip xmlns:r="http://schemas.openxmlformats.org/officeDocument/2006/relationships" r:embed="rId6"/>
        <a:stretch>
          <a:fillRect/>
        </a:stretch>
      </xdr:blipFill>
      <xdr:spPr>
        <a:xfrm>
          <a:off x="504825" y="13592175"/>
          <a:ext cx="3580952" cy="323810"/>
        </a:xfrm>
        <a:prstGeom prst="rect">
          <a:avLst/>
        </a:prstGeom>
      </xdr:spPr>
    </xdr:pic>
    <xdr:clientData/>
  </xdr:twoCellAnchor>
  <xdr:twoCellAnchor editAs="oneCell">
    <xdr:from>
      <xdr:col>2</xdr:col>
      <xdr:colOff>57150</xdr:colOff>
      <xdr:row>27</xdr:row>
      <xdr:rowOff>28575</xdr:rowOff>
    </xdr:from>
    <xdr:to>
      <xdr:col>2</xdr:col>
      <xdr:colOff>628579</xdr:colOff>
      <xdr:row>27</xdr:row>
      <xdr:rowOff>342861</xdr:rowOff>
    </xdr:to>
    <xdr:pic>
      <xdr:nvPicPr>
        <xdr:cNvPr id="8" name="Picture 7"/>
        <xdr:cNvPicPr>
          <a:picLocks noChangeAspect="1"/>
        </xdr:cNvPicPr>
      </xdr:nvPicPr>
      <xdr:blipFill>
        <a:blip xmlns:r="http://schemas.openxmlformats.org/officeDocument/2006/relationships" r:embed="rId7"/>
        <a:stretch>
          <a:fillRect/>
        </a:stretch>
      </xdr:blipFill>
      <xdr:spPr>
        <a:xfrm>
          <a:off x="3648075" y="10810875"/>
          <a:ext cx="571429" cy="314286"/>
        </a:xfrm>
        <a:prstGeom prst="rect">
          <a:avLst/>
        </a:prstGeom>
      </xdr:spPr>
    </xdr:pic>
    <xdr:clientData/>
  </xdr:twoCellAnchor>
  <xdr:twoCellAnchor editAs="oneCell">
    <xdr:from>
      <xdr:col>3</xdr:col>
      <xdr:colOff>28575</xdr:colOff>
      <xdr:row>27</xdr:row>
      <xdr:rowOff>38100</xdr:rowOff>
    </xdr:from>
    <xdr:to>
      <xdr:col>3</xdr:col>
      <xdr:colOff>1180956</xdr:colOff>
      <xdr:row>27</xdr:row>
      <xdr:rowOff>352386</xdr:rowOff>
    </xdr:to>
    <xdr:pic>
      <xdr:nvPicPr>
        <xdr:cNvPr id="9" name="Picture 8"/>
        <xdr:cNvPicPr>
          <a:picLocks noChangeAspect="1"/>
        </xdr:cNvPicPr>
      </xdr:nvPicPr>
      <xdr:blipFill>
        <a:blip xmlns:r="http://schemas.openxmlformats.org/officeDocument/2006/relationships" r:embed="rId8"/>
        <a:stretch>
          <a:fillRect/>
        </a:stretch>
      </xdr:blipFill>
      <xdr:spPr>
        <a:xfrm>
          <a:off x="4667250" y="10820400"/>
          <a:ext cx="1152381" cy="314286"/>
        </a:xfrm>
        <a:prstGeom prst="rect">
          <a:avLst/>
        </a:prstGeom>
      </xdr:spPr>
    </xdr:pic>
    <xdr:clientData/>
  </xdr:twoCellAnchor>
  <xdr:twoCellAnchor editAs="oneCell">
    <xdr:from>
      <xdr:col>2</xdr:col>
      <xdr:colOff>28575</xdr:colOff>
      <xdr:row>34</xdr:row>
      <xdr:rowOff>47625</xdr:rowOff>
    </xdr:from>
    <xdr:to>
      <xdr:col>2</xdr:col>
      <xdr:colOff>590480</xdr:colOff>
      <xdr:row>34</xdr:row>
      <xdr:rowOff>342863</xdr:rowOff>
    </xdr:to>
    <xdr:pic>
      <xdr:nvPicPr>
        <xdr:cNvPr id="10" name="Picture 9"/>
        <xdr:cNvPicPr>
          <a:picLocks noChangeAspect="1"/>
        </xdr:cNvPicPr>
      </xdr:nvPicPr>
      <xdr:blipFill>
        <a:blip xmlns:r="http://schemas.openxmlformats.org/officeDocument/2006/relationships" r:embed="rId9"/>
        <a:stretch>
          <a:fillRect/>
        </a:stretch>
      </xdr:blipFill>
      <xdr:spPr>
        <a:xfrm>
          <a:off x="3619500" y="13487400"/>
          <a:ext cx="561905" cy="295238"/>
        </a:xfrm>
        <a:prstGeom prst="rect">
          <a:avLst/>
        </a:prstGeom>
      </xdr:spPr>
    </xdr:pic>
    <xdr:clientData/>
  </xdr:twoCellAnchor>
  <xdr:twoCellAnchor editAs="oneCell">
    <xdr:from>
      <xdr:col>3</xdr:col>
      <xdr:colOff>38100</xdr:colOff>
      <xdr:row>34</xdr:row>
      <xdr:rowOff>14681</xdr:rowOff>
    </xdr:from>
    <xdr:to>
      <xdr:col>3</xdr:col>
      <xdr:colOff>1171575</xdr:colOff>
      <xdr:row>34</xdr:row>
      <xdr:rowOff>323811</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4676775" y="13454456"/>
          <a:ext cx="1133475" cy="309130"/>
        </a:xfrm>
        <a:prstGeom prst="rect">
          <a:avLst/>
        </a:prstGeom>
      </xdr:spPr>
    </xdr:pic>
    <xdr:clientData/>
  </xdr:twoCellAnchor>
  <xdr:twoCellAnchor editAs="oneCell">
    <xdr:from>
      <xdr:col>0</xdr:col>
      <xdr:colOff>333375</xdr:colOff>
      <xdr:row>35</xdr:row>
      <xdr:rowOff>47625</xdr:rowOff>
    </xdr:from>
    <xdr:to>
      <xdr:col>1</xdr:col>
      <xdr:colOff>3600450</xdr:colOff>
      <xdr:row>35</xdr:row>
      <xdr:rowOff>400006</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333375" y="16535400"/>
          <a:ext cx="3667125" cy="352381"/>
        </a:xfrm>
        <a:prstGeom prst="rect">
          <a:avLst/>
        </a:prstGeom>
      </xdr:spPr>
    </xdr:pic>
    <xdr:clientData/>
  </xdr:twoCellAnchor>
  <xdr:twoCellAnchor editAs="oneCell">
    <xdr:from>
      <xdr:col>2</xdr:col>
      <xdr:colOff>85725</xdr:colOff>
      <xdr:row>41</xdr:row>
      <xdr:rowOff>47625</xdr:rowOff>
    </xdr:from>
    <xdr:to>
      <xdr:col>2</xdr:col>
      <xdr:colOff>628582</xdr:colOff>
      <xdr:row>41</xdr:row>
      <xdr:rowOff>342863</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3676650" y="16221075"/>
          <a:ext cx="542857" cy="295238"/>
        </a:xfrm>
        <a:prstGeom prst="rect">
          <a:avLst/>
        </a:prstGeom>
      </xdr:spPr>
    </xdr:pic>
    <xdr:clientData/>
  </xdr:twoCellAnchor>
  <xdr:twoCellAnchor editAs="oneCell">
    <xdr:from>
      <xdr:col>3</xdr:col>
      <xdr:colOff>47625</xdr:colOff>
      <xdr:row>41</xdr:row>
      <xdr:rowOff>28575</xdr:rowOff>
    </xdr:from>
    <xdr:to>
      <xdr:col>3</xdr:col>
      <xdr:colOff>1190482</xdr:colOff>
      <xdr:row>41</xdr:row>
      <xdr:rowOff>361908</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4686300" y="16202025"/>
          <a:ext cx="1142857" cy="333333"/>
        </a:xfrm>
        <a:prstGeom prst="rect">
          <a:avLst/>
        </a:prstGeom>
      </xdr:spPr>
    </xdr:pic>
    <xdr:clientData/>
  </xdr:twoCellAnchor>
  <xdr:twoCellAnchor editAs="oneCell">
    <xdr:from>
      <xdr:col>1</xdr:col>
      <xdr:colOff>228600</xdr:colOff>
      <xdr:row>42</xdr:row>
      <xdr:rowOff>85725</xdr:rowOff>
    </xdr:from>
    <xdr:to>
      <xdr:col>1</xdr:col>
      <xdr:colOff>3819076</xdr:colOff>
      <xdr:row>42</xdr:row>
      <xdr:rowOff>390487</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628650" y="19088100"/>
          <a:ext cx="3590476" cy="304762"/>
        </a:xfrm>
        <a:prstGeom prst="rect">
          <a:avLst/>
        </a:prstGeom>
      </xdr:spPr>
    </xdr:pic>
    <xdr:clientData/>
  </xdr:twoCellAnchor>
  <xdr:twoCellAnchor editAs="oneCell">
    <xdr:from>
      <xdr:col>3</xdr:col>
      <xdr:colOff>28575</xdr:colOff>
      <xdr:row>48</xdr:row>
      <xdr:rowOff>57150</xdr:rowOff>
    </xdr:from>
    <xdr:to>
      <xdr:col>3</xdr:col>
      <xdr:colOff>1161908</xdr:colOff>
      <xdr:row>48</xdr:row>
      <xdr:rowOff>342864</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4667250" y="18392775"/>
          <a:ext cx="1133333" cy="285714"/>
        </a:xfrm>
        <a:prstGeom prst="rect">
          <a:avLst/>
        </a:prstGeom>
      </xdr:spPr>
    </xdr:pic>
    <xdr:clientData/>
  </xdr:twoCellAnchor>
  <xdr:twoCellAnchor editAs="oneCell">
    <xdr:from>
      <xdr:col>2</xdr:col>
      <xdr:colOff>57150</xdr:colOff>
      <xdr:row>48</xdr:row>
      <xdr:rowOff>66675</xdr:rowOff>
    </xdr:from>
    <xdr:to>
      <xdr:col>2</xdr:col>
      <xdr:colOff>609531</xdr:colOff>
      <xdr:row>48</xdr:row>
      <xdr:rowOff>361913</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3648075" y="18402300"/>
          <a:ext cx="552381" cy="295238"/>
        </a:xfrm>
        <a:prstGeom prst="rect">
          <a:avLst/>
        </a:prstGeom>
      </xdr:spPr>
    </xdr:pic>
    <xdr:clientData/>
  </xdr:twoCellAnchor>
  <xdr:twoCellAnchor editAs="oneCell">
    <xdr:from>
      <xdr:col>0</xdr:col>
      <xdr:colOff>85725</xdr:colOff>
      <xdr:row>49</xdr:row>
      <xdr:rowOff>57150</xdr:rowOff>
    </xdr:from>
    <xdr:to>
      <xdr:col>1</xdr:col>
      <xdr:colOff>3285675</xdr:colOff>
      <xdr:row>49</xdr:row>
      <xdr:rowOff>371436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85725" y="21993225"/>
          <a:ext cx="3600000" cy="314286"/>
        </a:xfrm>
        <a:prstGeom prst="rect">
          <a:avLst/>
        </a:prstGeom>
      </xdr:spPr>
    </xdr:pic>
    <xdr:clientData/>
  </xdr:twoCellAnchor>
  <xdr:twoCellAnchor editAs="oneCell">
    <xdr:from>
      <xdr:col>3</xdr:col>
      <xdr:colOff>66675</xdr:colOff>
      <xdr:row>53</xdr:row>
      <xdr:rowOff>76200</xdr:rowOff>
    </xdr:from>
    <xdr:to>
      <xdr:col>3</xdr:col>
      <xdr:colOff>1238104</xdr:colOff>
      <xdr:row>53</xdr:row>
      <xdr:rowOff>371438</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6296025" y="24107775"/>
          <a:ext cx="1171429" cy="295238"/>
        </a:xfrm>
        <a:prstGeom prst="rect">
          <a:avLst/>
        </a:prstGeom>
      </xdr:spPr>
    </xdr:pic>
    <xdr:clientData/>
  </xdr:twoCellAnchor>
  <xdr:twoCellAnchor editAs="oneCell">
    <xdr:from>
      <xdr:col>2</xdr:col>
      <xdr:colOff>19050</xdr:colOff>
      <xdr:row>53</xdr:row>
      <xdr:rowOff>47625</xdr:rowOff>
    </xdr:from>
    <xdr:to>
      <xdr:col>2</xdr:col>
      <xdr:colOff>561907</xdr:colOff>
      <xdr:row>53</xdr:row>
      <xdr:rowOff>361911</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3609975" y="20507325"/>
          <a:ext cx="542857" cy="314286"/>
        </a:xfrm>
        <a:prstGeom prst="rect">
          <a:avLst/>
        </a:prstGeom>
      </xdr:spPr>
    </xdr:pic>
    <xdr:clientData/>
  </xdr:twoCellAnchor>
  <xdr:twoCellAnchor editAs="oneCell">
    <xdr:from>
      <xdr:col>0</xdr:col>
      <xdr:colOff>76200</xdr:colOff>
      <xdr:row>54</xdr:row>
      <xdr:rowOff>57150</xdr:rowOff>
    </xdr:from>
    <xdr:to>
      <xdr:col>1</xdr:col>
      <xdr:colOff>3276150</xdr:colOff>
      <xdr:row>54</xdr:row>
      <xdr:rowOff>380960</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76200" y="24088725"/>
          <a:ext cx="3600000" cy="323810"/>
        </a:xfrm>
        <a:prstGeom prst="rect">
          <a:avLst/>
        </a:prstGeom>
      </xdr:spPr>
    </xdr:pic>
    <xdr:clientData/>
  </xdr:twoCellAnchor>
  <xdr:twoCellAnchor editAs="oneCell">
    <xdr:from>
      <xdr:col>3</xdr:col>
      <xdr:colOff>38100</xdr:colOff>
      <xdr:row>61</xdr:row>
      <xdr:rowOff>47625</xdr:rowOff>
    </xdr:from>
    <xdr:to>
      <xdr:col>3</xdr:col>
      <xdr:colOff>1180957</xdr:colOff>
      <xdr:row>61</xdr:row>
      <xdr:rowOff>352387</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4676775" y="22564725"/>
          <a:ext cx="1142857" cy="304762"/>
        </a:xfrm>
        <a:prstGeom prst="rect">
          <a:avLst/>
        </a:prstGeom>
      </xdr:spPr>
    </xdr:pic>
    <xdr:clientData/>
  </xdr:twoCellAnchor>
  <xdr:twoCellAnchor editAs="oneCell">
    <xdr:from>
      <xdr:col>2</xdr:col>
      <xdr:colOff>9525</xdr:colOff>
      <xdr:row>61</xdr:row>
      <xdr:rowOff>57150</xdr:rowOff>
    </xdr:from>
    <xdr:to>
      <xdr:col>2</xdr:col>
      <xdr:colOff>561906</xdr:colOff>
      <xdr:row>61</xdr:row>
      <xdr:rowOff>352388</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3600450" y="22574250"/>
          <a:ext cx="552381" cy="295238"/>
        </a:xfrm>
        <a:prstGeom prst="rect">
          <a:avLst/>
        </a:prstGeom>
      </xdr:spPr>
    </xdr:pic>
    <xdr:clientData/>
  </xdr:twoCellAnchor>
  <xdr:twoCellAnchor editAs="oneCell">
    <xdr:from>
      <xdr:col>3</xdr:col>
      <xdr:colOff>38100</xdr:colOff>
      <xdr:row>67</xdr:row>
      <xdr:rowOff>57150</xdr:rowOff>
    </xdr:from>
    <xdr:to>
      <xdr:col>3</xdr:col>
      <xdr:colOff>1171433</xdr:colOff>
      <xdr:row>67</xdr:row>
      <xdr:rowOff>333340</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4676775" y="24022050"/>
          <a:ext cx="1133333" cy="276190"/>
        </a:xfrm>
        <a:prstGeom prst="rect">
          <a:avLst/>
        </a:prstGeom>
      </xdr:spPr>
    </xdr:pic>
    <xdr:clientData/>
  </xdr:twoCellAnchor>
  <xdr:twoCellAnchor editAs="oneCell">
    <xdr:from>
      <xdr:col>2</xdr:col>
      <xdr:colOff>28575</xdr:colOff>
      <xdr:row>67</xdr:row>
      <xdr:rowOff>47625</xdr:rowOff>
    </xdr:from>
    <xdr:to>
      <xdr:col>2</xdr:col>
      <xdr:colOff>571432</xdr:colOff>
      <xdr:row>67</xdr:row>
      <xdr:rowOff>342863</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3619500" y="24012525"/>
          <a:ext cx="542857" cy="295238"/>
        </a:xfrm>
        <a:prstGeom prst="rect">
          <a:avLst/>
        </a:prstGeom>
      </xdr:spPr>
    </xdr:pic>
    <xdr:clientData/>
  </xdr:twoCellAnchor>
  <xdr:twoCellAnchor editAs="oneCell">
    <xdr:from>
      <xdr:col>1</xdr:col>
      <xdr:colOff>762000</xdr:colOff>
      <xdr:row>68</xdr:row>
      <xdr:rowOff>38100</xdr:rowOff>
    </xdr:from>
    <xdr:to>
      <xdr:col>2</xdr:col>
      <xdr:colOff>237671</xdr:colOff>
      <xdr:row>68</xdr:row>
      <xdr:rowOff>352386</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104900" y="24412575"/>
          <a:ext cx="3628571" cy="314286"/>
        </a:xfrm>
        <a:prstGeom prst="rect">
          <a:avLst/>
        </a:prstGeom>
      </xdr:spPr>
    </xdr:pic>
    <xdr:clientData/>
  </xdr:twoCellAnchor>
  <xdr:twoCellAnchor editAs="oneCell">
    <xdr:from>
      <xdr:col>1</xdr:col>
      <xdr:colOff>3076575</xdr:colOff>
      <xdr:row>71</xdr:row>
      <xdr:rowOff>57150</xdr:rowOff>
    </xdr:from>
    <xdr:to>
      <xdr:col>1</xdr:col>
      <xdr:colOff>3733718</xdr:colOff>
      <xdr:row>71</xdr:row>
      <xdr:rowOff>314293</xdr:rowOff>
    </xdr:to>
    <xdr:pic>
      <xdr:nvPicPr>
        <xdr:cNvPr id="32" name="Picture 31"/>
        <xdr:cNvPicPr>
          <a:picLocks noChangeAspect="1"/>
        </xdr:cNvPicPr>
      </xdr:nvPicPr>
      <xdr:blipFill>
        <a:blip xmlns:r="http://schemas.openxmlformats.org/officeDocument/2006/relationships" r:embed="rId5"/>
        <a:stretch>
          <a:fillRect/>
        </a:stretch>
      </xdr:blipFill>
      <xdr:spPr>
        <a:xfrm>
          <a:off x="3476625" y="31699200"/>
          <a:ext cx="657143" cy="257143"/>
        </a:xfrm>
        <a:prstGeom prst="rect">
          <a:avLst/>
        </a:prstGeom>
      </xdr:spPr>
    </xdr:pic>
    <xdr:clientData/>
  </xdr:twoCellAnchor>
  <xdr:twoCellAnchor editAs="oneCell">
    <xdr:from>
      <xdr:col>1</xdr:col>
      <xdr:colOff>485775</xdr:colOff>
      <xdr:row>70</xdr:row>
      <xdr:rowOff>85725</xdr:rowOff>
    </xdr:from>
    <xdr:to>
      <xdr:col>1</xdr:col>
      <xdr:colOff>3590924</xdr:colOff>
      <xdr:row>70</xdr:row>
      <xdr:rowOff>752476</xdr:rowOff>
    </xdr:to>
    <xdr:pic>
      <xdr:nvPicPr>
        <xdr:cNvPr id="33" name="Picture 32"/>
        <xdr:cNvPicPr>
          <a:picLocks noChangeAspect="1"/>
        </xdr:cNvPicPr>
      </xdr:nvPicPr>
      <xdr:blipFill>
        <a:blip xmlns:r="http://schemas.openxmlformats.org/officeDocument/2006/relationships" r:embed="rId4"/>
        <a:stretch>
          <a:fillRect/>
        </a:stretch>
      </xdr:blipFill>
      <xdr:spPr>
        <a:xfrm>
          <a:off x="885825" y="30822900"/>
          <a:ext cx="3105149" cy="6667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GRADING%20FORMAT%20NEW%20FOR%20AUTONOMUS%2009-09-2022%20(2)%20(Recover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GRADING%20FORMAT%20NEW%20FOR%20UNIVERSITY%2009-09-2022%20(2)%20(Recover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GRADING%20FORMAT%20NEW%20FOR%20UNIVERSITY%2009-09-2022%20(2)%20(Recovere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Author" refreshedDate="44819.573451736112" createdVersion="6" refreshedVersion="6" minRefreshableVersion="3" recordCount="35">
  <cacheSource type="worksheet">
    <worksheetSource ref="C2:I37" sheet="Ql (35m)" r:id="rId2"/>
  </cacheSource>
  <cacheFields count="7">
    <cacheField name="Key_x000a_Indicator_x000a_ (KI)" numFmtId="0">
      <sharedItems count="23">
        <s v="1.1 Curriculum Planning and Implementation"/>
        <s v="1.3 Curriculum Enrichment"/>
        <s v="2.2 Catering to Student Diversity"/>
        <s v="2.3 Teaching-Learning Process"/>
        <s v="2.5 Evaluation Process and Reforms"/>
        <s v="2.6 Student Performance and Learning Outcomes"/>
        <s v="3.1 Promotion of Research and Facilities"/>
        <s v="3.3 Innovation Ecosystem"/>
        <s v="3.6 Extension Activities"/>
        <s v="4.1 Physical Facilities"/>
        <s v="4.2 Library as a Learning Resource"/>
        <s v="4.3 IT Infrastructure"/>
        <s v="4.4 Maintenance of Campus Infrastructure"/>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4" maxValue="40"/>
    </cacheField>
    <cacheField name="©_x000a_Wt" numFmtId="0">
      <sharedItems containsString="0" containsBlank="1" containsNumber="1" containsInteger="1" minValue="15" maxValue="1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4820.688441782404" createdVersion="6" refreshedVersion="6" minRefreshableVersion="3" recordCount="115">
  <cacheSource type="worksheet">
    <worksheetSource ref="A2:K117" sheet="University 115m" r:id="rId2"/>
  </cacheSource>
  <cacheFields count="11">
    <cacheField name="S._x000a_No" numFmtId="0">
      <sharedItems containsSemiMixedTypes="0" containsString="0" containsNumber="1" containsInteger="1" minValue="1" maxValue="115"/>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34">
        <s v="1.1 Curriculum Planning and Implementation"/>
        <s v="1.2 Academic Flexibility"/>
        <s v="1.3 Curriculum Enrichment"/>
        <s v="1.4 Feedback System"/>
        <s v="2.1 Student Enrolment and Profile"/>
        <s v="2.2 Catering to Student Diversity"/>
        <s v="2.3 Teaching-Learning Process"/>
        <s v="2.4 Teacher Profile and Quality"/>
        <s v="2.5 Evaluation Process and Reforms"/>
        <s v="2.6 Student Performance and Learning Outcomes"/>
        <s v="2.7 Student Satisfaction Survey"/>
        <s v="3.1 Promotion of Research and Facilities"/>
        <s v="3.2 Resource Mobilization for Research"/>
        <s v="3.3 Innovation Ecosystem"/>
        <s v="3.4 Research Publications and Awards"/>
        <s v="3.5 Consultancy"/>
        <s v="3.6 Extension Activities"/>
        <s v="3.7 Collaboration"/>
        <s v="4.1 Physical Facilities"/>
        <s v="4.2 Library as a Learning Resource"/>
        <s v="4.3 IT Infrastructure"/>
        <s v="4.4 Maintenance of Campus Infrastructure"/>
        <s v="5.1 Student Support"/>
        <s v="5.2 Student Progression"/>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ount="2">
        <s v="QlM"/>
        <s v="QnM"/>
      </sharedItems>
    </cacheField>
    <cacheField name="Metric_x000a_(M)_x000a_Num" numFmtId="0">
      <sharedItems count="115">
        <s v="1.1.1"/>
        <s v="1.1.2"/>
        <s v="1.1.3"/>
        <s v="1.2.1"/>
        <s v="1.2.2"/>
        <s v="1.3.1"/>
        <s v="1.3.2"/>
        <s v="1.3.3"/>
        <s v="1.3.4"/>
        <s v="1.4.1"/>
        <s v="1.4.2"/>
        <s v="2.1.1"/>
        <s v="2.1.2"/>
        <s v="2.2.1"/>
        <s v="2.2.2"/>
        <s v="2.3.1"/>
        <s v="2.3.2"/>
        <s v="2.3.3"/>
        <s v="2.4.1"/>
        <s v="2.4.2"/>
        <s v="2.4.3"/>
        <s v="2.4.4"/>
        <s v="2.5.1"/>
        <s v="2.5.2"/>
        <s v="2.5.3"/>
        <s v="2.5.4"/>
        <s v="2.6.1"/>
        <s v="2.6.2"/>
        <s v="2.6.3"/>
        <s v="2.7.1"/>
        <s v="3.1.1"/>
        <s v="3.1.2"/>
        <s v="3.1.3"/>
        <s v="3.1.4"/>
        <s v="3.1.5"/>
        <s v="3.1.6"/>
        <s v="3.2.1"/>
        <s v="3.2.2"/>
        <s v="3.2.3"/>
        <s v="3.3.1"/>
        <s v="3.3.2"/>
        <s v="3.3.3"/>
        <s v="3.4.1"/>
        <s v="3.4.2"/>
        <s v="3.4.3"/>
        <s v="3.4.4"/>
        <s v="3.4.5"/>
        <s v="3.4.6"/>
        <s v="3.4.7"/>
        <s v="3.4.8"/>
        <s v="3.4.9"/>
        <s v="3.5.1"/>
        <s v="3.5.2"/>
        <s v="3.6.1"/>
        <s v="3.6.2"/>
        <s v="3.6.3"/>
        <s v="3.6.4"/>
        <s v="3.7.1"/>
        <s v="3.7.2"/>
        <s v="4.1.1"/>
        <s v="4.1.2"/>
        <s v="4.1.3"/>
        <s v="4.1.4"/>
        <s v="4.2.1"/>
        <s v="4.2.2"/>
        <s v="4.2.3"/>
        <s v="4.2.4"/>
        <s v="4.3.1"/>
        <s v="4.3.2"/>
        <s v="4.3.3"/>
        <s v="4.3.4"/>
        <s v="4.3.5"/>
        <s v="4.4.1"/>
        <s v="4.4.2"/>
        <s v="5.1.1"/>
        <s v="5.1.2"/>
        <s v="5.1.3"/>
        <s v="5.1.4"/>
        <s v="5.2.1"/>
        <s v="5.2.2"/>
        <s v="5.2.3"/>
        <s v="5.3.1"/>
        <s v="5.3.2"/>
        <s v="5.3.3"/>
        <s v="5.4.1"/>
        <s v="5.4.2"/>
        <s v="6.1.1"/>
        <s v="6.1.2"/>
        <s v="6.2.1"/>
        <s v="6.2.2"/>
        <s v="6.2.3"/>
        <s v="6.3.1"/>
        <s v="6.3.2"/>
        <s v="6.3.3"/>
        <s v="6.3.4"/>
        <s v="6.4.1"/>
        <s v="6.4.2"/>
        <s v="6.4.3"/>
        <s v="6.4.4"/>
        <s v="6.5.1"/>
        <s v="6.5.2"/>
        <s v="6.5.3"/>
        <s v="7.1.1"/>
        <s v="7.1.2"/>
        <s v="7.1.3"/>
        <s v="7.1.4"/>
        <s v="7.1.5"/>
        <s v="7.1.6"/>
        <s v="7.1.7"/>
        <s v="7.1.8"/>
        <s v="7.1.9"/>
        <s v="7.1.10"/>
        <s v="7.1.11"/>
        <s v="7.2.1"/>
        <s v="7.3.1"/>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10" maxValue="100"/>
    </cacheField>
    <cacheField name="©_x000a_Wt" numFmtId="0">
      <sharedItems containsString="0" containsBlank="1" containsNumber="1" containsInteger="1" minValue="100" maxValue="250"/>
    </cacheField>
    <cacheField name="Institute_x000a_Name" numFmtId="0">
      <sharedItems containsBlank="1" containsMixedTypes="1" containsNumber="1" minValue="0" maxValue="35019"/>
    </cacheField>
    <cacheField name="Metric_x000a_Grade_x000a_scale_x000a_(0-4)" numFmtId="0">
      <sharedItems containsBlank="1" containsMixedTypes="1"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4820.831800462962" createdVersion="6" refreshedVersion="6" minRefreshableVersion="3" recordCount="79">
  <cacheSource type="worksheet">
    <worksheetSource ref="A2:K81" sheet="Qn (79m)" r:id="rId2"/>
  </cacheSource>
  <cacheFields count="11">
    <cacheField name="S._x000a_No" numFmtId="0">
      <sharedItems containsSemiMixedTypes="0" containsString="0" containsNumber="1" containsInteger="1" minValue="1" maxValue="79"/>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31">
        <s v="1.1 Curriculum Planning and Implementation"/>
        <s v="1.2 Academic Flexibility"/>
        <s v="1.3 Curriculum Enrichment"/>
        <s v="1.4 Feedback System"/>
        <s v="2.1 Student Enrolment and Profile"/>
        <s v="2.2 Catering to Student Diversity"/>
        <s v="2.3 Teaching-Learning Process"/>
        <s v="2.4 Teacher Profile and Quality"/>
        <s v="2.5 Evaluation Process and Reforms"/>
        <s v="2.6 Student Performance and Learning Outcomes"/>
        <s v="2.7 Student Satisfaction Survey"/>
        <s v="3.1 Promotion of Research and Facilities"/>
        <s v="3.2 Resource Mobilization for Research"/>
        <s v="3.3 Innovation Ecosystem"/>
        <s v="3.4 Research Publications and Awards"/>
        <s v="3.5 Consultancy"/>
        <s v="3.6 Extension Activities"/>
        <s v="3.7 Collaboration"/>
        <s v="4.1 Physical Facilities"/>
        <s v="4.2 Library as a Learning Resource"/>
        <s v="4.3 IT Infrastructure"/>
        <s v="4.4 Maintenance of Campus Infrastructure"/>
        <s v="5.1 Student Support"/>
        <s v="5.2 Student Progression"/>
        <s v="5.3 Student Participation and Activities"/>
        <s v="5.4 Alumni Engagement"/>
        <s v="6.2 Strategy Development and Deployment"/>
        <s v="6.3 Faculty Empowerment Strategies"/>
        <s v="6.4 Financial Management and Resource Mobilization"/>
        <s v="6.5 Internal Quality Assurance System (IQAS)"/>
        <s v="7.1 Institutional Values and Social Responsibilities"/>
      </sharedItems>
    </cacheField>
    <cacheField name="Metric_x000a_(M)_x000a_Type" numFmtId="0">
      <sharedItems/>
    </cacheField>
    <cacheField name="Metric_x000a_(M)_x000a_Num" numFmtId="0">
      <sharedItems count="79">
        <s v="1.1.2"/>
        <s v="1.1.3"/>
        <s v="1.2.1"/>
        <s v="1.2.2"/>
        <s v="1.3.2"/>
        <s v="1.3.3"/>
        <s v="1.3.4"/>
        <s v="1.4.1"/>
        <s v="1.4.2"/>
        <s v="2.1.1"/>
        <s v="2.1.2"/>
        <s v="2.2.2"/>
        <s v="2.3.3"/>
        <s v="2.4.1"/>
        <s v="2.4.2"/>
        <s v="2.4.3"/>
        <s v="2.4.4"/>
        <s v="2.5.1"/>
        <s v="2.5.2"/>
        <s v="2.5.4"/>
        <s v="2.6.3"/>
        <s v="2.7.1"/>
        <s v="3.1.2"/>
        <s v="3.1.3"/>
        <s v="3.1.4"/>
        <s v="3.1.5"/>
        <s v="3.1.6"/>
        <s v="3.2.1"/>
        <s v="3.2.2"/>
        <s v="3.2.3"/>
        <s v="3.3.2"/>
        <s v="3.3.3"/>
        <s v="3.4.1"/>
        <s v="3.4.2"/>
        <s v="3.4.3"/>
        <s v="3.4.4"/>
        <s v="3.4.5"/>
        <s v="3.4.6"/>
        <s v="3.4.7"/>
        <s v="3.4.8"/>
        <s v="3.4.9"/>
        <s v="3.5.2"/>
        <s v="3.6.2"/>
        <s v="3.6.3"/>
        <s v="3.6.4"/>
        <s v="3.7.1"/>
        <s v="3.7.2"/>
        <s v="4.1.4"/>
        <s v="4.2.2"/>
        <s v="4.2.3"/>
        <s v="4.2.4"/>
        <s v="4.3.1"/>
        <s v="4.3.3"/>
        <s v="4.3.4"/>
        <s v="4.3.5"/>
        <s v="4.4.1"/>
        <s v="5.1.1"/>
        <s v="5.1.2"/>
        <s v="5.1.3"/>
        <s v="5.1.4"/>
        <s v="5.2.1"/>
        <s v="5.2.2"/>
        <s v="5.2.3"/>
        <s v="5.3.1"/>
        <s v="5.3.3"/>
        <s v="5.4.2"/>
        <s v="6.2.3"/>
        <s v="6.3.2"/>
        <s v="6.3.3"/>
        <s v="6.3.4"/>
        <s v="6.4.2"/>
        <s v="6.4.3"/>
        <s v="6.5.2"/>
        <s v="7.1.2"/>
        <s v="7.1.4"/>
        <s v="7.1.5"/>
        <s v="7.1.6"/>
        <s v="7.1.7"/>
        <s v="7.1.10"/>
      </sharedItems>
    </cacheField>
    <cacheField name="Metric (M) Description" numFmtId="0">
      <sharedItems longText="1"/>
    </cacheField>
    <cacheField name="M_x000a_Wt" numFmtId="0">
      <sharedItems containsSemiMixedTypes="0" containsString="0" containsNumber="1" containsInteger="1" minValue="3" maxValue="30"/>
    </cacheField>
    <cacheField name="KI_x000a_Wt" numFmtId="0">
      <sharedItems containsString="0" containsBlank="1" containsNumber="1" containsInteger="1" minValue="5" maxValue="100"/>
    </cacheField>
    <cacheField name="©_x000a_Wt" numFmtId="0">
      <sharedItems containsString="0" containsBlank="1" containsNumber="1" containsInteger="1" minValue="27" maxValue="227"/>
    </cacheField>
    <cacheField name="Institute_x000a_Name" numFmtId="0">
      <sharedItems containsMixedTypes="1" containsNumber="1" minValue="0" maxValue="35019"/>
    </cacheField>
    <cacheField name="Metric_x000a_Grade_x000a_scale_x000a_(0-4)" numFmtId="0">
      <sharedItems containsSemiMixedTypes="0" containsString="0" containsNumber="1" containsInteger="1" minValue="0" maxValue="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4821.540592708334" createdVersion="6" refreshedVersion="6" minRefreshableVersion="3" recordCount="36">
  <cacheSource type="worksheet">
    <worksheetSource ref="A2:K38" sheet="Ql (36m)"/>
  </cacheSource>
  <cacheFields count="11">
    <cacheField name="S._x000a_No" numFmtId="0">
      <sharedItems containsSemiMixedTypes="0" containsString="0" containsNumber="1" containsInteger="1" minValue="1" maxValue="36"/>
    </cacheField>
    <cacheField name="Criteria_x000a_©" numFmtId="0">
      <sharedItems count="7">
        <s v="1. Curricular Aspects"/>
        <s v="2. Teaching-Learning and Evaluation"/>
        <s v="3. Research, Innovations and Extension"/>
        <s v="4. Infrastructure and Learning Resources"/>
        <s v="5. Student Support and Progression"/>
        <s v="6. Governance, Leadership and Management"/>
        <s v="7. Institutional Values and Best Practices"/>
      </sharedItems>
    </cacheField>
    <cacheField name="Key_x000a_Indicator_x000a_ (KI)" numFmtId="0">
      <sharedItems count="24">
        <s v="1.1 Curriculum Planning and Implementation"/>
        <s v="1.3 Curriculum Enrichment"/>
        <s v="2.2 Catering to Student Diversity"/>
        <s v="2.3 Teaching-Learning Process"/>
        <s v="2.5 Evaluation Process and Reforms"/>
        <s v="2.6 Student Performance and Learning Outcomes"/>
        <s v="3.1 Promotion of Research and Facilities"/>
        <s v="3.2 Resource Mobilization for Research"/>
        <s v="3.5 Consultancy"/>
        <s v="3.6 Extension Activities"/>
        <s v="4.1 Physical Facilities"/>
        <s v="4.2 Library as a Learning Resource"/>
        <s v="4.3 IT Infrastructure"/>
        <s v="4.4 Maintenance of Campus Infrastructure"/>
        <s v="5.3 Student Participation and Activities"/>
        <s v="5.4 Alumni Engagement"/>
        <s v="6.1 Institutional Vision and Leadership"/>
        <s v="6.2 Strategy Development and Deployment"/>
        <s v="6.3 Faculty Empowerment Strategies"/>
        <s v="6.4 Financial Management and Resource Mobilization"/>
        <s v="6.5 Internal Quality Assurance System (IQAS)"/>
        <s v="7.1 Institutional Values and Social Responsibilities"/>
        <s v="7.2 Best Practices"/>
        <s v="7.3 Institutional Distinctiveness"/>
      </sharedItems>
    </cacheField>
    <cacheField name="Metric_x000a_(M)_x000a_Type" numFmtId="0">
      <sharedItems/>
    </cacheField>
    <cacheField name="Metric_x000a_(M)_x000a_Num" numFmtId="0">
      <sharedItems count="36">
        <s v="1.1.1"/>
        <s v="1.3.1"/>
        <s v="2.2.1"/>
        <s v="2.3.1"/>
        <s v="2.3.2"/>
        <s v="2.5.3"/>
        <s v="2.6.1"/>
        <s v="2.6.2"/>
        <s v="3.1.1"/>
        <s v="3.3.1"/>
        <s v="3.5.1"/>
        <s v="3.6.1"/>
        <s v="4.1.1"/>
        <s v="4.1.2"/>
        <s v="4.1.3"/>
        <s v="4.2.1"/>
        <s v="4.3.2"/>
        <s v="4.4.2"/>
        <s v="5.3.2"/>
        <s v="5.4.1"/>
        <s v="6.1.1"/>
        <s v="6.1.2"/>
        <s v="6.2.1"/>
        <s v="6.2.2"/>
        <s v="6.3.1"/>
        <s v="6.4.1"/>
        <s v="6.4.4"/>
        <s v="6.5.1"/>
        <s v="6.5.3"/>
        <s v="7.1.1"/>
        <s v="7.1.3"/>
        <s v="7.1.8"/>
        <s v="7.1.9"/>
        <s v="7.1.11"/>
        <s v="7.2.1"/>
        <s v="7.3.1"/>
      </sharedItems>
    </cacheField>
    <cacheField name="Metric (M) Description" numFmtId="0">
      <sharedItems longText="1"/>
    </cacheField>
    <cacheField name="M_x000a_Wt" numFmtId="0">
      <sharedItems containsSemiMixedTypes="0" containsString="0" containsNumber="1" containsInteger="1" minValue="2" maxValue="30"/>
    </cacheField>
    <cacheField name="KI_x000a_Wt" numFmtId="0">
      <sharedItems containsString="0" containsBlank="1" containsNumber="1" containsInteger="1" minValue="2" maxValue="30"/>
    </cacheField>
    <cacheField name="©_x000a_Wt" numFmtId="0">
      <sharedItems containsString="0" containsBlank="1" containsNumber="1" containsInteger="1" minValue="15" maxValue="73"/>
    </cacheField>
    <cacheField name="Institute_x000a_Name" numFmtId="1">
      <sharedItems containsNonDate="0" containsString="0" containsBlank="1"/>
    </cacheField>
    <cacheField name="Metric_x000a_Grade_x000a_scale_x000a_(0-4)"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5">
  <r>
    <x v="0"/>
    <s v="QlM"/>
    <s v="1.1.1"/>
    <s v="Curricula developed and implemented have relevance to the local, national, regional and global developmental needs which is reflected in Programme outcomes (POs), Programme Specific outcomes (PSOs) and Course Outcomes (COs) of the Programmes offered by the Institution _x000a__x000a_Write description in maximum of 500 words _x000a_"/>
    <n v="20"/>
    <n v="30"/>
    <n v="30"/>
  </r>
  <r>
    <x v="1"/>
    <s v="QlM"/>
    <s v="1.3.1"/>
    <s v="Institution integrates crosscutting issues relevant to Professional Ethics, Gender, Human Values, Environment and Sustainability, Human Values into the Curriculum _x000a_Write description in maximum of 500 words_x000a_ "/>
    <n v="10"/>
    <m/>
    <m/>
  </r>
  <r>
    <x v="2"/>
    <s v="QlM"/>
    <s v="2.2.1"/>
    <s v="The institution assesses the learning levels of the students and organises special Programmes for advanced learners and slow learners._x000a_Write description in of 500 words _x000a_"/>
    <n v="15"/>
    <n v="15"/>
    <n v="100"/>
  </r>
  <r>
    <x v="3"/>
    <s v="QlM"/>
    <s v="2.3.1"/>
    <s v="Student centric methods, such as experiential learning, participative learning and problem solving methodologies are used for enhancing learning experiences _x000a_Write description in maximum of 500 words "/>
    <n v="15"/>
    <n v="40"/>
    <m/>
  </r>
  <r>
    <x v="3"/>
    <s v="QlM"/>
    <s v="2.3.2"/>
    <s v="Teachers use ICT enabled tools including online resources for effective teaching and learning process _x000a_Write description in maximum of 500 words "/>
    <n v="15"/>
    <m/>
    <m/>
  </r>
  <r>
    <x v="3"/>
    <s v="QlM"/>
    <s v="2.3.4"/>
    <s v="Preparation and adherence of Academic Calendar and Teaching plans by the institution _x000a_Describe the Preparation and adherence to Academic Calendar and Teaching plans by the institution within the minimum of 500 Characters and maximum of 500 words."/>
    <n v="10"/>
    <m/>
    <m/>
  </r>
  <r>
    <x v="4"/>
    <s v="QlM"/>
    <s v="2.5.3"/>
    <s v="IT integration and reforms in the examination procedures and processes including Continuous Internal Assessment (CIA) have brought in considerable improvement in Examination Management System (EMS) of the Institution _x000a__x000a_Describe the examination reforms with reference to the following within a minimum of 500 words and maximum 1000 words:  _x000a_"/>
    <n v="15"/>
    <n v="15"/>
    <m/>
  </r>
  <r>
    <x v="5"/>
    <s v="QlM"/>
    <s v="2.6.1"/>
    <s v="Programme outcomes and course outcomes for all Programmes offered by the institution are stated and displayed on website and communicated to teachers and students _x000a_Describe Course Outcomes (COs) for all courses and mechanism of communication within a maximum of 500 words _x000a_"/>
    <n v="20"/>
    <n v="30"/>
    <m/>
  </r>
  <r>
    <x v="5"/>
    <s v="QlM"/>
    <s v="2.6.2"/>
    <s v="Attainment of program outcomes and course outcomes are evaluated by the institution _x000a_Describe the method of measuring attainment of POs , PSOs and COs in not more than 500 words and the level of attainment of POs , PSOs and COs. "/>
    <n v="10"/>
    <m/>
    <m/>
  </r>
  <r>
    <x v="6"/>
    <s v="QlM"/>
    <s v="3.1.1"/>
    <s v="The institution Research facilities are frequently updated and there is well defined policy for promotion of research which is uploaded on the institutional website and implemented _x000a_Write description in maximum of 500 words "/>
    <n v="6"/>
    <n v="6"/>
    <n v="21"/>
  </r>
  <r>
    <x v="7"/>
    <s v="QlM"/>
    <s v="3.3.1"/>
    <s v="Institution has created an eco system for innovations, creation and transfer of knowledge supported by dedicated centers for research, entrepreneurship, community orientation, Incubation etc. _x000a__x000a_Write description in maximum of 500 words"/>
    <n v="5"/>
    <n v="5"/>
    <m/>
  </r>
  <r>
    <x v="8"/>
    <s v="QlM"/>
    <s v="3.6.1"/>
    <s v="Extension activities are carried out in the neighbourhood community, sensitising students to social issues, for their holistic development, and impact thereof during the last five years _x000a__x000a_Describe the impact of extension activities in sensitising students to social issues and holistic development within a maximum of 500 words _x000a_"/>
    <n v="10"/>
    <n v="10"/>
    <m/>
  </r>
  <r>
    <x v="9"/>
    <s v="QlM"/>
    <s v="4.1.1"/>
    <s v="The Institution has adequate infrastructure and physical facilities for teaching – learning, viz., classrooms, laboratories, computing equipment, etc. _x000a__x000a_Describe the adequacy of facilities for teaching –learning as per the minimum specified requirement by statutory bodies within a maximum of 500 words _x000a__x000a_"/>
    <n v="6"/>
    <n v="10"/>
    <n v="33"/>
  </r>
  <r>
    <x v="9"/>
    <s v="QlM"/>
    <s v="4.1.2"/>
    <s v="The institution has adequate facilities for cultural activities, yoga, games (indoor, outdoor) and sports. (gymnasium, yoga centre, auditorium, etc.) _x000a__x000a_Describe the adequacy facilities for cultural activities, yoga, games (indoor, outdoor) and sports which include specification about area/size, year of establishment and user rate within minimum of 500 characters and maximum of 500 words_x000a_"/>
    <n v="4"/>
    <m/>
    <m/>
  </r>
  <r>
    <x v="10"/>
    <s v="QlM"/>
    <s v="4.2.1"/>
    <s v="Library is automated using Integrated Library Management System (ILMS) _x000a_"/>
    <n v="5"/>
    <n v="5"/>
    <m/>
  </r>
  <r>
    <x v="11"/>
    <s v="QlM"/>
    <s v="4.3.1"/>
    <s v="Institution has an IT policy covering wi-fi, cyber security, etc., and allocated budget for updating its IT facilities _x000a_Describe IT facilities including Wi-Fi with date and nature of updation within a maximum of 500 words "/>
    <n v="8"/>
    <n v="8"/>
    <m/>
  </r>
  <r>
    <x v="12"/>
    <s v="QlM"/>
    <s v="4.4.2"/>
    <s v="There are established systems and procedures for maintaining and utilizing physical, academic and support facilities – laboratory, library, sports complex, computers, classrooms etc. _x000a__x000a_Describe policy details of systems and procedures for maintaining and utilizing physical, academic and support facilities on the website within a minimum of 500 word and maximum of 1000 words  _x000a_"/>
    <n v="10"/>
    <n v="10"/>
    <m/>
  </r>
  <r>
    <x v="13"/>
    <s v="QlM"/>
    <s v="5.3.2"/>
    <s v="Presence of an active Student Council &amp; representation of students on academic &amp; administrative bodies/committees of the institution _x000a__x000a_Describe the Student Council activity and students role in academic &amp; administrative bodies within a minimum of 500 characters and maximum of 500 words  _x000a_"/>
    <n v="10"/>
    <n v="10"/>
    <n v="15"/>
  </r>
  <r>
    <x v="14"/>
    <s v="QlM"/>
    <s v="5.4.1"/>
    <s v="The Alumni Association/Chapters (registered and functional)contributes significantly to the development of the institution through financial and other support services _x000a__x000a_Describe contribution of alumni association to the institution within a maximum of 500 words _x000a_"/>
    <n v="5"/>
    <n v="5"/>
    <m/>
  </r>
  <r>
    <x v="15"/>
    <s v="QlM"/>
    <s v="6.1.1"/>
    <s v="The governance of the institution is reflective of an effective leadership in tune with the vision and mission of the Institution _x000a__x000a_Describe the vision and mission statement of the institution on the nature of governance, perspective plans and participation of the teachers in the decision making bodies of the institution within a maximum of 500 words. "/>
    <n v="5"/>
    <n v="10"/>
    <n v="50"/>
  </r>
  <r>
    <x v="15"/>
    <s v="QlM"/>
    <s v="6.1.2"/>
    <s v="The effective leadership is reflected in various institutional practices such as decentralization and participative management _x000a__x000a_Upload a case study showing practicing decentralisation and participative management in the institution in not more than 500 words "/>
    <n v="5"/>
    <m/>
    <m/>
  </r>
  <r>
    <x v="16"/>
    <s v="QlM"/>
    <s v="6.2.1"/>
    <s v="The institutional Strategic/ Perspective plan is effectively deployed _x000a__x000a_Describe one activity successfully implemented based on the strategic plan within a maximum of 500 words  _x000a_"/>
    <n v="2"/>
    <n v="6"/>
    <m/>
  </r>
  <r>
    <x v="16"/>
    <s v="QlM"/>
    <s v="6.2.2"/>
    <s v="The functioning of the institutional bodies is effective and efficient as visible from policies, administrative setup appointment and service rules, procedures, etc. _x000a__x000a_Describe the Organogram of the Institution within a maximum of 500 words_x000a_"/>
    <n v="4"/>
    <m/>
    <m/>
  </r>
  <r>
    <x v="17"/>
    <s v="QlM"/>
    <s v="6.3.1"/>
    <s v="The institution has effective welfare measures for teaching and non-teaching staff and avenues for career development/ progression _x000a__x000a_Provide the list of existing welfare measures for teaching and non-teaching staff in maximum of 500 words "/>
    <n v="4"/>
    <n v="4"/>
    <m/>
  </r>
  <r>
    <x v="18"/>
    <s v="QlM"/>
    <s v="6.4.1"/>
    <s v="Institution conducts internal and external financial audits regularly _x000a__x000a_Enumerate the various internal and external financial audits carried out during the last five years with the mechanism for settling audit objections within a maximum of 500 words "/>
    <n v="4"/>
    <n v="10"/>
    <m/>
  </r>
  <r>
    <x v="18"/>
    <s v="QlM"/>
    <s v="6.4.3"/>
    <s v="Institutional strategies for mobilisation of funds and the optimal utilisation of resources _x000a_Describe the resource mobilisation policy and procedures of the Institution within a maximum of 500 words _x000a_"/>
    <n v="6"/>
    <m/>
    <m/>
  </r>
  <r>
    <x v="19"/>
    <s v="QlM"/>
    <s v="6.5.1"/>
    <s v="Internal Quality Assurance Cell (IQAC) has contributed significantly for institutionalizing the quality assurance strategies and processes visible in terms of – _x000a__x000a_Incremental improvements made for the preceding five years with regard to quality (in case of first cycle) _x000a__x000a_Incremental improvements made for the preceding five years with regard to quality and post accreditation quality initiatives (second and subsequent cycles) _x000a__x000a_Describe two practices institutionalized as a result of IQAC initiatives within a maximum of 500 words "/>
    <n v="10"/>
    <n v="20"/>
    <m/>
  </r>
  <r>
    <x v="19"/>
    <s v="QlM"/>
    <s v="6.5.2"/>
    <s v="The institution reviews its teaching learning process, structures &amp; methodologies of operations and learning outcomes at periodic intervals through IQAC set up as per norms _x000a_Describe any two examples of institutional reviews and implementation of teaching learning reforms facilitated by the IQAC within a maximum of 500 words each "/>
    <n v="10"/>
    <m/>
    <m/>
  </r>
  <r>
    <x v="20"/>
    <s v="QlM"/>
    <s v="7.1.1"/>
    <s v="Measures initiated by the Institution for the promotion of gender equity during the last five years. _x000a_Describe gender equity &amp; sensitization in curricular and co-curricular activities, facilities for women on campus etc., within 500 words _x000a__x000a_"/>
    <n v="5"/>
    <n v="23"/>
    <n v="73"/>
  </r>
  <r>
    <x v="20"/>
    <s v="QlM"/>
    <s v="7.1.3"/>
    <s v="Describe the facilities in the Institution for the management of the following types of degradable and non-degradable waste (within 500 words) _x000a_1. Solid waste management _x000a_2. Liquid waste management _x000a_3. Biomedical waste management _x000a_4. E-waste management _x000a_5. Waste recycling system _x000a_6. Hazardous chemicals and radioactive waste management _x000a_"/>
    <n v="4"/>
    <m/>
    <m/>
  </r>
  <r>
    <x v="20"/>
    <s v="QlM"/>
    <s v="7.1.8"/>
    <s v="Describe the Institutional efforts/initiatives in providing an inclusive environment i.e., tolerance and harmony towards cultural, regional, linguistic, communal socioeconomic and other diversities (within 500 words). "/>
    <n v="5"/>
    <m/>
    <m/>
  </r>
  <r>
    <x v="20"/>
    <s v="QlM"/>
    <s v="7.1.9"/>
    <s v="Sensitization of students and employees of the Institution to the constitutional obligations: values, rights, duties and responsibilities of citizens _x000a__x000a_Describe the various activities in the Institution for inculcating values for being responsible citizens as reflected in the Constitution of India within 500 words. "/>
    <n v="4"/>
    <m/>
    <m/>
  </r>
  <r>
    <x v="20"/>
    <s v="QlM"/>
    <s v="7.1.11"/>
    <s v="Institution celebrates / organizes national and international commemorative days, events and festivals _x000a_Describe the efforts of the Institution in celebrating /organizing national and international commemorative days, events and festivals during the last five years within 500 words "/>
    <n v="5"/>
    <m/>
    <m/>
  </r>
  <r>
    <x v="21"/>
    <s v="QlM"/>
    <s v="7.2.1"/>
    <s v="Describe two best practices successfully implemented by the Institution as per NAAC format provided in the Manual. "/>
    <n v="30"/>
    <n v="30"/>
    <m/>
  </r>
  <r>
    <x v="22"/>
    <s v="QlM"/>
    <s v="7.3.1"/>
    <s v="Portray the performance of the Institution in one area distinctive to its priority and thrust within 1000 words  "/>
    <n v="20"/>
    <n v="20"/>
    <m/>
  </r>
</pivotCacheRecords>
</file>

<file path=xl/pivotCache/pivotCacheRecords2.xml><?xml version="1.0" encoding="utf-8"?>
<pivotCacheRecords xmlns="http://schemas.openxmlformats.org/spreadsheetml/2006/main" xmlns:r="http://schemas.openxmlformats.org/officeDocument/2006/relationships" count="115">
  <r>
    <n v="1"/>
    <x v="0"/>
    <x v="0"/>
    <x v="0"/>
    <x v="0"/>
    <s v="Curricula developed and implemented  have relevance to the local, national, regional and global developmental needs, which  is reflected in the Programme outcomes (POs), Programme Specific Outcomes (PSOs) and Course Outcomes(COs) of the Programmes offered by the University"/>
    <n v="20"/>
    <n v="50"/>
    <n v="150"/>
    <m/>
    <m/>
  </r>
  <r>
    <n v="2"/>
    <x v="0"/>
    <x v="0"/>
    <x v="1"/>
    <x v="1"/>
    <s v="Percentage of Programmes where syllabus revision was carried out during the last five years"/>
    <n v="20"/>
    <m/>
    <m/>
    <n v="75"/>
    <n v="3"/>
  </r>
  <r>
    <n v="3"/>
    <x v="0"/>
    <x v="0"/>
    <x v="1"/>
    <x v="2"/>
    <s v="Average percentage of courses having focus on employability/ entrepreneurship/ skill development offered by the University"/>
    <n v="10"/>
    <m/>
    <m/>
    <n v="63.57"/>
    <n v="3"/>
  </r>
  <r>
    <n v="4"/>
    <x v="0"/>
    <x v="1"/>
    <x v="1"/>
    <x v="3"/>
    <s v="Percentage of new courses introduced out of the total number of courses across all programmes offered during the last five years"/>
    <n v="30"/>
    <n v="50"/>
    <m/>
    <n v="0.13"/>
    <n v="0"/>
  </r>
  <r>
    <n v="5"/>
    <x v="0"/>
    <x v="1"/>
    <x v="1"/>
    <x v="4"/>
    <s v="Percentage of Programmes in which Choice Based Credit System_x000a_(CBCS)/elective course system has been implemented  (Data to be_x000a_given for the latest completed academic year)"/>
    <n v="20"/>
    <m/>
    <m/>
    <n v="100"/>
    <n v="4"/>
  </r>
  <r>
    <n v="6"/>
    <x v="0"/>
    <x v="2"/>
    <x v="0"/>
    <x v="5"/>
    <s v="Institution integrates cross-cutting issues relevant to Professional_x000a_Ethics ,Gender, Human Values, Environment and Sustainability into_x000a_the Curriculum "/>
    <n v="5"/>
    <n v="30"/>
    <m/>
    <m/>
    <m/>
  </r>
  <r>
    <n v="7"/>
    <x v="0"/>
    <x v="2"/>
    <x v="1"/>
    <x v="6"/>
    <s v="Number of value-added courses for imparting transferable and life_x000a_skills offered during the last five years  "/>
    <n v="10"/>
    <m/>
    <m/>
    <n v="154"/>
    <n v="4"/>
  </r>
  <r>
    <n v="8"/>
    <x v="0"/>
    <x v="2"/>
    <x v="1"/>
    <x v="7"/>
    <s v="Average Percentage of students enrolled in the courses under 1.3.2_x000a_asabove "/>
    <n v="10"/>
    <m/>
    <m/>
    <n v="60.74"/>
    <n v="3"/>
  </r>
  <r>
    <n v="9"/>
    <x v="0"/>
    <x v="2"/>
    <x v="1"/>
    <x v="8"/>
    <s v="Percentage  of students undertaking  field projects / research projects /_x000a_internships  (Data to be given for the latest completed  academic year)"/>
    <n v="5"/>
    <m/>
    <m/>
    <n v="87.56"/>
    <n v="0"/>
  </r>
  <r>
    <n v="10"/>
    <x v="0"/>
    <x v="3"/>
    <x v="1"/>
    <x v="9"/>
    <s v="Structured feedback for design and review of syllabus – semester-_x000a_wise / year-wise is received from_x000a_1) Students, 2) Teachers, 3) Employers and  4) Alumni"/>
    <n v="10"/>
    <n v="20"/>
    <m/>
    <s v="A"/>
    <n v="4"/>
  </r>
  <r>
    <n v="11"/>
    <x v="0"/>
    <x v="3"/>
    <x v="1"/>
    <x v="10"/>
    <s v="Feedback processes of the institution may be classified as follows"/>
    <n v="10"/>
    <m/>
    <m/>
    <s v="A"/>
    <n v="4"/>
  </r>
  <r>
    <n v="12"/>
    <x v="1"/>
    <x v="4"/>
    <x v="1"/>
    <x v="11"/>
    <s v="Demand Ratio (Average of last five years)"/>
    <n v="5"/>
    <n v="10"/>
    <n v="200"/>
    <n v="2.85"/>
    <n v="0"/>
  </r>
  <r>
    <n v="13"/>
    <x v="1"/>
    <x v="4"/>
    <x v="1"/>
    <x v="12"/>
    <s v="Average percentage of seats filled against reserved categories (SC, ST, OBC, Divyangjan, etc.) as per applicable  reservation policy during the last five years"/>
    <n v="5"/>
    <m/>
    <m/>
    <n v="71.010000000000005"/>
    <n v="3"/>
  </r>
  <r>
    <n v="14"/>
    <x v="1"/>
    <x v="5"/>
    <x v="0"/>
    <x v="13"/>
    <s v="The institution assesses the learning levels of the students and organises special Programmes for advanced learners and slow learners."/>
    <n v="10"/>
    <n v="20"/>
    <m/>
    <m/>
    <m/>
  </r>
  <r>
    <n v="15"/>
    <x v="1"/>
    <x v="5"/>
    <x v="1"/>
    <x v="14"/>
    <s v="Student - Full time teacher ratio (Data for the latest completed academic year)"/>
    <n v="10"/>
    <m/>
    <m/>
    <s v="23:1"/>
    <n v="4"/>
  </r>
  <r>
    <n v="16"/>
    <x v="1"/>
    <x v="6"/>
    <x v="0"/>
    <x v="15"/>
    <s v="Student centric methods, such as experiential learning, participative learning and problem solving methodologies are used for enhancing their learning experiences"/>
    <n v="6"/>
    <n v="20"/>
    <m/>
    <m/>
    <m/>
  </r>
  <r>
    <n v="17"/>
    <x v="1"/>
    <x v="6"/>
    <x v="0"/>
    <x v="16"/>
    <s v="Teachers use ICT- enabled tools including online resources for effective teaching and learning processes"/>
    <n v="6"/>
    <m/>
    <m/>
    <m/>
    <m/>
  </r>
  <r>
    <n v="18"/>
    <x v="1"/>
    <x v="6"/>
    <x v="1"/>
    <x v="17"/>
    <s v="Ratio of students mentored  for academic and other related issues (Data to be provided only for the latest completed academic year) "/>
    <n v="8"/>
    <m/>
    <m/>
    <s v="23:1"/>
    <n v="4"/>
  </r>
  <r>
    <n v="19"/>
    <x v="1"/>
    <x v="7"/>
    <x v="1"/>
    <x v="18"/>
    <s v="Average percentage of full time teachers appointed against the number of sanctioned posts during the last five years"/>
    <n v="15"/>
    <n v="50"/>
    <m/>
    <n v="96.74"/>
    <m/>
  </r>
  <r>
    <n v="20"/>
    <x v="1"/>
    <x v="7"/>
    <x v="1"/>
    <x v="19"/>
    <s v="Industry interaction"/>
    <n v="15"/>
    <m/>
    <m/>
    <n v="67.05"/>
    <n v="3"/>
  </r>
  <r>
    <n v="21"/>
    <x v="1"/>
    <x v="7"/>
    <x v="1"/>
    <x v="20"/>
    <s v="Average teaching experience of full time teachers in the same institution (Data to be provided only for the latest completed academic year, in number of years)"/>
    <n v="10"/>
    <m/>
    <m/>
    <n v="5.94"/>
    <n v="0"/>
  </r>
  <r>
    <n v="22"/>
    <x v="1"/>
    <x v="7"/>
    <x v="1"/>
    <x v="21"/>
    <s v="Average percentage of full time teachers who received awards, recognition, fellowships at the State, National, International level from Government/Govt. recognised bodies during the last five years "/>
    <n v="10"/>
    <m/>
    <m/>
    <n v="39.74"/>
    <n v="1"/>
  </r>
  <r>
    <n v="23"/>
    <x v="1"/>
    <x v="8"/>
    <x v="1"/>
    <x v="22"/>
    <s v="Average number of days from the date of last semester-end/ year- end examination till the declaration of  results during the last  five years"/>
    <n v="15"/>
    <n v="40"/>
    <m/>
    <n v="30.4"/>
    <n v="1"/>
  </r>
  <r>
    <n v="24"/>
    <x v="1"/>
    <x v="8"/>
    <x v="1"/>
    <x v="23"/>
    <s v="Average percentage of student complaints/ grievances about evaluation against total number appeared in the examinations during the last five years"/>
    <n v="10"/>
    <m/>
    <m/>
    <n v="0.01"/>
    <n v="0"/>
  </r>
  <r>
    <n v="25"/>
    <x v="1"/>
    <x v="8"/>
    <x v="0"/>
    <x v="24"/>
    <s v="IT integration and reforms in the xamination procedures and processes (continuous internal assessment and end-semester_x000a_assessment) have brought in considerable improvement in examination management system of the institution"/>
    <n v="10"/>
    <m/>
    <m/>
    <m/>
    <m/>
  </r>
  <r>
    <n v="26"/>
    <x v="1"/>
    <x v="8"/>
    <x v="1"/>
    <x v="25"/>
    <s v="Status of automation of Examination division along with approved Examination Manual"/>
    <n v="5"/>
    <m/>
    <m/>
    <n v="1"/>
    <m/>
  </r>
  <r>
    <n v="27"/>
    <x v="1"/>
    <x v="9"/>
    <x v="0"/>
    <x v="26"/>
    <s v="The institution has stated learning outcomes  (generic and programme specific)/graduate attributes which are integrated into the assessment process and widely publicized through the website and other documents"/>
    <n v="10"/>
    <n v="30"/>
    <m/>
    <m/>
    <m/>
  </r>
  <r>
    <n v="28"/>
    <x v="1"/>
    <x v="9"/>
    <x v="0"/>
    <x v="27"/>
    <s v="Attainment of Programme Outcomes, Programme Specific Outcomes_x000a_and Course Outcomes are evaluated by the institution"/>
    <n v="10"/>
    <m/>
    <m/>
    <m/>
    <n v="0"/>
  </r>
  <r>
    <n v="29"/>
    <x v="1"/>
    <x v="9"/>
    <x v="1"/>
    <x v="28"/>
    <s v="Pass percentage of students (Data to be provided only  for the latest_x000a_completed academic year)"/>
    <n v="10"/>
    <m/>
    <m/>
    <n v="96.84"/>
    <n v="0"/>
  </r>
  <r>
    <n v="30"/>
    <x v="2"/>
    <x v="10"/>
    <x v="1"/>
    <x v="29"/>
    <s v="Online Student Satisfaction Survey regarding the teaching-learning_x000a_process. (Online survey to be conducted) "/>
    <n v="30"/>
    <n v="30"/>
    <m/>
    <n v="3.31"/>
    <m/>
  </r>
  <r>
    <n v="31"/>
    <x v="2"/>
    <x v="11"/>
    <x v="0"/>
    <x v="30"/>
    <s v="The institution’s Research facilities are frequently updated and  there is _x000a_a well defined policy for promotion of research which  is uploaded on_x000a_the institutional website and implemented "/>
    <n v="2"/>
    <n v="20"/>
    <n v="250"/>
    <m/>
    <n v="0"/>
  </r>
  <r>
    <n v="32"/>
    <x v="2"/>
    <x v="11"/>
    <x v="1"/>
    <x v="31"/>
    <s v="The institution provides seed money to its teachers for research (average per year; INR in Lakhs) "/>
    <n v="3"/>
    <m/>
    <m/>
    <n v="36.08"/>
    <n v="1"/>
  </r>
  <r>
    <n v="33"/>
    <x v="2"/>
    <x v="11"/>
    <x v="1"/>
    <x v="32"/>
    <s v="Percentage  of teachers receiving national/ international fellowship/financial support by various agencies for advanced studies/_x000a_research  during the last five years"/>
    <n v="3"/>
    <m/>
    <m/>
    <n v="3.15"/>
    <n v="0"/>
  </r>
  <r>
    <n v="34"/>
    <x v="2"/>
    <x v="11"/>
    <x v="1"/>
    <x v="33"/>
    <s v="Number of JRFs, SRFs, Post Doctoral Fellows, Research Associates and other research fellows enrolled in the institution during the last five years"/>
    <n v="4"/>
    <m/>
    <m/>
    <n v="54"/>
    <n v="2"/>
  </r>
  <r>
    <n v="35"/>
    <x v="2"/>
    <x v="11"/>
    <x v="1"/>
    <x v="34"/>
    <s v="Institution has  the following facilities to support research:"/>
    <n v="3"/>
    <m/>
    <m/>
    <s v="A"/>
    <n v="4"/>
  </r>
  <r>
    <n v="36"/>
    <x v="2"/>
    <x v="11"/>
    <x v="1"/>
    <x v="35"/>
    <s v="Percentage of departments with UGC-SAP, CAS, DST-FIST, DBT, ICSSR  and other recognitions by national and international  agencies (Data for the latest completed academic year)"/>
    <n v="5"/>
    <m/>
    <m/>
    <n v="100"/>
    <n v="4"/>
  </r>
  <r>
    <n v="37"/>
    <x v="2"/>
    <x v="12"/>
    <x v="1"/>
    <x v="36"/>
    <s v="Extramural funding for Research (Grants sponsored by nongovernment sources such as industry, corporate houses, international bodies for research projects), endowments, Chairs in the University during the last five years (INR in Lakhs) "/>
    <n v="5"/>
    <n v="20"/>
    <m/>
    <n v="437"/>
    <m/>
  </r>
  <r>
    <n v="38"/>
    <x v="2"/>
    <x v="12"/>
    <x v="1"/>
    <x v="37"/>
    <s v="Grants  for research projects sponsored by government agencies during the last five years (INR in Lakhs)"/>
    <n v="10"/>
    <m/>
    <m/>
    <n v="702.65"/>
    <n v="4"/>
  </r>
  <r>
    <n v="39"/>
    <x v="2"/>
    <x v="12"/>
    <x v="1"/>
    <x v="38"/>
    <s v="Number of research projects per teacher funded by government and  _x000a_non-government agencies during the last five years"/>
    <n v="5"/>
    <m/>
    <m/>
    <n v="1.96"/>
    <n v="0"/>
  </r>
  <r>
    <n v="40"/>
    <x v="2"/>
    <x v="12"/>
    <x v="0"/>
    <x v="39"/>
    <s v="Institution has created an ecosystem for innovations, including Incubation centre and other initiatives for the creation and transfer of knowledge "/>
    <n v="10"/>
    <n v="30"/>
    <m/>
    <m/>
    <n v="0"/>
  </r>
  <r>
    <n v="41"/>
    <x v="2"/>
    <x v="13"/>
    <x v="1"/>
    <x v="40"/>
    <s v="Number of workshops/seminars conducted on Research methodology, Intellectual Property Rights (IPR), Entrepreneurship, Skill development during the last five years"/>
    <n v="10"/>
    <m/>
    <m/>
    <n v="526"/>
    <n v="4"/>
  </r>
  <r>
    <n v="42"/>
    <x v="2"/>
    <x v="13"/>
    <x v="1"/>
    <x v="41"/>
    <s v="Number of awards / recognitions received for research/innovations  by the institution/ teachers/research scholars/students during the last five years"/>
    <n v="10"/>
    <m/>
    <m/>
    <n v="34"/>
    <n v="1"/>
  </r>
  <r>
    <n v="43"/>
    <x v="2"/>
    <x v="14"/>
    <x v="1"/>
    <x v="42"/>
    <s v="The institution ensures implementation of its  stated Code of Ethics for research  "/>
    <n v="5"/>
    <n v="100"/>
    <m/>
    <s v="A"/>
    <n v="4"/>
  </r>
  <r>
    <n v="44"/>
    <x v="2"/>
    <x v="14"/>
    <x v="1"/>
    <x v="43"/>
    <s v="The institution provides incentives to teachers who receive state, national and international recognitions/awards"/>
    <n v="5"/>
    <m/>
    <m/>
    <s v="A"/>
    <n v="4"/>
  </r>
  <r>
    <n v="45"/>
    <x v="2"/>
    <x v="14"/>
    <x v="1"/>
    <x v="44"/>
    <s v="Number of  Patents published/awarded during the last five years "/>
    <n v="10"/>
    <m/>
    <m/>
    <n v="13"/>
    <n v="0"/>
  </r>
  <r>
    <n v="46"/>
    <x v="2"/>
    <x v="14"/>
    <x v="1"/>
    <x v="45"/>
    <s v="Number  of Ph.Ds awarded per teacher during the last five years"/>
    <n v="10"/>
    <m/>
    <m/>
    <n v="1.43"/>
    <n v="0"/>
  </r>
  <r>
    <n v="47"/>
    <x v="2"/>
    <x v="14"/>
    <x v="1"/>
    <x v="46"/>
    <s v="Number of research papers published per teacher in the Journals as notified on UGC website during the last five years   "/>
    <n v="15"/>
    <m/>
    <m/>
    <n v="3.62"/>
    <m/>
  </r>
  <r>
    <n v="48"/>
    <x v="2"/>
    <x v="14"/>
    <x v="1"/>
    <x v="47"/>
    <s v="Number of books and  chapters in edited volumes published per teacher during the last five years"/>
    <n v="15"/>
    <m/>
    <m/>
    <n v="0"/>
    <n v="0"/>
  </r>
  <r>
    <n v="49"/>
    <x v="2"/>
    <x v="14"/>
    <x v="1"/>
    <x v="48"/>
    <s v="E-content is developed by teachers :"/>
    <n v="10"/>
    <m/>
    <m/>
    <s v="D"/>
    <n v="1"/>
  </r>
  <r>
    <n v="50"/>
    <x v="2"/>
    <x v="14"/>
    <x v="1"/>
    <x v="49"/>
    <s v="Bibliometrics of the publications during the last five years based on average  Citation Index in Scopus/ Web of Science/PubMed"/>
    <n v="15"/>
    <m/>
    <m/>
    <n v="7.39"/>
    <n v="0"/>
  </r>
  <r>
    <n v="51"/>
    <x v="2"/>
    <x v="14"/>
    <x v="1"/>
    <x v="50"/>
    <s v="Bibliometrics of the publications during the last five years based on Scopus/ Web of  Science – h-Index of the University  "/>
    <n v="15"/>
    <m/>
    <m/>
    <n v="26"/>
    <n v="1"/>
  </r>
  <r>
    <n v="52"/>
    <x v="2"/>
    <x v="15"/>
    <x v="0"/>
    <x v="51"/>
    <s v="Institution has a policy for consultancy including revenue sharing between the institution and the individual  and encourages its faculty to undertake consultancy"/>
    <n v="5"/>
    <n v="20"/>
    <m/>
    <m/>
    <n v="0"/>
  </r>
  <r>
    <n v="53"/>
    <x v="3"/>
    <x v="15"/>
    <x v="1"/>
    <x v="52"/>
    <s v="Revenue generated from consultancy and corporate training during thelast five years (INR in Lakhs) "/>
    <n v="15"/>
    <m/>
    <m/>
    <n v="296.64999999999998"/>
    <m/>
  </r>
  <r>
    <n v="54"/>
    <x v="3"/>
    <x v="16"/>
    <x v="0"/>
    <x v="53"/>
    <s v="Extension activities in the neighborhood community in terms of impact and  sensitizing the students to social issues and holistic development during the last five years"/>
    <n v="6"/>
    <n v="40"/>
    <m/>
    <m/>
    <m/>
  </r>
  <r>
    <n v="55"/>
    <x v="3"/>
    <x v="16"/>
    <x v="1"/>
    <x v="54"/>
    <s v="Number of awards received by the Institution, its teachers and students from Government /Government-recognised bodies in recognition of the extension activities carried out  during the last five years"/>
    <n v="10"/>
    <m/>
    <m/>
    <n v="9"/>
    <n v="0"/>
  </r>
  <r>
    <n v="56"/>
    <x v="3"/>
    <x v="16"/>
    <x v="1"/>
    <x v="55"/>
    <s v="Number of extension and outreach programs conducted  by the institution including those through NSS/NCC/Red cross/YRC during the last five years( including  Government-initiated programs such as Swachh Bharat, Aids Awareness, Gender Issue, etc. and those organised in collaboration with industry, community and NGOs)"/>
    <n v="12"/>
    <m/>
    <m/>
    <n v="64"/>
    <n v="3"/>
  </r>
  <r>
    <n v="57"/>
    <x v="3"/>
    <x v="16"/>
    <x v="1"/>
    <x v="56"/>
    <s v="Average percentage of students participating in extension activities listed at 3.6.3 above,  during the last five years"/>
    <n v="12"/>
    <m/>
    <m/>
    <n v="42.43"/>
    <m/>
  </r>
  <r>
    <n v="58"/>
    <x v="3"/>
    <x v="17"/>
    <x v="1"/>
    <x v="57"/>
    <s v="Number of collaborative activities with other institutions/ research establishment /industry for  research and academic development of faculty and students  per year "/>
    <n v="10"/>
    <n v="20"/>
    <m/>
    <n v="3"/>
    <n v="0"/>
  </r>
  <r>
    <n v="59"/>
    <x v="3"/>
    <x v="17"/>
    <x v="1"/>
    <x v="58"/>
    <s v="Number of functional MoUs with institutions/ industries  in India and abroad for internship, on-the-job training, project work, student / faculty exchange and  collaborative research  during the last five years"/>
    <n v="10"/>
    <m/>
    <m/>
    <n v="102"/>
    <n v="4"/>
  </r>
  <r>
    <n v="60"/>
    <x v="3"/>
    <x v="18"/>
    <x v="0"/>
    <x v="59"/>
    <s v="The institution has adequate facilities for teaching - learning. viz., classrooms, laboratories, computing equipment, etc."/>
    <n v="10"/>
    <n v="30"/>
    <n v="100"/>
    <m/>
    <n v="0"/>
  </r>
  <r>
    <n v="61"/>
    <x v="3"/>
    <x v="18"/>
    <x v="0"/>
    <x v="60"/>
    <s v="The institution has adequate facilities for cultural activities, yoga, games and sports (indoor &amp; outdoor); (gymnasium, yoga centre, auditorium, etc.,)"/>
    <n v="5"/>
    <m/>
    <m/>
    <m/>
    <m/>
  </r>
  <r>
    <n v="62"/>
    <x v="3"/>
    <x v="18"/>
    <x v="0"/>
    <x v="61"/>
    <s v="Availability of general campus facilities and overall ambience"/>
    <n v="5"/>
    <m/>
    <m/>
    <m/>
    <n v="0"/>
  </r>
  <r>
    <n v="63"/>
    <x v="3"/>
    <x v="18"/>
    <x v="1"/>
    <x v="62"/>
    <s v="Average percentage of expenditure excluding salary, for infrastructure augmentation during the last five years (INR in Lakhs)"/>
    <n v="10"/>
    <m/>
    <m/>
    <n v="59.15"/>
    <n v="4"/>
  </r>
  <r>
    <n v="64"/>
    <x v="3"/>
    <x v="19"/>
    <x v="0"/>
    <x v="63"/>
    <s v="Library is automated using Integrated Library Management System  (ILMS)  and has digitisation facility"/>
    <n v="4"/>
    <n v="20"/>
    <m/>
    <m/>
    <n v="0"/>
  </r>
  <r>
    <n v="65"/>
    <x v="3"/>
    <x v="19"/>
    <x v="1"/>
    <x v="64"/>
    <s v="Institution has subscription for e-Library resources "/>
    <n v="6"/>
    <m/>
    <m/>
    <s v="A"/>
    <n v="4"/>
  </r>
  <r>
    <n v="66"/>
    <x v="3"/>
    <x v="19"/>
    <x v="1"/>
    <x v="65"/>
    <s v="Average annual expenditure for purchase of books/ e-books and subscription to journals/e-journals during the last five years (INR in Lakhs)"/>
    <n v="5"/>
    <m/>
    <m/>
    <n v="95"/>
    <m/>
  </r>
  <r>
    <n v="67"/>
    <x v="4"/>
    <x v="19"/>
    <x v="1"/>
    <x v="66"/>
    <s v="Percentage per day usage of library by teachers and students ( foot falls and login data for online access) (Data to be provided only for the latest completed academic year)"/>
    <n v="5"/>
    <m/>
    <m/>
    <n v="51.47"/>
    <n v="0"/>
  </r>
  <r>
    <n v="68"/>
    <x v="4"/>
    <x v="20"/>
    <x v="1"/>
    <x v="67"/>
    <s v="Percentage of classrooms and seminar halls with ICT - enabled facilities  such as LCD, smart board, Wi-Fi/LAN, audio video_x000a_recording facilities.(Data to be provided only for the latest completed academic year) "/>
    <n v="5"/>
    <n v="30"/>
    <m/>
    <n v="100"/>
    <n v="0"/>
  </r>
  <r>
    <n v="69"/>
    <x v="4"/>
    <x v="20"/>
    <x v="0"/>
    <x v="68"/>
    <s v="Institution has an IT policy, makes appropriate budgetary provisions and updates its IT facilities including the Wi-Fi facility"/>
    <n v="5"/>
    <m/>
    <m/>
    <m/>
    <n v="0"/>
  </r>
  <r>
    <n v="70"/>
    <x v="4"/>
    <x v="20"/>
    <x v="1"/>
    <x v="69"/>
    <s v="Student - Computer ratio (Data to be provided only  for the latest completed academic year)"/>
    <n v="10"/>
    <m/>
    <m/>
    <n v="0.25"/>
    <e v="#VALUE!"/>
  </r>
  <r>
    <n v="71"/>
    <x v="4"/>
    <x v="20"/>
    <x v="1"/>
    <x v="70"/>
    <s v="Available bandwidth of internet connection in the Institution (Leased line)"/>
    <n v="5"/>
    <m/>
    <m/>
    <s v="A"/>
    <n v="4"/>
  </r>
  <r>
    <n v="72"/>
    <x v="4"/>
    <x v="20"/>
    <x v="1"/>
    <x v="71"/>
    <s v="Institution has the following Facilities for e-content development"/>
    <n v="5"/>
    <m/>
    <m/>
    <s v="A"/>
    <n v="4"/>
  </r>
  <r>
    <n v="73"/>
    <x v="4"/>
    <x v="21"/>
    <x v="1"/>
    <x v="72"/>
    <s v="Average percentage expenditure incurred on maintenance of physical facilities and academic support facilities excluding salary component during the last five years"/>
    <n v="10"/>
    <n v="20"/>
    <m/>
    <n v="12.51"/>
    <n v="0"/>
  </r>
  <r>
    <n v="74"/>
    <x v="4"/>
    <x v="21"/>
    <x v="0"/>
    <x v="73"/>
    <s v="There are established systems and procedures for maintaining and utilising physical, academic and support facilities -laboratory, library, sports complex,  computers, classrooms etc."/>
    <n v="10"/>
    <m/>
    <m/>
    <m/>
    <n v="0"/>
  </r>
  <r>
    <n v="75"/>
    <x v="4"/>
    <x v="22"/>
    <x v="1"/>
    <x v="74"/>
    <s v="Average percentage of students benefited by scholarships and freeships provided by the institution, Government and nongovernment agencies (NGOs) during the last five years (other than the students receiving scholarships under the government schemes for reserved categories) "/>
    <n v="10"/>
    <n v="30"/>
    <n v="100"/>
    <n v="11.28"/>
    <n v="0"/>
  </r>
  <r>
    <n v="76"/>
    <x v="4"/>
    <x v="22"/>
    <x v="1"/>
    <x v="75"/>
    <s v="Average percentage of students benefited by career counseling and guidance for competitive examinations as offered by the Institution, during the last five years"/>
    <n v="10"/>
    <m/>
    <m/>
    <n v="21.89"/>
    <m/>
  </r>
  <r>
    <n v="77"/>
    <x v="4"/>
    <x v="22"/>
    <x v="1"/>
    <x v="76"/>
    <s v="Following Capacity  development and skills enhancement initiatives are undertaken by the institution "/>
    <n v="5"/>
    <m/>
    <m/>
    <s v="A"/>
    <n v="4"/>
  </r>
  <r>
    <n v="78"/>
    <x v="4"/>
    <x v="22"/>
    <x v="1"/>
    <x v="77"/>
    <s v="The Institution adopts  the following for redressal of student grievances including sexual harassment and ragging cases"/>
    <n v="5"/>
    <m/>
    <m/>
    <s v="A"/>
    <n v="4"/>
  </r>
  <r>
    <n v="79"/>
    <x v="4"/>
    <x v="23"/>
    <x v="1"/>
    <x v="78"/>
    <s v="Average percentage of students qualifying in state/ national/ international level examinations during the last five years_x000a_(eg: NET/SLET/GATE/GMAT/CAT/GRE /JAM/IELTS/TOEFL/CLAT/  Civil Services/State government examinations)"/>
    <n v="10"/>
    <n v="40"/>
    <m/>
    <n v="100"/>
    <n v="0"/>
  </r>
  <r>
    <n v="80"/>
    <x v="5"/>
    <x v="23"/>
    <x v="1"/>
    <x v="79"/>
    <s v="Average percentage of placement of outgoing students during the last five years"/>
    <n v="15"/>
    <m/>
    <m/>
    <n v="35.18"/>
    <m/>
  </r>
  <r>
    <n v="81"/>
    <x v="5"/>
    <x v="23"/>
    <x v="1"/>
    <x v="80"/>
    <s v="Percentage of recently-graduated students who have progressed to higher education (previous graduating batch)"/>
    <n v="15"/>
    <m/>
    <m/>
    <n v="21.89"/>
    <m/>
  </r>
  <r>
    <n v="82"/>
    <x v="5"/>
    <x v="24"/>
    <x v="1"/>
    <x v="81"/>
    <s v="Number of awards/medals  won by students for outstanding performance in sports/cultural activities at  inter-university/ state/national/international events (award for a team event should be counted as one) during the last five years"/>
    <n v="10"/>
    <n v="20"/>
    <m/>
    <n v="67"/>
    <m/>
  </r>
  <r>
    <n v="83"/>
    <x v="5"/>
    <x v="24"/>
    <x v="0"/>
    <x v="82"/>
    <s v="Presence of Student Council and its  activities for institutional development and student welfare. "/>
    <n v="5"/>
    <m/>
    <m/>
    <m/>
    <m/>
  </r>
  <r>
    <n v="84"/>
    <x v="5"/>
    <x v="24"/>
    <x v="1"/>
    <x v="83"/>
    <s v="Average number of sports and cultural events / competitions organised by the institution per year "/>
    <n v="5"/>
    <m/>
    <m/>
    <n v="75"/>
    <n v="0"/>
  </r>
  <r>
    <n v="85"/>
    <x v="5"/>
    <x v="25"/>
    <x v="0"/>
    <x v="84"/>
    <s v="The Alumni Association/Chapters (registered and functional) contributes significantly to the development of the institution through financial and other support services during the last five years "/>
    <n v="2"/>
    <n v="10"/>
    <m/>
    <m/>
    <m/>
  </r>
  <r>
    <n v="86"/>
    <x v="5"/>
    <x v="25"/>
    <x v="1"/>
    <x v="85"/>
    <s v="Alumni contribution during the last five years (INR in lakhs)"/>
    <n v="8"/>
    <m/>
    <m/>
    <s v="E"/>
    <n v="0"/>
  </r>
  <r>
    <n v="87"/>
    <x v="5"/>
    <x v="26"/>
    <x v="0"/>
    <x v="86"/>
    <s v="The institution has a clearly stated vision and mission which are reflected in its academic and administrative governance                                      "/>
    <n v="5"/>
    <n v="10"/>
    <n v="100"/>
    <m/>
    <n v="0"/>
  </r>
  <r>
    <n v="88"/>
    <x v="5"/>
    <x v="26"/>
    <x v="0"/>
    <x v="87"/>
    <s v="Effective leadership is reflected in various institutional practices such as decentralization and participative  management.  _x000a_"/>
    <n v="5"/>
    <m/>
    <m/>
    <m/>
    <n v="0"/>
  </r>
  <r>
    <n v="89"/>
    <x v="5"/>
    <x v="27"/>
    <x v="0"/>
    <x v="88"/>
    <s v="The institutional Strategic plan is effectively deployed."/>
    <n v="3"/>
    <n v="10"/>
    <m/>
    <m/>
    <m/>
  </r>
  <r>
    <n v="90"/>
    <x v="5"/>
    <x v="27"/>
    <x v="0"/>
    <x v="89"/>
    <s v="Functioning of the institutional bodies is effective and efficient as visible from policies, administrative setup, appointment, service rules, and procedures, etc,"/>
    <n v="2"/>
    <m/>
    <m/>
    <m/>
    <n v="0"/>
  </r>
  <r>
    <n v="91"/>
    <x v="5"/>
    <x v="27"/>
    <x v="1"/>
    <x v="90"/>
    <s v="Institution Implements e-governance in its areas of  operations "/>
    <n v="5"/>
    <m/>
    <m/>
    <s v="A"/>
    <n v="4"/>
  </r>
  <r>
    <n v="92"/>
    <x v="5"/>
    <x v="28"/>
    <x v="0"/>
    <x v="91"/>
    <s v="The institution has a performance appraisal system, promotional avenues and effective welfare measures for teaching and non-teaching staff "/>
    <n v="4"/>
    <n v="30"/>
    <m/>
    <m/>
    <m/>
  </r>
  <r>
    <n v="93"/>
    <x v="5"/>
    <x v="28"/>
    <x v="1"/>
    <x v="92"/>
    <s v="Average percentage of teachers provided with financial support to attend conferences /workshops and towards membership fee of professional bodies during last five years"/>
    <n v="10"/>
    <m/>
    <m/>
    <n v="37.82"/>
    <m/>
  </r>
  <r>
    <n v="94"/>
    <x v="5"/>
    <x v="28"/>
    <x v="1"/>
    <x v="93"/>
    <s v="Average number of professional development / administrative training _x000a_Programmes organized by the institution for teaching and non teaching staff during the last five years"/>
    <n v="8"/>
    <m/>
    <m/>
    <n v="2.6"/>
    <n v="0"/>
  </r>
  <r>
    <n v="95"/>
    <x v="6"/>
    <x v="28"/>
    <x v="1"/>
    <x v="94"/>
    <s v="Average percentage of teachers undergoing online/ face-to-face Faculty Development Programmes (FDP)during the last five years (Professional Development Programmes, Orientation / Induction Programmes, Refresher Course, Short Term Course) "/>
    <n v="8"/>
    <m/>
    <m/>
    <n v="31.02"/>
    <m/>
  </r>
  <r>
    <n v="96"/>
    <x v="6"/>
    <x v="29"/>
    <x v="0"/>
    <x v="95"/>
    <s v="Institutional strategies for mobilisation of funds and the optimal utilisation of resources"/>
    <n v="4"/>
    <n v="20"/>
    <m/>
    <m/>
    <n v="0"/>
  </r>
  <r>
    <n v="97"/>
    <x v="6"/>
    <x v="29"/>
    <x v="1"/>
    <x v="96"/>
    <s v="Funds / Grants received from government bodies during the last five years for development and maintenance of infrastructure (not covered under Criteria_x000a_III and V )     (INR in Lakhs)"/>
    <n v="8"/>
    <m/>
    <m/>
    <n v="0"/>
    <m/>
  </r>
  <r>
    <n v="98"/>
    <x v="6"/>
    <x v="29"/>
    <x v="1"/>
    <x v="97"/>
    <s v="Funds / Grants received from non-government bodies, individuals,_x000a_philanthropists during the last five  years for development and maintenance of infrastructure (not covered under Criteria III and V )     (INR in Lakhs)"/>
    <n v="6"/>
    <m/>
    <m/>
    <n v="35019"/>
    <n v="0"/>
  </r>
  <r>
    <n v="99"/>
    <x v="6"/>
    <x v="29"/>
    <x v="0"/>
    <x v="98"/>
    <s v="Institution regularly conducts internal and external financial  audits "/>
    <n v="2"/>
    <m/>
    <m/>
    <m/>
    <n v="0"/>
  </r>
  <r>
    <n v="100"/>
    <x v="6"/>
    <x v="30"/>
    <x v="0"/>
    <x v="99"/>
    <s v="Internal Quality Assurance Cell (IQAC) has contributed significantly for_x000a_institutionalizing the quality assurance strategies and processes, by constantly_x000a_reviewing the teaching-learning process, structures &amp; methodologies of operations and learning outcomes, at periodic intervals"/>
    <n v="10"/>
    <n v="30"/>
    <m/>
    <m/>
    <n v="0"/>
  </r>
  <r>
    <n v="101"/>
    <x v="6"/>
    <x v="30"/>
    <x v="1"/>
    <x v="100"/>
    <s v="Institution  has adopted the following for  Quality assurance: "/>
    <n v="10"/>
    <m/>
    <m/>
    <s v="A"/>
    <n v="4"/>
  </r>
  <r>
    <n v="102"/>
    <x v="6"/>
    <x v="30"/>
    <x v="0"/>
    <x v="101"/>
    <s v="Incremental improvements made for the preceding five years with regard to quality  (in case of first cycle NAAC A/A)"/>
    <n v="10"/>
    <m/>
    <m/>
    <m/>
    <m/>
  </r>
  <r>
    <n v="103"/>
    <x v="6"/>
    <x v="31"/>
    <x v="0"/>
    <x v="102"/>
    <s v="Measures initiated by the Institution for the promotion of gender equity during the last five years."/>
    <n v="5"/>
    <n v="50"/>
    <n v="100"/>
    <m/>
    <m/>
  </r>
  <r>
    <n v="104"/>
    <x v="6"/>
    <x v="31"/>
    <x v="1"/>
    <x v="103"/>
    <s v="The Institution has facilities for alternate sources of energy and energy conservation measures    "/>
    <n v="5"/>
    <m/>
    <m/>
    <s v="A"/>
    <n v="4"/>
  </r>
  <r>
    <n v="105"/>
    <x v="6"/>
    <x v="31"/>
    <x v="0"/>
    <x v="104"/>
    <s v="Describe the facilities in the Institution for the management of the following types of degradable and non-degradable waste (within 500 words) "/>
    <n v="4"/>
    <m/>
    <m/>
    <m/>
    <m/>
  </r>
  <r>
    <n v="106"/>
    <x v="6"/>
    <x v="31"/>
    <x v="1"/>
    <x v="105"/>
    <s v="Water conservation facilities available in the Institution:  "/>
    <n v="4"/>
    <m/>
    <m/>
    <s v="A"/>
    <n v="4"/>
  </r>
  <r>
    <n v="107"/>
    <x v="6"/>
    <x v="31"/>
    <x v="1"/>
    <x v="106"/>
    <s v="Green campus initiatives    "/>
    <n v="4"/>
    <m/>
    <m/>
    <s v="A"/>
    <n v="4"/>
  </r>
  <r>
    <n v="108"/>
    <x v="6"/>
    <x v="31"/>
    <x v="1"/>
    <x v="107"/>
    <s v="Quality audits on environment and energy are regularly undertaken by the institution "/>
    <n v="5"/>
    <m/>
    <m/>
    <s v="A"/>
    <n v="4"/>
  </r>
  <r>
    <n v="109"/>
    <x v="6"/>
    <x v="31"/>
    <x v="1"/>
    <x v="108"/>
    <s v="The Institution has friendly, barrier free environment "/>
    <n v="4"/>
    <m/>
    <m/>
    <s v="A"/>
    <n v="4"/>
  </r>
  <r>
    <n v="110"/>
    <x v="6"/>
    <x v="31"/>
    <x v="0"/>
    <x v="109"/>
    <s v="Describe the Institutional efforts/initiatives in providing an inclusive environment i.e., tolerance and harmony towards cultural, regional, linguistic, communal, socio-economic and such other diversities (within 500 words)."/>
    <n v="5"/>
    <m/>
    <m/>
    <m/>
    <m/>
  </r>
  <r>
    <n v="111"/>
    <x v="6"/>
    <x v="31"/>
    <x v="0"/>
    <x v="110"/>
    <s v="Sensitization of students and employees of the Institution to the constitutional obligations: values, rights, duties and responsibilities of citizens"/>
    <n v="4"/>
    <m/>
    <m/>
    <m/>
    <m/>
  </r>
  <r>
    <n v="112"/>
    <x v="6"/>
    <x v="31"/>
    <x v="1"/>
    <x v="111"/>
    <s v="The Institution has a prescribed code of conduct for students, teachers, administrators and other staff and conducts periodic programmes in this regard. "/>
    <n v="5"/>
    <m/>
    <m/>
    <s v="A"/>
    <n v="4"/>
  </r>
  <r>
    <n v="113"/>
    <x v="6"/>
    <x v="31"/>
    <x v="0"/>
    <x v="112"/>
    <s v="Institution celebrates / organizes national and international commemorative days, events and festivals "/>
    <n v="5"/>
    <m/>
    <m/>
    <m/>
    <m/>
  </r>
  <r>
    <n v="114"/>
    <x v="6"/>
    <x v="32"/>
    <x v="0"/>
    <x v="113"/>
    <s v="Describe two Best practices successfully implemented by the Institution as per the NAAC format provided in the Manual. "/>
    <n v="30"/>
    <n v="30"/>
    <m/>
    <m/>
    <m/>
  </r>
  <r>
    <n v="115"/>
    <x v="6"/>
    <x v="33"/>
    <x v="0"/>
    <x v="114"/>
    <s v="Portray  the performance of the Institution in one area distinctive to its priority and thrust within 1000 words "/>
    <n v="20"/>
    <n v="20"/>
    <m/>
    <m/>
    <m/>
  </r>
</pivotCacheRecords>
</file>

<file path=xl/pivotCache/pivotCacheRecords3.xml><?xml version="1.0" encoding="utf-8"?>
<pivotCacheRecords xmlns="http://schemas.openxmlformats.org/spreadsheetml/2006/main" xmlns:r="http://schemas.openxmlformats.org/officeDocument/2006/relationships" count="79">
  <r>
    <n v="1"/>
    <x v="0"/>
    <x v="0"/>
    <s v="QnM"/>
    <x v="0"/>
    <s v="Percentage of Programmes where syllabus revision was carried out during the last five years"/>
    <n v="20"/>
    <n v="30"/>
    <n v="125"/>
    <n v="75"/>
    <n v="3"/>
  </r>
  <r>
    <n v="2"/>
    <x v="0"/>
    <x v="0"/>
    <s v="QnM"/>
    <x v="1"/>
    <s v="Average percentage of courses having focus on employability/ entrepreneurship/ skill development offered by the University"/>
    <n v="10"/>
    <m/>
    <m/>
    <n v="63.57"/>
    <n v="3"/>
  </r>
  <r>
    <n v="3"/>
    <x v="0"/>
    <x v="1"/>
    <s v="QnM"/>
    <x v="2"/>
    <s v="Percentage of new courses introduced out of the total number of courses across all programmes offered during the last five years"/>
    <n v="30"/>
    <n v="50"/>
    <m/>
    <n v="13"/>
    <n v="0"/>
  </r>
  <r>
    <n v="4"/>
    <x v="0"/>
    <x v="1"/>
    <s v="QnM"/>
    <x v="3"/>
    <s v="Percentage of Programmes in which Choice Based Credit System_x000a_(CBCS)/elective course system has been implemented  (Data to be_x000a_given for the latest completed academic year)"/>
    <n v="20"/>
    <m/>
    <m/>
    <n v="100"/>
    <n v="4"/>
  </r>
  <r>
    <n v="5"/>
    <x v="0"/>
    <x v="2"/>
    <s v="QnM"/>
    <x v="4"/>
    <s v="Number of value-added courses for imparting transferable and life_x000a_skills offered during the last five years  "/>
    <n v="10"/>
    <n v="25"/>
    <m/>
    <n v="154"/>
    <n v="4"/>
  </r>
  <r>
    <n v="6"/>
    <x v="0"/>
    <x v="2"/>
    <s v="QnM"/>
    <x v="5"/>
    <s v="Average Percentage of students enrolled in the courses under 1.3.2_x000a_asabove "/>
    <n v="10"/>
    <m/>
    <m/>
    <n v="60.74"/>
    <n v="3"/>
  </r>
  <r>
    <n v="7"/>
    <x v="0"/>
    <x v="2"/>
    <s v="QnM"/>
    <x v="6"/>
    <s v="Percentage  of students undertaking  field projects / research projects /_x000a_internships  (Data to be given for the latest completed  academic year)"/>
    <n v="5"/>
    <m/>
    <m/>
    <n v="87.56"/>
    <n v="4"/>
  </r>
  <r>
    <n v="8"/>
    <x v="0"/>
    <x v="3"/>
    <s v="QnM"/>
    <x v="7"/>
    <s v="Structured feedback for design and review of syllabus – semester-_x000a_wise / year-wise is received from_x000a_1) Students, 2) Teachers, 3) Employers and  4) Alumni"/>
    <n v="10"/>
    <n v="20"/>
    <m/>
    <s v="A"/>
    <n v="4"/>
  </r>
  <r>
    <n v="9"/>
    <x v="0"/>
    <x v="3"/>
    <s v="QnM"/>
    <x v="8"/>
    <s v="Feedback processes of the institution may be classified as follows"/>
    <n v="10"/>
    <m/>
    <m/>
    <s v="A"/>
    <n v="4"/>
  </r>
  <r>
    <n v="10"/>
    <x v="1"/>
    <x v="4"/>
    <s v="QnM"/>
    <x v="9"/>
    <s v="Demand Ratio (Average of last five years)"/>
    <n v="5"/>
    <n v="10"/>
    <n v="148"/>
    <n v="2.85"/>
    <n v="0"/>
  </r>
  <r>
    <n v="11"/>
    <x v="1"/>
    <x v="4"/>
    <s v="QnM"/>
    <x v="10"/>
    <s v="Average percentage of seats filled against reserved categories (SC, ST, OBC, Divyangjan, etc.) as per applicable  reservation policy during the last five years"/>
    <n v="5"/>
    <m/>
    <m/>
    <n v="71.010000000000005"/>
    <n v="3"/>
  </r>
  <r>
    <n v="12"/>
    <x v="1"/>
    <x v="5"/>
    <s v="QnM"/>
    <x v="11"/>
    <s v="Student - Full time teacher ratio (Data for the latest completed academic year)"/>
    <n v="10"/>
    <n v="10"/>
    <m/>
    <s v="23:1"/>
    <n v="4"/>
  </r>
  <r>
    <n v="13"/>
    <x v="1"/>
    <x v="6"/>
    <s v="QnM"/>
    <x v="12"/>
    <s v="Ratio of students mentored  for academic and other related issues (Data to be provided only for the latest completed academic year) "/>
    <n v="8"/>
    <n v="8"/>
    <m/>
    <s v="23:1"/>
    <n v="4"/>
  </r>
  <r>
    <n v="14"/>
    <x v="1"/>
    <x v="7"/>
    <s v="QnM"/>
    <x v="13"/>
    <s v="Average percentage of full time teachers appointed against the number of sanctioned posts during the last five years"/>
    <n v="15"/>
    <n v="50"/>
    <m/>
    <n v="96.74"/>
    <n v="4"/>
  </r>
  <r>
    <n v="15"/>
    <x v="1"/>
    <x v="7"/>
    <s v="QnM"/>
    <x v="14"/>
    <s v="Industry interaction"/>
    <n v="15"/>
    <m/>
    <m/>
    <n v="67.05"/>
    <n v="3"/>
  </r>
  <r>
    <n v="16"/>
    <x v="1"/>
    <x v="7"/>
    <s v="QnM"/>
    <x v="15"/>
    <s v="Average teaching experience of full time teachers in the same institution (Data to be provided only for the latest completed academic year, in number of years)"/>
    <n v="10"/>
    <m/>
    <m/>
    <n v="5.94"/>
    <n v="0"/>
  </r>
  <r>
    <n v="17"/>
    <x v="1"/>
    <x v="7"/>
    <s v="QnM"/>
    <x v="16"/>
    <s v="Average percentage of full time teachers who received awards, recognition, fellowships at the State, National, International level from Government/Govt. recognised bodies during the last five years "/>
    <n v="10"/>
    <m/>
    <m/>
    <n v="39.74"/>
    <n v="1"/>
  </r>
  <r>
    <n v="18"/>
    <x v="1"/>
    <x v="8"/>
    <s v="QnM"/>
    <x v="17"/>
    <s v="Average number of days from the date of last semester-end/ year- end examination till the declaration of  results during the last  five years"/>
    <n v="15"/>
    <n v="30"/>
    <m/>
    <n v="30.4"/>
    <n v="1"/>
  </r>
  <r>
    <n v="19"/>
    <x v="1"/>
    <x v="8"/>
    <s v="QnM"/>
    <x v="18"/>
    <s v="Average percentage of student complaints/ grievances about evaluation against total number appeared in the examinations during the last five years"/>
    <n v="10"/>
    <m/>
    <m/>
    <n v="0.01"/>
    <n v="0"/>
  </r>
  <r>
    <n v="20"/>
    <x v="1"/>
    <x v="8"/>
    <s v="QnM"/>
    <x v="19"/>
    <s v="Status of automation of Examination division along with approved Examination Manual"/>
    <n v="5"/>
    <m/>
    <m/>
    <n v="1"/>
    <n v="0"/>
  </r>
  <r>
    <n v="21"/>
    <x v="1"/>
    <x v="9"/>
    <s v="QnM"/>
    <x v="20"/>
    <s v="Pass percentage of students (Data to be provided only  for the latest_x000a_completed academic year)"/>
    <n v="10"/>
    <n v="10"/>
    <m/>
    <n v="96.84"/>
    <n v="4"/>
  </r>
  <r>
    <n v="22"/>
    <x v="2"/>
    <x v="10"/>
    <s v="QnM"/>
    <x v="21"/>
    <s v="Online Student Satisfaction Survey regarding the teaching-learning_x000a_process. (Online survey to be conducted) "/>
    <n v="30"/>
    <n v="30"/>
    <m/>
    <n v="3.31"/>
    <n v="2"/>
  </r>
  <r>
    <n v="23"/>
    <x v="2"/>
    <x v="11"/>
    <s v="QnM"/>
    <x v="22"/>
    <s v="The institution provides seed money to its teachers for research (average per year; INR in Lakhs) "/>
    <n v="3"/>
    <n v="18"/>
    <n v="227"/>
    <n v="36.08"/>
    <n v="1"/>
  </r>
  <r>
    <n v="24"/>
    <x v="2"/>
    <x v="11"/>
    <s v="QnM"/>
    <x v="23"/>
    <s v="Percentage  of teachers receiving national/ international fellowship/financial support by various agencies for advanced studies/_x000a_research  during the last five years"/>
    <n v="3"/>
    <m/>
    <m/>
    <n v="3.15"/>
    <n v="0"/>
  </r>
  <r>
    <n v="25"/>
    <x v="2"/>
    <x v="11"/>
    <s v="QnM"/>
    <x v="24"/>
    <s v="Number of JRFs, SRFs, Post Doctoral Fellows, Research Associates and other research fellows enrolled in the institution during the last five years"/>
    <n v="4"/>
    <m/>
    <m/>
    <n v="54"/>
    <n v="2"/>
  </r>
  <r>
    <n v="26"/>
    <x v="2"/>
    <x v="11"/>
    <s v="QnM"/>
    <x v="25"/>
    <s v="Institution has  the following facilities to support research:"/>
    <n v="3"/>
    <m/>
    <m/>
    <s v="A"/>
    <n v="4"/>
  </r>
  <r>
    <n v="27"/>
    <x v="2"/>
    <x v="11"/>
    <s v="QnM"/>
    <x v="26"/>
    <s v="Percentage of departments with UGC-SAP, CAS, DST-FIST, DBT, ICSSR  and other recognitions by national and international  agencies (Data for the latest completed academic year)"/>
    <n v="5"/>
    <m/>
    <m/>
    <n v="100"/>
    <n v="4"/>
  </r>
  <r>
    <n v="28"/>
    <x v="2"/>
    <x v="12"/>
    <s v="QnM"/>
    <x v="27"/>
    <s v="Extramural funding for Research (Grants sponsored by nongovernment sources such as industry, corporate houses, international bodies for research projects), endowments, Chairs in the University during the last five years (INR in Lakhs) "/>
    <n v="5"/>
    <n v="20"/>
    <m/>
    <n v="437"/>
    <n v="0"/>
  </r>
  <r>
    <n v="29"/>
    <x v="2"/>
    <x v="12"/>
    <s v="QnM"/>
    <x v="28"/>
    <s v="Grants  for research projects sponsored by government agencies during the last five years (INR in Lakhs)"/>
    <n v="10"/>
    <m/>
    <m/>
    <n v="702.65"/>
    <n v="4"/>
  </r>
  <r>
    <n v="30"/>
    <x v="2"/>
    <x v="12"/>
    <s v="QnM"/>
    <x v="29"/>
    <s v="Number of research projects per teacher funded by government and  _x000a_non-government agencies during the last five years"/>
    <n v="5"/>
    <m/>
    <m/>
    <n v="1.96"/>
    <n v="0"/>
  </r>
  <r>
    <n v="31"/>
    <x v="2"/>
    <x v="13"/>
    <s v="QnM"/>
    <x v="30"/>
    <s v="Number of workshops/seminars conducted on Research methodology, Intellectual Property Rights (IPR), Entrepreneurship, Skill development during the last five years"/>
    <n v="10"/>
    <n v="20"/>
    <m/>
    <n v="526"/>
    <n v="4"/>
  </r>
  <r>
    <n v="32"/>
    <x v="2"/>
    <x v="13"/>
    <s v="QnM"/>
    <x v="31"/>
    <s v="Number of awards / recognitions received for research/innovations  by the institution/ teachers/research scholars/students during the last five years"/>
    <n v="10"/>
    <m/>
    <m/>
    <n v="34"/>
    <n v="1"/>
  </r>
  <r>
    <n v="33"/>
    <x v="2"/>
    <x v="14"/>
    <s v="QnM"/>
    <x v="32"/>
    <s v="The institution ensures implementation of its  stated Code of Ethics for research  "/>
    <n v="5"/>
    <n v="100"/>
    <m/>
    <s v="A"/>
    <n v="4"/>
  </r>
  <r>
    <n v="34"/>
    <x v="2"/>
    <x v="14"/>
    <s v="QnM"/>
    <x v="33"/>
    <s v="The institution provides incentives to teachers who receive state, national and international recognitions/awards"/>
    <n v="5"/>
    <m/>
    <m/>
    <s v="A"/>
    <n v="4"/>
  </r>
  <r>
    <n v="35"/>
    <x v="2"/>
    <x v="14"/>
    <s v="QnM"/>
    <x v="34"/>
    <s v="Number of  Patents published/awarded during the last five years "/>
    <n v="10"/>
    <m/>
    <m/>
    <n v="13"/>
    <n v="0"/>
  </r>
  <r>
    <n v="36"/>
    <x v="2"/>
    <x v="14"/>
    <s v="QnM"/>
    <x v="35"/>
    <s v="Number  of Ph.Ds awarded per teacher during the last five years"/>
    <n v="10"/>
    <m/>
    <m/>
    <n v="1.43"/>
    <n v="0"/>
  </r>
  <r>
    <n v="37"/>
    <x v="2"/>
    <x v="14"/>
    <s v="QnM"/>
    <x v="36"/>
    <s v="Number of research papers published per teacher in the Journals as notified on UGC website during the last five years   "/>
    <n v="15"/>
    <m/>
    <m/>
    <n v="3.62"/>
    <n v="0"/>
  </r>
  <r>
    <n v="38"/>
    <x v="2"/>
    <x v="14"/>
    <s v="QnM"/>
    <x v="37"/>
    <s v="Number of books and  chapters in edited volumes published per teacher during the last five years"/>
    <n v="15"/>
    <m/>
    <m/>
    <n v="0"/>
    <n v="0"/>
  </r>
  <r>
    <n v="39"/>
    <x v="2"/>
    <x v="14"/>
    <s v="QnM"/>
    <x v="38"/>
    <s v="E-content is developed by teachers :"/>
    <n v="10"/>
    <m/>
    <m/>
    <s v="D"/>
    <n v="4"/>
  </r>
  <r>
    <n v="40"/>
    <x v="2"/>
    <x v="14"/>
    <s v="QnM"/>
    <x v="39"/>
    <s v="Bibliometrics of the publications during the last five years based on average  Citation Index in Scopus/ Web of Science/PubMed"/>
    <n v="15"/>
    <m/>
    <m/>
    <n v="7.39"/>
    <n v="0"/>
  </r>
  <r>
    <n v="41"/>
    <x v="2"/>
    <x v="14"/>
    <s v="QnM"/>
    <x v="40"/>
    <s v="Bibliometrics of the publications during the last five years based on Scopus/ Web of  Science – h-Index of the University  "/>
    <n v="15"/>
    <m/>
    <m/>
    <n v="26"/>
    <n v="1"/>
  </r>
  <r>
    <n v="42"/>
    <x v="3"/>
    <x v="15"/>
    <s v="QnM"/>
    <x v="41"/>
    <s v="Revenue generated from consultancy and corporate training during thelast five years (INR in Lakhs) "/>
    <n v="15"/>
    <n v="15"/>
    <m/>
    <n v="296.64999999999998"/>
    <n v="4"/>
  </r>
  <r>
    <n v="43"/>
    <x v="3"/>
    <x v="16"/>
    <s v="QnM"/>
    <x v="42"/>
    <s v="Number of awards received by the Institution, its teachers and students from Government /Government-recognised bodies in recognition of the extension activities carried out  during the last five years"/>
    <n v="10"/>
    <n v="34"/>
    <m/>
    <n v="9"/>
    <n v="0"/>
  </r>
  <r>
    <n v="44"/>
    <x v="3"/>
    <x v="16"/>
    <s v="QnM"/>
    <x v="43"/>
    <s v="Number of extension and outreach programs conducted  by the institution including those through NSS/NCC/Red cross/YRC during the last five years( including  Government-initiated programs such as Swachh Bharat, Aids Awareness, Gender Issue, etc. and those organised in collaboration with industry, community and NGOs)"/>
    <n v="12"/>
    <m/>
    <m/>
    <n v="64"/>
    <n v="3"/>
  </r>
  <r>
    <n v="45"/>
    <x v="3"/>
    <x v="16"/>
    <s v="QnM"/>
    <x v="44"/>
    <s v="Average percentage of students participating in extension activities listed at 3.6.3 above,  during the last five years"/>
    <n v="12"/>
    <m/>
    <m/>
    <n v="42.43"/>
    <n v="2"/>
  </r>
  <r>
    <n v="46"/>
    <x v="3"/>
    <x v="17"/>
    <s v="QnM"/>
    <x v="45"/>
    <s v="Number of collaborative activities with other institutions/ research establishment /industry for  research and academic development of faculty and students  per year "/>
    <n v="10"/>
    <n v="20"/>
    <m/>
    <n v="3"/>
    <n v="0"/>
  </r>
  <r>
    <n v="47"/>
    <x v="3"/>
    <x v="17"/>
    <s v="QnM"/>
    <x v="46"/>
    <s v="Number of functional MoUs with institutions/ industries  in India and abroad for internship, on-the-job training, project work, student / faculty exchange and  collaborative research  during the last five years"/>
    <n v="10"/>
    <m/>
    <m/>
    <n v="102"/>
    <n v="4"/>
  </r>
  <r>
    <n v="48"/>
    <x v="3"/>
    <x v="18"/>
    <s v="QnM"/>
    <x v="47"/>
    <s v="Average percentage of expenditure excluding salary, for infrastructure augmentation during the last five years (INR in Lakhs)"/>
    <n v="10"/>
    <n v="10"/>
    <n v="61"/>
    <n v="59.15"/>
    <n v="0"/>
  </r>
  <r>
    <n v="49"/>
    <x v="3"/>
    <x v="19"/>
    <s v="QnM"/>
    <x v="48"/>
    <s v="Institution has subscription for e-Library resources "/>
    <n v="6"/>
    <n v="16"/>
    <m/>
    <s v="A"/>
    <n v="4"/>
  </r>
  <r>
    <n v="50"/>
    <x v="3"/>
    <x v="19"/>
    <s v="QnM"/>
    <x v="49"/>
    <s v="Average annual expenditure for purchase of books/ e-books and subscription to journals/e-journals during the last five years (INR in Lakhs)"/>
    <n v="5"/>
    <m/>
    <m/>
    <n v="95"/>
    <n v="4"/>
  </r>
  <r>
    <n v="51"/>
    <x v="4"/>
    <x v="19"/>
    <s v="QnM"/>
    <x v="50"/>
    <s v="Percentage per day usage of library by teachers and students ( foot falls and login data for online access) (Data to be provided only for the latest completed academic year)"/>
    <n v="5"/>
    <m/>
    <m/>
    <n v="51.47"/>
    <n v="2"/>
  </r>
  <r>
    <n v="52"/>
    <x v="4"/>
    <x v="20"/>
    <s v="QnM"/>
    <x v="51"/>
    <s v="Percentage of classrooms and seminar halls with ICT - enabled facilities  such as LCD, smart board, Wi-Fi/LAN, audio video_x000a_recording facilities.(Data to be provided only for the latest completed academic year) "/>
    <n v="5"/>
    <n v="25"/>
    <m/>
    <n v="100"/>
    <n v="0"/>
  </r>
  <r>
    <n v="53"/>
    <x v="4"/>
    <x v="20"/>
    <s v="QnM"/>
    <x v="52"/>
    <s v="Student - Computer ratio (Data to be provided only  for the latest completed academic year)"/>
    <n v="10"/>
    <m/>
    <m/>
    <n v="0.25"/>
    <n v="0"/>
  </r>
  <r>
    <n v="54"/>
    <x v="4"/>
    <x v="20"/>
    <s v="QnM"/>
    <x v="53"/>
    <s v="Available bandwidth of internet connection in the Institution (Leased line)"/>
    <n v="5"/>
    <m/>
    <m/>
    <s v="A"/>
    <n v="4"/>
  </r>
  <r>
    <n v="55"/>
    <x v="4"/>
    <x v="20"/>
    <s v="QnM"/>
    <x v="54"/>
    <s v="Institution has the following Facilities for e-content development"/>
    <n v="5"/>
    <m/>
    <m/>
    <s v="A"/>
    <n v="4"/>
  </r>
  <r>
    <n v="56"/>
    <x v="4"/>
    <x v="21"/>
    <s v="QnM"/>
    <x v="55"/>
    <s v="Average percentage expenditure incurred on maintenance of physical facilities and academic support facilities excluding salary component during the last five years"/>
    <n v="10"/>
    <n v="10"/>
    <m/>
    <n v="12.51"/>
    <n v="0"/>
  </r>
  <r>
    <n v="57"/>
    <x v="4"/>
    <x v="22"/>
    <s v="QnM"/>
    <x v="56"/>
    <s v="Average percentage of students benefited by scholarships and freeships provided by the institution, Government and nongovernment agencies (NGOs) during the last five years (other than the students receiving scholarships under the government schemes for reserved categories) "/>
    <n v="10"/>
    <n v="30"/>
    <n v="93"/>
    <n v="11.28"/>
    <n v="0"/>
  </r>
  <r>
    <n v="58"/>
    <x v="4"/>
    <x v="22"/>
    <s v="QnM"/>
    <x v="57"/>
    <s v="Average percentage of students benefited by career counseling and guidance for competitive examinations as offered by the Institution, during the last five years"/>
    <n v="10"/>
    <m/>
    <m/>
    <n v="21.89"/>
    <n v="1"/>
  </r>
  <r>
    <n v="59"/>
    <x v="4"/>
    <x v="22"/>
    <s v="QnM"/>
    <x v="58"/>
    <s v="Following Capacity  development and skills enhancement initiatives are undertaken by the institution "/>
    <n v="5"/>
    <m/>
    <m/>
    <s v="A"/>
    <n v="4"/>
  </r>
  <r>
    <n v="60"/>
    <x v="4"/>
    <x v="22"/>
    <s v="QnM"/>
    <x v="59"/>
    <s v="The Institution adopts  the following for redressal of student grievances including sexual harassment and ragging cases"/>
    <n v="5"/>
    <m/>
    <m/>
    <s v="A"/>
    <n v="4"/>
  </r>
  <r>
    <n v="61"/>
    <x v="4"/>
    <x v="23"/>
    <s v="QnM"/>
    <x v="60"/>
    <s v="Average percentage of students qualifying in state/ national/ international level examinations during the last five years_x000a_(eg: NET/SLET/GATE/GMAT/CAT/GRE /JAM/IELTS/TOEFL/CLAT/  Civil Services/State government examinations)"/>
    <n v="10"/>
    <n v="40"/>
    <m/>
    <n v="100"/>
    <n v="0"/>
  </r>
  <r>
    <n v="62"/>
    <x v="5"/>
    <x v="23"/>
    <s v="QnM"/>
    <x v="61"/>
    <s v="Average percentage of placement of outgoing students during the last five years"/>
    <n v="15"/>
    <m/>
    <m/>
    <n v="35.18"/>
    <n v="1"/>
  </r>
  <r>
    <n v="63"/>
    <x v="5"/>
    <x v="23"/>
    <s v="QnM"/>
    <x v="62"/>
    <s v="Percentage of recently-graduated students who have progressed to higher education (previous graduating batch)"/>
    <n v="15"/>
    <m/>
    <m/>
    <n v="21.89"/>
    <n v="1"/>
  </r>
  <r>
    <n v="64"/>
    <x v="5"/>
    <x v="24"/>
    <s v="QnM"/>
    <x v="63"/>
    <s v="Number of awards/medals  won by students for outstanding performance in sports/cultural activities at  inter-university/ state/national/international events (award for a team event should be counted as one) during the last five years"/>
    <n v="10"/>
    <n v="15"/>
    <m/>
    <n v="67"/>
    <n v="3"/>
  </r>
  <r>
    <n v="65"/>
    <x v="5"/>
    <x v="24"/>
    <s v="QnM"/>
    <x v="64"/>
    <s v="Average number of sports and cultural events / competitions organised by the institution per year "/>
    <n v="5"/>
    <m/>
    <m/>
    <n v="75"/>
    <n v="3"/>
  </r>
  <r>
    <n v="66"/>
    <x v="5"/>
    <x v="25"/>
    <s v="QnM"/>
    <x v="65"/>
    <s v="Alumni contribution during the last five years (INR in lakhs)"/>
    <n v="8"/>
    <n v="8"/>
    <m/>
    <s v="E"/>
    <n v="0"/>
  </r>
  <r>
    <n v="67"/>
    <x v="5"/>
    <x v="26"/>
    <s v="QnM"/>
    <x v="66"/>
    <s v="Institution Implements e-governance in its areas of  operations "/>
    <n v="5"/>
    <n v="5"/>
    <n v="55"/>
    <s v="A"/>
    <n v="4"/>
  </r>
  <r>
    <n v="68"/>
    <x v="5"/>
    <x v="27"/>
    <s v="QnM"/>
    <x v="67"/>
    <s v="Average percentage of teachers provided with financial support to attend conferences /workshops and towards membership fee of professional bodies during last five years"/>
    <n v="10"/>
    <n v="26"/>
    <m/>
    <n v="37.82"/>
    <n v="0"/>
  </r>
  <r>
    <n v="69"/>
    <x v="5"/>
    <x v="27"/>
    <s v="QnM"/>
    <x v="68"/>
    <s v="Average number of professional development / administrative training _x000a_Programmes organized by the institution for teaching and non teaching staff during the last five years"/>
    <n v="8"/>
    <m/>
    <m/>
    <n v="2.6"/>
    <n v="0"/>
  </r>
  <r>
    <n v="70"/>
    <x v="6"/>
    <x v="27"/>
    <s v="QnM"/>
    <x v="69"/>
    <s v="Average percentage of teachers undergoing online/ face-to-face Faculty Development Programmes (FDP)during the last five years (Professional Development Programmes, Orientation / Induction Programmes, Refresher Course, Short Term Course) "/>
    <n v="8"/>
    <m/>
    <m/>
    <n v="31.02"/>
    <n v="1"/>
  </r>
  <r>
    <n v="71"/>
    <x v="6"/>
    <x v="28"/>
    <s v="QnM"/>
    <x v="70"/>
    <s v="Funds / Grants received from government bodies during the last five years for development and maintenance of infrastructure (not covered under Criteria_x000a_III and V )     (INR in Lakhs)"/>
    <n v="8"/>
    <n v="14"/>
    <m/>
    <n v="0"/>
    <n v="0"/>
  </r>
  <r>
    <n v="72"/>
    <x v="6"/>
    <x v="28"/>
    <s v="QnM"/>
    <x v="71"/>
    <s v="Funds / Grants received from non-government bodies, individuals,_x000a_philanthropists during the last five  years for development and maintenance of infrastructure (not covered under Criteria III and V )     (INR in Lakhs)"/>
    <n v="6"/>
    <m/>
    <m/>
    <n v="35019"/>
    <n v="4"/>
  </r>
  <r>
    <n v="73"/>
    <x v="6"/>
    <x v="29"/>
    <s v="QnM"/>
    <x v="72"/>
    <s v="Institution  has adopted the following for  Quality assurance: "/>
    <n v="10"/>
    <n v="10"/>
    <m/>
    <s v="A"/>
    <n v="4"/>
  </r>
  <r>
    <n v="74"/>
    <x v="6"/>
    <x v="30"/>
    <s v="QnM"/>
    <x v="73"/>
    <s v="The Institution has facilities for alternate sources of energy and energy conservation measures    "/>
    <n v="5"/>
    <n v="27"/>
    <n v="27"/>
    <s v="A"/>
    <n v="4"/>
  </r>
  <r>
    <n v="75"/>
    <x v="6"/>
    <x v="30"/>
    <s v="QnM"/>
    <x v="74"/>
    <s v="Water conservation facilities available in the Institution:  "/>
    <n v="4"/>
    <m/>
    <m/>
    <s v="A"/>
    <n v="4"/>
  </r>
  <r>
    <n v="76"/>
    <x v="6"/>
    <x v="30"/>
    <s v="QnM"/>
    <x v="75"/>
    <s v="Green campus initiatives    "/>
    <n v="4"/>
    <m/>
    <m/>
    <s v="A"/>
    <n v="4"/>
  </r>
  <r>
    <n v="77"/>
    <x v="6"/>
    <x v="30"/>
    <s v="QnM"/>
    <x v="76"/>
    <s v="Quality audits on environment and energy are regularly undertaken by the institution "/>
    <n v="5"/>
    <m/>
    <m/>
    <s v="A"/>
    <n v="4"/>
  </r>
  <r>
    <n v="78"/>
    <x v="6"/>
    <x v="30"/>
    <s v="QnM"/>
    <x v="77"/>
    <s v="The Institution has friendly, barrier free environment "/>
    <n v="4"/>
    <m/>
    <m/>
    <s v="A"/>
    <n v="4"/>
  </r>
  <r>
    <n v="79"/>
    <x v="6"/>
    <x v="30"/>
    <s v="QnM"/>
    <x v="78"/>
    <s v="The Institution has a prescribed code of conduct for students, teachers, administrators and other staff and conducts periodic programmes in this regard. "/>
    <n v="5"/>
    <m/>
    <m/>
    <s v="A"/>
    <n v="4"/>
  </r>
</pivotCacheRecords>
</file>

<file path=xl/pivotCache/pivotCacheRecords4.xml><?xml version="1.0" encoding="utf-8"?>
<pivotCacheRecords xmlns="http://schemas.openxmlformats.org/spreadsheetml/2006/main" xmlns:r="http://schemas.openxmlformats.org/officeDocument/2006/relationships" count="36">
  <r>
    <n v="1"/>
    <x v="0"/>
    <x v="0"/>
    <s v="QlM"/>
    <x v="0"/>
    <s v="Curricula developed and implemented  have relevance to the local, national, regional and global developmental needs, which  is reflected in the Programme outcomes (POs), Programme Specific Outcomes (PSOs) and Course Outcomes(COs) of the Programmes offered by the University"/>
    <n v="20"/>
    <n v="20"/>
    <n v="25"/>
    <m/>
    <n v="0"/>
  </r>
  <r>
    <n v="2"/>
    <x v="0"/>
    <x v="1"/>
    <s v="QlM"/>
    <x v="1"/>
    <s v="Institution integrates cross-cutting issues relevant to Professional_x000a_Ethics ,Gender, Human Values, Environment and Sustainability into_x000a_the Curriculum "/>
    <n v="5"/>
    <n v="5"/>
    <m/>
    <m/>
    <n v="0"/>
  </r>
  <r>
    <n v="3"/>
    <x v="1"/>
    <x v="2"/>
    <s v="QlM"/>
    <x v="2"/>
    <s v="The institution assesses the learning levels of the students and organises special Programmes for advanced learners and slow learners."/>
    <n v="10"/>
    <n v="10"/>
    <n v="52"/>
    <m/>
    <n v="0"/>
  </r>
  <r>
    <n v="4"/>
    <x v="1"/>
    <x v="3"/>
    <s v="QlM"/>
    <x v="3"/>
    <s v="Student centric methods, such as experiential learning, participative learning and problem solving methodologies are used for enhancing their learning experiences"/>
    <n v="6"/>
    <n v="12"/>
    <m/>
    <m/>
    <n v="0"/>
  </r>
  <r>
    <n v="5"/>
    <x v="1"/>
    <x v="3"/>
    <s v="QlM"/>
    <x v="4"/>
    <s v="Teachers use ICT- enabled tools including online resources for effective teaching and learning processes"/>
    <n v="6"/>
    <m/>
    <m/>
    <m/>
    <n v="0"/>
  </r>
  <r>
    <n v="6"/>
    <x v="1"/>
    <x v="4"/>
    <s v="QlM"/>
    <x v="5"/>
    <s v="IT integration and reforms in the xamination procedures and processes (continuous internal assessment and end-semester_x000a_assessment) have brought in considerable improvement in examination management system of the institution"/>
    <n v="10"/>
    <n v="10"/>
    <m/>
    <m/>
    <n v="0"/>
  </r>
  <r>
    <n v="7"/>
    <x v="1"/>
    <x v="5"/>
    <s v="QlM"/>
    <x v="6"/>
    <s v="The institution has stated learning outcomes  (generic and programme specific)/graduate attributes which are integrated into the assessment process and widely publicized through the website and other documents"/>
    <n v="10"/>
    <n v="20"/>
    <m/>
    <m/>
    <n v="0"/>
  </r>
  <r>
    <n v="8"/>
    <x v="1"/>
    <x v="5"/>
    <s v="QlM"/>
    <x v="7"/>
    <s v="Attainment of Programme Outcomes, Programme Specific Outcomes_x000a_and Course Outcomes are evaluated by the institution"/>
    <n v="10"/>
    <m/>
    <m/>
    <m/>
    <n v="0"/>
  </r>
  <r>
    <n v="9"/>
    <x v="2"/>
    <x v="6"/>
    <s v="QlM"/>
    <x v="8"/>
    <s v="The institution’s Research facilities are frequently updated and  there is _x000a_a well defined policy for promotion of research which  is uploaded on_x000a_the institutional website and implemented "/>
    <n v="2"/>
    <n v="2"/>
    <n v="23"/>
    <m/>
    <n v="0"/>
  </r>
  <r>
    <n v="10"/>
    <x v="2"/>
    <x v="7"/>
    <s v="QlM"/>
    <x v="9"/>
    <s v="Institution has created an ecosystem for innovations, including Incubation centre and other initiatives for the creation and transfer of knowledge "/>
    <n v="10"/>
    <n v="10"/>
    <m/>
    <m/>
    <n v="0"/>
  </r>
  <r>
    <n v="11"/>
    <x v="2"/>
    <x v="8"/>
    <s v="QlM"/>
    <x v="10"/>
    <s v="Institution has a policy for consultancy including revenue sharing between the institution and the individual  and encourages its faculty to undertake consultancy"/>
    <n v="5"/>
    <n v="5"/>
    <m/>
    <m/>
    <n v="0"/>
  </r>
  <r>
    <n v="12"/>
    <x v="3"/>
    <x v="9"/>
    <s v="QlM"/>
    <x v="11"/>
    <s v="Extension activities in the neighborhood community in terms of impact and  sensitizing the students to social issues and holistic development during the last five years"/>
    <n v="6"/>
    <n v="6"/>
    <m/>
    <m/>
    <n v="0"/>
  </r>
  <r>
    <n v="13"/>
    <x v="3"/>
    <x v="10"/>
    <s v="QlM"/>
    <x v="12"/>
    <s v="The institution has adequate facilities for teaching - learning. viz., classrooms, laboratories, computing equipment, etc."/>
    <n v="10"/>
    <n v="20"/>
    <n v="29"/>
    <m/>
    <n v="0"/>
  </r>
  <r>
    <n v="14"/>
    <x v="3"/>
    <x v="10"/>
    <s v="QlM"/>
    <x v="13"/>
    <s v="The institution has adequate facilities for cultural activities, yoga, games and sports (indoor &amp; outdoor); (gymnasium, yoga centre, auditorium, etc.,)"/>
    <n v="5"/>
    <m/>
    <m/>
    <m/>
    <n v="0"/>
  </r>
  <r>
    <n v="15"/>
    <x v="3"/>
    <x v="10"/>
    <s v="QlM"/>
    <x v="14"/>
    <s v="Availability of general campus facilities and overall ambience"/>
    <n v="5"/>
    <m/>
    <m/>
    <m/>
    <n v="0"/>
  </r>
  <r>
    <n v="16"/>
    <x v="3"/>
    <x v="11"/>
    <s v="QlM"/>
    <x v="15"/>
    <s v="Library is automated using Integrated Library Management System  (ILMS)  and has digitisation facility"/>
    <n v="4"/>
    <n v="4"/>
    <m/>
    <m/>
    <n v="0"/>
  </r>
  <r>
    <n v="17"/>
    <x v="4"/>
    <x v="12"/>
    <s v="QlM"/>
    <x v="16"/>
    <s v="Institution has an IT policy, makes appropriate budgetary provisions and updates its IT facilities including the Wi-Fi facility"/>
    <n v="5"/>
    <n v="5"/>
    <m/>
    <m/>
    <n v="0"/>
  </r>
  <r>
    <n v="18"/>
    <x v="4"/>
    <x v="13"/>
    <s v="QlM"/>
    <x v="17"/>
    <s v="There are established systems and procedures for maintaining and utilising physical, academic and support facilities -laboratory, library, sports complex,  computers, classrooms etc."/>
    <n v="10"/>
    <n v="10"/>
    <n v="15"/>
    <m/>
    <n v="0"/>
  </r>
  <r>
    <n v="19"/>
    <x v="5"/>
    <x v="14"/>
    <s v="QlM"/>
    <x v="18"/>
    <s v="Presence of Student Council and its  activities for institutional development and student welfare. "/>
    <n v="5"/>
    <n v="5"/>
    <m/>
    <m/>
    <n v="0"/>
  </r>
  <r>
    <n v="20"/>
    <x v="5"/>
    <x v="15"/>
    <s v="QlM"/>
    <x v="19"/>
    <s v="The Alumni Association/Chapters (registered and functional) contributes significantly to the development of the institution through financial and other support services during the last five years "/>
    <n v="2"/>
    <n v="2"/>
    <n v="47"/>
    <m/>
    <n v="0"/>
  </r>
  <r>
    <n v="21"/>
    <x v="5"/>
    <x v="16"/>
    <s v="QlM"/>
    <x v="20"/>
    <s v="The institution has a clearly stated vision and mission which are reflected in its academic and administrative governance                                      "/>
    <n v="5"/>
    <n v="10"/>
    <m/>
    <m/>
    <n v="0"/>
  </r>
  <r>
    <n v="22"/>
    <x v="5"/>
    <x v="16"/>
    <s v="QlM"/>
    <x v="21"/>
    <s v="Effective leadership is reflected in various institutional practices such as decentralization and participative  management.  _x000a_"/>
    <n v="5"/>
    <m/>
    <m/>
    <m/>
    <n v="0"/>
  </r>
  <r>
    <n v="23"/>
    <x v="5"/>
    <x v="17"/>
    <s v="QlM"/>
    <x v="22"/>
    <s v="The institutional Strategic plan is effectively deployed."/>
    <n v="3"/>
    <n v="5"/>
    <m/>
    <m/>
    <n v="0"/>
  </r>
  <r>
    <n v="24"/>
    <x v="5"/>
    <x v="17"/>
    <s v="QlM"/>
    <x v="23"/>
    <s v="Functioning of the institutional bodies is effective and efficient as visible from policies, administrative setup, appointment, service rules, and procedures, etc,"/>
    <n v="2"/>
    <m/>
    <m/>
    <m/>
    <n v="0"/>
  </r>
  <r>
    <n v="25"/>
    <x v="5"/>
    <x v="18"/>
    <s v="QlM"/>
    <x v="24"/>
    <s v="The institution has a performance appraisal system, promotional avenues and effective welfare measures for teaching and non-teaching staff "/>
    <n v="4"/>
    <n v="4"/>
    <m/>
    <m/>
    <n v="0"/>
  </r>
  <r>
    <n v="26"/>
    <x v="6"/>
    <x v="19"/>
    <s v="QlM"/>
    <x v="25"/>
    <s v="Institutional strategies for mobilisation of funds and the optimal utilisation of resources"/>
    <n v="4"/>
    <n v="6"/>
    <m/>
    <m/>
    <n v="0"/>
  </r>
  <r>
    <n v="27"/>
    <x v="6"/>
    <x v="19"/>
    <s v="QlM"/>
    <x v="26"/>
    <s v="Institution regularly conducts internal and external financial  audits "/>
    <n v="2"/>
    <m/>
    <m/>
    <m/>
    <n v="0"/>
  </r>
  <r>
    <n v="28"/>
    <x v="6"/>
    <x v="20"/>
    <s v="QlM"/>
    <x v="27"/>
    <s v="Internal Quality Assurance Cell (IQAC) has contributed significantly for_x000a_institutionalizing the quality assurance strategies and processes, by constantly_x000a_reviewing the teaching-learning process, structures &amp; methodologies of operations and learning outcomes, at periodic intervals"/>
    <n v="10"/>
    <n v="20"/>
    <m/>
    <m/>
    <n v="0"/>
  </r>
  <r>
    <n v="29"/>
    <x v="6"/>
    <x v="20"/>
    <s v="QlM"/>
    <x v="28"/>
    <s v="Incremental improvements made for the preceding five years with regard to quality  (in case of first cycle NAAC A/A)"/>
    <n v="10"/>
    <m/>
    <m/>
    <m/>
    <n v="0"/>
  </r>
  <r>
    <n v="30"/>
    <x v="6"/>
    <x v="21"/>
    <s v="QlM"/>
    <x v="29"/>
    <s v="Measures initiated by the Institution for the promotion of gender equity during the last five years."/>
    <n v="5"/>
    <n v="23"/>
    <n v="73"/>
    <m/>
    <n v="0"/>
  </r>
  <r>
    <n v="31"/>
    <x v="6"/>
    <x v="21"/>
    <s v="QlM"/>
    <x v="30"/>
    <s v="Describe the facilities in the Institution for the management of the following types of degradable and non-degradable waste (within 500 words) "/>
    <n v="4"/>
    <m/>
    <m/>
    <m/>
    <n v="0"/>
  </r>
  <r>
    <n v="32"/>
    <x v="6"/>
    <x v="21"/>
    <s v="QlM"/>
    <x v="31"/>
    <s v="Describe the Institutional efforts/initiatives in providing an inclusive environment i.e., tolerance and harmony towards cultural, regional, linguistic, communal, socio-economic and such other diversities (within 500 words)."/>
    <n v="5"/>
    <m/>
    <m/>
    <m/>
    <n v="0"/>
  </r>
  <r>
    <n v="33"/>
    <x v="6"/>
    <x v="21"/>
    <s v="QlM"/>
    <x v="32"/>
    <s v="Sensitization of students and employees of the Institution to the constitutional obligations: values, rights, duties and responsibilities of citizens"/>
    <n v="4"/>
    <m/>
    <m/>
    <m/>
    <n v="0"/>
  </r>
  <r>
    <n v="34"/>
    <x v="6"/>
    <x v="21"/>
    <s v="QlM"/>
    <x v="33"/>
    <s v="Institution celebrates / organizes national and international commemorative days, events and festivals "/>
    <n v="5"/>
    <m/>
    <m/>
    <m/>
    <n v="0"/>
  </r>
  <r>
    <n v="35"/>
    <x v="6"/>
    <x v="22"/>
    <s v="QlM"/>
    <x v="34"/>
    <s v="Describe two Best practices successfully implemented by the Institution as per the NAAC format provided in the Manual. "/>
    <n v="30"/>
    <n v="30"/>
    <m/>
    <m/>
    <n v="0"/>
  </r>
  <r>
    <n v="36"/>
    <x v="6"/>
    <x v="23"/>
    <s v="QlM"/>
    <x v="35"/>
    <s v="Portray  the performance of the Institution in one area distinctive to its priority and thrust within 1000 words "/>
    <n v="20"/>
    <n v="20"/>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31:G139" firstHeaderRow="1" firstDataRow="1" firstDataCol="1"/>
  <pivotFields count="11">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11">
    <format dxfId="67">
      <pivotArea collapsedLevelsAreSubtotals="1" fieldPosition="0">
        <references count="1">
          <reference field="1" count="1">
            <x v="6"/>
          </reference>
        </references>
      </pivotArea>
    </format>
    <format dxfId="66">
      <pivotArea collapsedLevelsAreSubtotals="1" fieldPosition="0">
        <references count="1">
          <reference field="1" count="1">
            <x v="6"/>
          </reference>
        </references>
      </pivotArea>
    </format>
    <format dxfId="65">
      <pivotArea collapsedLevelsAreSubtotals="1" fieldPosition="0">
        <references count="1">
          <reference field="1" count="1">
            <x v="6"/>
          </reference>
        </references>
      </pivotArea>
    </format>
    <format dxfId="64">
      <pivotArea collapsedLevelsAreSubtotals="1" fieldPosition="0">
        <references count="1">
          <reference field="1" count="1">
            <x v="6"/>
          </reference>
        </references>
      </pivotArea>
    </format>
    <format dxfId="63">
      <pivotArea collapsedLevelsAreSubtotals="1" fieldPosition="0">
        <references count="1">
          <reference field="1" count="6">
            <x v="0"/>
            <x v="1"/>
            <x v="2"/>
            <x v="3"/>
            <x v="4"/>
            <x v="5"/>
          </reference>
        </references>
      </pivotArea>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field="1" type="button" dataOnly="0" labelOnly="1" outline="0" axis="axisRow" fieldPosition="0"/>
    </format>
    <format dxfId="58">
      <pivotArea dataOnly="0" labelOnly="1" fieldPosition="0">
        <references count="1">
          <reference field="1" count="0"/>
        </references>
      </pivotArea>
    </format>
    <format dxfId="57">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96:G312" firstHeaderRow="1" firstDataRow="1" firstDataCol="1"/>
  <pivotFields count="11">
    <pivotField showAll="0"/>
    <pivotField showAll="0"/>
    <pivotField showAll="0"/>
    <pivotField showAll="0"/>
    <pivotField axis="axisRow" showAll="0" sortType="ascending">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11"/>
        <item x="112"/>
        <item x="103"/>
        <item x="104"/>
        <item x="105"/>
        <item x="106"/>
        <item x="107"/>
        <item x="108"/>
        <item x="109"/>
        <item x="110"/>
        <item x="113"/>
        <item x="114"/>
        <item t="default"/>
      </items>
    </pivotField>
    <pivotField showAll="0"/>
    <pivotField showAll="0"/>
    <pivotField showAll="0"/>
    <pivotField showAll="0"/>
    <pivotField showAll="0"/>
    <pivotField dataField="1" showAll="0"/>
  </pivotFields>
  <rowFields count="1">
    <field x="4"/>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Items count="1">
    <i/>
  </colItems>
  <dataFields count="1">
    <dataField name="Average of Metric" fld="10" subtotal="average" baseField="4" baseItem="0"/>
  </dataFields>
  <formats count="10">
    <format dxfId="77">
      <pivotArea field="4" type="button" dataOnly="0" labelOnly="1" outline="0" axis="axisRow" fieldPosition="0"/>
    </format>
    <format dxfId="76">
      <pivotArea dataOnly="0" labelOnly="1" fieldPosition="0">
        <references count="1">
          <reference field="4" count="48">
            <x v="0"/>
            <x v="1"/>
            <x v="2"/>
            <x v="3"/>
            <x v="4"/>
            <x v="5"/>
            <x v="6"/>
            <x v="7"/>
            <x v="8"/>
            <x v="9"/>
            <x v="10"/>
            <x v="11"/>
            <x v="12"/>
            <x v="13"/>
            <x v="14"/>
            <x v="15"/>
            <x v="16"/>
            <x v="17"/>
            <x v="18"/>
            <x v="19"/>
            <x v="20"/>
            <x v="22"/>
            <x v="23"/>
            <x v="24"/>
            <x v="26"/>
            <x v="27"/>
            <x v="28"/>
            <x v="29"/>
            <x v="30"/>
            <x v="31"/>
            <x v="32"/>
            <x v="36"/>
            <x v="37"/>
            <x v="38"/>
            <x v="39"/>
            <x v="40"/>
            <x v="42"/>
            <x v="43"/>
            <x v="44"/>
            <x v="45"/>
            <x v="46"/>
            <x v="47"/>
            <x v="51"/>
            <x v="52"/>
            <x v="53"/>
            <x v="54"/>
            <x v="55"/>
            <x v="56"/>
          </reference>
        </references>
      </pivotArea>
    </format>
    <format dxfId="75">
      <pivotArea dataOnly="0" labelOnly="1" fieldPosition="0">
        <references count="1">
          <reference field="4" count="49">
            <x v="57"/>
            <x v="58"/>
            <x v="59"/>
            <x v="60"/>
            <x v="61"/>
            <x v="62"/>
            <x v="63"/>
            <x v="64"/>
            <x v="65"/>
            <x v="66"/>
            <x v="67"/>
            <x v="68"/>
            <x v="69"/>
            <x v="70"/>
            <x v="72"/>
            <x v="73"/>
            <x v="74"/>
            <x v="75"/>
            <x v="76"/>
            <x v="77"/>
            <x v="78"/>
            <x v="79"/>
            <x v="80"/>
            <x v="81"/>
            <x v="82"/>
            <x v="83"/>
            <x v="84"/>
            <x v="85"/>
            <x v="86"/>
            <x v="87"/>
            <x v="88"/>
            <x v="89"/>
            <x v="90"/>
            <x v="91"/>
            <x v="92"/>
            <x v="93"/>
            <x v="94"/>
            <x v="95"/>
            <x v="96"/>
            <x v="97"/>
            <x v="99"/>
            <x v="100"/>
            <x v="101"/>
            <x v="102"/>
            <x v="103"/>
            <x v="104"/>
            <x v="105"/>
            <x v="106"/>
            <x v="107"/>
          </reference>
        </references>
      </pivotArea>
    </format>
    <format dxfId="74">
      <pivotArea dataOnly="0" labelOnly="1" fieldPosition="0">
        <references count="1">
          <reference field="4" count="7">
            <x v="108"/>
            <x v="109"/>
            <x v="110"/>
            <x v="111"/>
            <x v="112"/>
            <x v="113"/>
            <x v="114"/>
          </reference>
        </references>
      </pivotArea>
    </format>
    <format dxfId="73">
      <pivotArea dataOnly="0" labelOnly="1" grandRow="1" outline="0" fieldPosition="0"/>
    </format>
    <format dxfId="72">
      <pivotArea field="4" type="button" dataOnly="0" labelOnly="1" outline="0" axis="axisRow" fieldPosition="0"/>
    </format>
    <format dxfId="71">
      <pivotArea dataOnly="0" labelOnly="1" fieldPosition="0">
        <references count="1">
          <reference field="4" count="48">
            <x v="0"/>
            <x v="1"/>
            <x v="2"/>
            <x v="3"/>
            <x v="4"/>
            <x v="5"/>
            <x v="6"/>
            <x v="7"/>
            <x v="8"/>
            <x v="9"/>
            <x v="10"/>
            <x v="11"/>
            <x v="12"/>
            <x v="13"/>
            <x v="14"/>
            <x v="15"/>
            <x v="16"/>
            <x v="17"/>
            <x v="18"/>
            <x v="19"/>
            <x v="20"/>
            <x v="22"/>
            <x v="23"/>
            <x v="24"/>
            <x v="26"/>
            <x v="27"/>
            <x v="28"/>
            <x v="29"/>
            <x v="30"/>
            <x v="31"/>
            <x v="32"/>
            <x v="36"/>
            <x v="37"/>
            <x v="38"/>
            <x v="39"/>
            <x v="40"/>
            <x v="42"/>
            <x v="43"/>
            <x v="44"/>
            <x v="45"/>
            <x v="46"/>
            <x v="47"/>
            <x v="51"/>
            <x v="52"/>
            <x v="53"/>
            <x v="54"/>
            <x v="55"/>
            <x v="56"/>
          </reference>
        </references>
      </pivotArea>
    </format>
    <format dxfId="70">
      <pivotArea dataOnly="0" labelOnly="1" fieldPosition="0">
        <references count="1">
          <reference field="4" count="49">
            <x v="57"/>
            <x v="58"/>
            <x v="59"/>
            <x v="60"/>
            <x v="61"/>
            <x v="62"/>
            <x v="63"/>
            <x v="64"/>
            <x v="65"/>
            <x v="66"/>
            <x v="67"/>
            <x v="68"/>
            <x v="69"/>
            <x v="70"/>
            <x v="72"/>
            <x v="73"/>
            <x v="74"/>
            <x v="75"/>
            <x v="76"/>
            <x v="77"/>
            <x v="78"/>
            <x v="79"/>
            <x v="80"/>
            <x v="81"/>
            <x v="82"/>
            <x v="83"/>
            <x v="84"/>
            <x v="85"/>
            <x v="86"/>
            <x v="87"/>
            <x v="88"/>
            <x v="89"/>
            <x v="90"/>
            <x v="91"/>
            <x v="92"/>
            <x v="93"/>
            <x v="94"/>
            <x v="95"/>
            <x v="96"/>
            <x v="97"/>
            <x v="99"/>
            <x v="100"/>
            <x v="101"/>
            <x v="102"/>
            <x v="103"/>
            <x v="104"/>
            <x v="105"/>
            <x v="106"/>
            <x v="107"/>
          </reference>
        </references>
      </pivotArea>
    </format>
    <format dxfId="69">
      <pivotArea dataOnly="0" labelOnly="1" fieldPosition="0">
        <references count="1">
          <reference field="4" count="7">
            <x v="108"/>
            <x v="109"/>
            <x v="110"/>
            <x v="111"/>
            <x v="112"/>
            <x v="113"/>
            <x v="114"/>
          </reference>
        </references>
      </pivotArea>
    </format>
    <format dxfId="68">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90:G193" firstHeaderRow="1" firstDataRow="1" firstDataCol="1"/>
  <pivotFields count="11">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s>
  <rowFields count="1">
    <field x="3"/>
  </rowFields>
  <rowItems count="3">
    <i>
      <x/>
    </i>
    <i>
      <x v="1"/>
    </i>
    <i t="grand">
      <x/>
    </i>
  </rowItems>
  <colItems count="1">
    <i/>
  </colItems>
  <dataFields count="1">
    <dataField name="Average of Metric" fld="10" subtotal="average" baseField="3" baseItem="0"/>
  </dataFields>
  <formats count="8">
    <format dxfId="85">
      <pivotArea collapsedLevelsAreSubtotals="1" fieldPosition="0">
        <references count="1">
          <reference field="3" count="1">
            <x v="1"/>
          </reference>
        </references>
      </pivotArea>
    </format>
    <format dxfId="84">
      <pivotArea collapsedLevelsAreSubtotals="1" fieldPosition="0">
        <references count="1">
          <reference field="3" count="1">
            <x v="1"/>
          </reference>
        </references>
      </pivotArea>
    </format>
    <format dxfId="83">
      <pivotArea field="3" type="button" dataOnly="0" labelOnly="1" outline="0" axis="axisRow" fieldPosition="0"/>
    </format>
    <format dxfId="82">
      <pivotArea dataOnly="0" labelOnly="1" fieldPosition="0">
        <references count="1">
          <reference field="3" count="0"/>
        </references>
      </pivotArea>
    </format>
    <format dxfId="81">
      <pivotArea dataOnly="0" labelOnly="1" grandRow="1" outline="0" fieldPosition="0"/>
    </format>
    <format dxfId="80">
      <pivotArea field="3" type="button" dataOnly="0" labelOnly="1" outline="0" axis="axisRow" fieldPosition="0"/>
    </format>
    <format dxfId="79">
      <pivotArea dataOnly="0" labelOnly="1" fieldPosition="0">
        <references count="1">
          <reference field="3" count="0"/>
        </references>
      </pivotArea>
    </format>
    <format dxfId="78">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52:G187" firstHeaderRow="1" firstDataRow="1" firstDataCol="1"/>
  <pivotFields count="11">
    <pivotField showAll="0"/>
    <pivotField showAll="0"/>
    <pivotField axis="axisRow" showAll="0" sortType="a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showAll="0"/>
    <pivotField showAll="0"/>
    <pivotField showAll="0"/>
    <pivotField showAll="0"/>
    <pivotField showAll="0"/>
    <pivotField showAll="0"/>
    <pivotField dataField="1" showAll="0"/>
  </pivotFields>
  <rowFields count="1">
    <field x="2"/>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Average of Metric" fld="10" subtotal="average" baseField="2" baseItem="0"/>
  </dataFields>
  <formats count="7">
    <format dxfId="92">
      <pivotArea collapsedLevelsAreSubtotals="1" fieldPosition="0">
        <references count="1">
          <reference field="2" count="0"/>
        </references>
      </pivotArea>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35:G215" firstHeaderRow="1" firstDataRow="1" firstDataCol="1"/>
  <pivotFields count="11">
    <pivotField showAll="0"/>
    <pivotField showAll="0"/>
    <pivotField showAll="0"/>
    <pivotField showAll="0"/>
    <pivotField axis="axisRow" showAll="0" sortType="ascending">
      <items count="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8"/>
        <item x="73"/>
        <item x="74"/>
        <item x="75"/>
        <item x="76"/>
        <item x="77"/>
        <item t="default"/>
      </items>
    </pivotField>
    <pivotField showAll="0"/>
    <pivotField showAll="0"/>
    <pivotField showAll="0"/>
    <pivotField showAll="0"/>
    <pivotField showAll="0" defaultSubtotal="0"/>
    <pivotField dataField="1" showAll="0"/>
  </pivotFields>
  <rowFields count="1">
    <field x="4"/>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Items count="1">
    <i/>
  </colItems>
  <dataFields count="1">
    <dataField name="Average of Metric" fld="10" subtotal="average" baseField="4" baseItem="0"/>
  </dataFields>
  <formats count="12">
    <format dxfId="29">
      <pivotArea dataOnly="0" labelOnly="1" outline="0" axis="axisValues" fieldPosition="0"/>
    </format>
    <format dxfId="28">
      <pivotArea dataOnly="0" labelOnly="1" outline="0" axis="axisValues" fieldPosition="0"/>
    </format>
    <format dxfId="27">
      <pivotArea field="4" type="button" dataOnly="0" labelOnly="1" outline="0" axis="axisRow" fieldPosition="0"/>
    </format>
    <format dxfId="26">
      <pivotArea dataOnly="0" labelOnly="1" fieldPosition="0">
        <references count="1">
          <reference field="4" count="0"/>
        </references>
      </pivotArea>
    </format>
    <format dxfId="25">
      <pivotArea dataOnly="0" labelOnly="1" grandRow="1" outline="0" fieldPosition="0"/>
    </format>
    <format dxfId="24">
      <pivotArea field="4" type="button" dataOnly="0" labelOnly="1" outline="0" axis="axisRow" fieldPosition="0"/>
    </format>
    <format dxfId="23">
      <pivotArea dataOnly="0" labelOnly="1" fieldPosition="0">
        <references count="1">
          <reference field="4" count="0"/>
        </references>
      </pivotArea>
    </format>
    <format dxfId="22">
      <pivotArea dataOnly="0" labelOnly="1" grandRow="1" outline="0" fieldPosition="0"/>
    </format>
    <format dxfId="21">
      <pivotArea field="4" type="button" dataOnly="0" labelOnly="1" outline="0" axis="axisRow" fieldPosition="0"/>
    </format>
    <format dxfId="20">
      <pivotArea dataOnly="0" labelOnly="1" fieldPosition="0">
        <references count="1">
          <reference field="4" count="47">
            <x v="0"/>
            <x v="1"/>
            <x v="2"/>
            <x v="3"/>
            <x v="4"/>
            <x v="5"/>
            <x v="6"/>
            <x v="7"/>
            <x v="8"/>
            <x v="9"/>
            <x v="10"/>
            <x v="11"/>
            <x v="12"/>
            <x v="13"/>
            <x v="14"/>
            <x v="15"/>
            <x v="17"/>
            <x v="18"/>
            <x v="20"/>
            <x v="21"/>
            <x v="22"/>
            <x v="23"/>
            <x v="27"/>
            <x v="28"/>
            <x v="29"/>
            <x v="30"/>
            <x v="32"/>
            <x v="33"/>
            <x v="34"/>
            <x v="35"/>
            <x v="36"/>
            <x v="37"/>
            <x v="41"/>
            <x v="42"/>
            <x v="43"/>
            <x v="44"/>
            <x v="55"/>
            <x v="56"/>
            <x v="57"/>
            <x v="58"/>
            <x v="59"/>
            <x v="60"/>
            <x v="61"/>
            <x v="63"/>
            <x v="67"/>
            <x v="68"/>
            <x v="74"/>
          </reference>
        </references>
      </pivotArea>
    </format>
    <format dxfId="19">
      <pivotArea dataOnly="0" labelOnly="1" fieldPosition="0">
        <references count="1">
          <reference field="4" count="19">
            <x v="45"/>
            <x v="46"/>
            <x v="47"/>
            <x v="48"/>
            <x v="49"/>
            <x v="50"/>
            <x v="52"/>
            <x v="53"/>
            <x v="62"/>
            <x v="64"/>
            <x v="65"/>
            <x v="66"/>
            <x v="69"/>
            <x v="70"/>
            <x v="73"/>
            <x v="75"/>
            <x v="76"/>
            <x v="77"/>
            <x v="78"/>
          </reference>
        </references>
      </pivotArea>
    </format>
    <format dxfId="18">
      <pivotArea dataOnly="0" labelOnly="1" grandRow="1" outline="0"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01:G133" firstHeaderRow="1" firstDataRow="1" firstDataCol="1"/>
  <pivotFields count="11">
    <pivotField showAll="0"/>
    <pivotField showAll="0"/>
    <pivotField axis="axisRow" showAll="0">
      <items count="32">
        <item x="1"/>
        <item x="2"/>
        <item x="3"/>
        <item x="4"/>
        <item x="7"/>
        <item x="9"/>
        <item x="10"/>
        <item x="18"/>
        <item x="20"/>
        <item x="21"/>
        <item x="22"/>
        <item x="23"/>
        <item x="24"/>
        <item x="26"/>
        <item x="27"/>
        <item x="29"/>
        <item x="30"/>
        <item x="0"/>
        <item x="5"/>
        <item x="6"/>
        <item x="8"/>
        <item x="11"/>
        <item x="12"/>
        <item x="13"/>
        <item x="14"/>
        <item x="15"/>
        <item x="16"/>
        <item x="17"/>
        <item x="19"/>
        <item x="25"/>
        <item x="28"/>
        <item t="default"/>
      </items>
    </pivotField>
    <pivotField showAll="0"/>
    <pivotField showAll="0"/>
    <pivotField showAll="0"/>
    <pivotField showAll="0"/>
    <pivotField showAll="0"/>
    <pivotField showAll="0"/>
    <pivotField showAll="0" defaultSubtotal="0"/>
    <pivotField dataFiel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Metric" fld="10" subtotal="average" baseField="2" baseItem="0"/>
  </dataFields>
  <formats count="11">
    <format dxfId="40">
      <pivotArea dataOnly="0" labelOnly="1" outline="0" axis="axisValues" fieldPosition="0"/>
    </format>
    <format dxfId="39">
      <pivotArea dataOnly="0" labelOnly="1" outline="0" axis="axisValues"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s>
  <chartFormats count="9">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11"/>
          </reference>
        </references>
      </pivotArea>
    </chartFormat>
    <chartFormat chart="1" format="4">
      <pivotArea type="data" outline="0" fieldPosition="0">
        <references count="2">
          <reference field="4294967294" count="1" selected="0">
            <x v="0"/>
          </reference>
          <reference field="2" count="1" selected="0">
            <x v="28"/>
          </reference>
        </references>
      </pivotArea>
    </chartFormat>
    <chartFormat chart="1" format="5">
      <pivotArea type="data" outline="0" fieldPosition="0">
        <references count="2">
          <reference field="4294967294" count="1" selected="0">
            <x v="0"/>
          </reference>
          <reference field="2" count="1" selected="0">
            <x v="14"/>
          </reference>
        </references>
      </pivotArea>
    </chartFormat>
    <chartFormat chart="1" format="6">
      <pivotArea type="data" outline="0" fieldPosition="0">
        <references count="2">
          <reference field="4294967294" count="1" selected="0">
            <x v="0"/>
          </reference>
          <reference field="2" count="1" selected="0">
            <x v="20"/>
          </reference>
        </references>
      </pivotArea>
    </chartFormat>
    <chartFormat chart="1" format="7">
      <pivotArea type="data" outline="0" fieldPosition="0">
        <references count="2">
          <reference field="4294967294" count="1" selected="0">
            <x v="0"/>
          </reference>
          <reference field="2" count="1" selected="0">
            <x v="24"/>
          </reference>
        </references>
      </pivotArea>
    </chartFormat>
    <chartFormat chart="1" format="8">
      <pivotArea type="data" outline="0" fieldPosition="0">
        <references count="2">
          <reference field="4294967294" count="1" selected="0">
            <x v="0"/>
          </reference>
          <reference field="2" count="1" selected="0">
            <x v="26"/>
          </reference>
        </references>
      </pivotArea>
    </chartFormat>
    <chartFormat chart="1" format="9">
      <pivotArea type="data" outline="0" fieldPosition="0">
        <references count="2">
          <reference field="4294967294" count="1" selected="0">
            <x v="0"/>
          </reference>
          <reference field="2"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86:G94" firstHeaderRow="1" firstDataRow="1" firstDataCol="1"/>
  <pivotFields count="11">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defaultSubtotal="0"/>
    <pivotField dataField="1"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16">
    <format dxfId="56">
      <pivotArea collapsedLevelsAreSubtotals="1" fieldPosition="0">
        <references count="1">
          <reference field="1" count="1">
            <x v="1"/>
          </reference>
        </references>
      </pivotArea>
    </format>
    <format dxfId="55">
      <pivotArea collapsedLevelsAreSubtotals="1" fieldPosition="0">
        <references count="1">
          <reference field="1" count="1">
            <x v="3"/>
          </reference>
        </references>
      </pivotArea>
    </format>
    <format dxfId="54">
      <pivotArea collapsedLevelsAreSubtotals="1" fieldPosition="0">
        <references count="1">
          <reference field="1" count="1">
            <x v="4"/>
          </reference>
        </references>
      </pivotArea>
    </format>
    <format dxfId="53">
      <pivotArea dataOnly="0" labelOnly="1" outline="0" axis="axisValues" fieldPosition="0"/>
    </format>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field="1" type="button" dataOnly="0" labelOnly="1" outline="0" axis="axisRow" fieldPosition="0"/>
    </format>
    <format dxfId="48">
      <pivotArea dataOnly="0" labelOnly="1" fieldPosition="0">
        <references count="1">
          <reference field="1" count="0"/>
        </references>
      </pivotArea>
    </format>
    <format dxfId="47">
      <pivotArea dataOnly="0" labelOnly="1" grandRow="1" outline="0"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45:G82" firstHeaderRow="1" firstDataRow="1" firstDataCol="1"/>
  <pivotFields count="11">
    <pivotField showAll="0"/>
    <pivotField showAll="0"/>
    <pivotField showAll="0"/>
    <pivotField showAll="0"/>
    <pivotField axis="axisRow" showAll="0" sortType="ascending">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3"/>
        <item x="30"/>
        <item x="31"/>
        <item x="32"/>
        <item x="34"/>
        <item x="35"/>
        <item t="default"/>
      </items>
    </pivotField>
    <pivotField showAll="0"/>
    <pivotField showAll="0"/>
    <pivotField showAll="0"/>
    <pivotField showAll="0"/>
    <pivotField showAll="0" defaultSubtotal="0"/>
    <pivotField dataField="1" showAll="0"/>
  </pivotFields>
  <rowFields count="1">
    <field x="4"/>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Average of Metric" fld="10" subtotal="average" baseField="4" baseItem="0"/>
  </dataFields>
  <formats count="6">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grandRow="1" outline="0" fieldPosition="0"/>
    </format>
    <format dxfId="2">
      <pivotArea field="4" type="button" dataOnly="0" labelOnly="1" outline="0" axis="axisRow" fieldPosition="0"/>
    </format>
    <format dxfId="1">
      <pivotArea dataOnly="0" labelOnly="1" fieldPosition="0">
        <references count="1">
          <reference field="4" count="0"/>
        </references>
      </pivotArea>
    </format>
    <format dxfId="0">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112:G120" firstHeaderRow="1" firstDataRow="1" firstDataCol="1"/>
  <pivotFields count="11">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defaultSubtotal="0"/>
    <pivotField dataField="1" showAll="0"/>
  </pivotFields>
  <rowFields count="1">
    <field x="1"/>
  </rowFields>
  <rowItems count="8">
    <i>
      <x/>
    </i>
    <i>
      <x v="1"/>
    </i>
    <i>
      <x v="2"/>
    </i>
    <i>
      <x v="3"/>
    </i>
    <i>
      <x v="4"/>
    </i>
    <i>
      <x v="5"/>
    </i>
    <i>
      <x v="6"/>
    </i>
    <i t="grand">
      <x/>
    </i>
  </rowItems>
  <colItems count="1">
    <i/>
  </colItems>
  <dataFields count="1">
    <dataField name="Average of Metric" fld="10" subtotal="average" baseField="1" baseItem="0"/>
  </dataFields>
  <formats count="6">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field="1" type="button" dataOnly="0" labelOnly="1" outline="0" axis="axisRow" fieldPosition="0"/>
    </format>
    <format dxfId="7">
      <pivotArea dataOnly="0" labelOnly="1" fieldPosition="0">
        <references count="1">
          <reference field="1" count="0"/>
        </references>
      </pivotArea>
    </format>
    <format dxfId="6">
      <pivotArea dataOnly="0" labelOnly="1" grandRow="1" outline="0"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84:G109" firstHeaderRow="1" firstDataRow="1" firstDataCol="1"/>
  <pivotFields count="11">
    <pivotField showAll="0"/>
    <pivotField showAll="0"/>
    <pivotField axis="axisRow" showAll="0" sortType="ascending">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defaultSubtotal="0"/>
    <pivotField dataField="1"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Metric" fld="10" subtotal="average" baseField="2" baseItem="0"/>
  </dataFields>
  <formats count="6">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grandRow="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0:C64" firstHeaderRow="1" firstDataRow="1" firstDataCol="1"/>
  <pivotFields count="7">
    <pivotField axis="axisRow" showAll="0">
      <items count="24">
        <item x="0"/>
        <item x="1"/>
        <item x="2"/>
        <item x="3"/>
        <item x="4"/>
        <item x="5"/>
        <item x="6"/>
        <item x="7"/>
        <item x="8"/>
        <item x="9"/>
        <item x="10"/>
        <item x="11"/>
        <item x="12"/>
        <item x="13"/>
        <item x="14"/>
        <item x="15"/>
        <item x="16"/>
        <item x="17"/>
        <item x="18"/>
        <item x="19"/>
        <item x="20"/>
        <item x="21"/>
        <item x="22"/>
        <item t="default"/>
      </items>
    </pivotField>
    <pivotField showAll="0"/>
    <pivotField showAll="0"/>
    <pivotField showAll="0" defaultSubtotal="0"/>
    <pivotField dataField="1" showAll="0" defaultSubtotal="0"/>
    <pivotField showAll="0" defaultSubtotal="0"/>
    <pivotField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M_x000a_Wt2"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5.xml"/><Relationship Id="rId5" Type="http://schemas.openxmlformats.org/officeDocument/2006/relationships/printerSettings" Target="../printerSettings/printerSettings8.bin"/><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10" sqref="I9:I10"/>
    </sheetView>
  </sheetViews>
  <sheetFormatPr defaultRowHeight="15" x14ac:dyDescent="0.25"/>
  <cols>
    <col min="1" max="1" width="14.5703125" bestFit="1" customWidth="1"/>
    <col min="3" max="3" width="10.42578125" customWidth="1"/>
  </cols>
  <sheetData>
    <row r="1" spans="1:7" s="14" customFormat="1" ht="30" x14ac:dyDescent="0.25">
      <c r="A1" s="13" t="s">
        <v>108</v>
      </c>
      <c r="B1" s="10" t="s">
        <v>0</v>
      </c>
      <c r="C1" s="144" t="s">
        <v>2</v>
      </c>
      <c r="D1" s="144"/>
      <c r="E1" s="144"/>
      <c r="F1" s="144"/>
      <c r="G1" s="144"/>
    </row>
    <row r="2" spans="1:7" ht="25.5" customHeight="1" x14ac:dyDescent="0.25">
      <c r="A2" s="143" t="s">
        <v>105</v>
      </c>
      <c r="B2" s="3">
        <v>1.1000000000000001</v>
      </c>
      <c r="C2" s="145" t="s">
        <v>98</v>
      </c>
      <c r="D2" s="145"/>
      <c r="E2" s="145"/>
      <c r="F2" s="145"/>
      <c r="G2" s="145"/>
    </row>
    <row r="3" spans="1:7" x14ac:dyDescent="0.25">
      <c r="A3" s="143"/>
      <c r="B3" s="3" t="s">
        <v>99</v>
      </c>
      <c r="C3" s="2"/>
      <c r="D3" s="11"/>
      <c r="E3" s="11"/>
      <c r="F3" s="11"/>
      <c r="G3" s="11"/>
    </row>
    <row r="4" spans="1:7" x14ac:dyDescent="0.25">
      <c r="A4" s="143"/>
      <c r="B4" s="3" t="s">
        <v>100</v>
      </c>
      <c r="C4" s="2"/>
      <c r="D4" s="11"/>
      <c r="E4" s="11"/>
      <c r="F4" s="11"/>
      <c r="G4" s="11"/>
    </row>
    <row r="5" spans="1:7" ht="31.5" customHeight="1" x14ac:dyDescent="0.25">
      <c r="A5" s="143" t="s">
        <v>106</v>
      </c>
      <c r="B5" s="3">
        <v>2.1</v>
      </c>
      <c r="C5" s="146" t="s">
        <v>101</v>
      </c>
      <c r="D5" s="146"/>
      <c r="E5" s="146"/>
      <c r="F5" s="146"/>
      <c r="G5" s="146"/>
    </row>
    <row r="6" spans="1:7" ht="30.75" customHeight="1" x14ac:dyDescent="0.25">
      <c r="A6" s="143"/>
      <c r="B6" s="3">
        <v>2.2000000000000002</v>
      </c>
      <c r="C6" s="146" t="s">
        <v>102</v>
      </c>
      <c r="D6" s="146"/>
      <c r="E6" s="146"/>
      <c r="F6" s="146"/>
      <c r="G6" s="146"/>
    </row>
    <row r="7" spans="1:7" x14ac:dyDescent="0.25">
      <c r="A7" s="143"/>
      <c r="B7" s="3" t="s">
        <v>99</v>
      </c>
      <c r="C7" s="2"/>
      <c r="D7" s="11"/>
      <c r="E7" s="11"/>
      <c r="F7" s="11"/>
      <c r="G7" s="11"/>
    </row>
    <row r="8" spans="1:7" x14ac:dyDescent="0.25">
      <c r="A8" s="143"/>
      <c r="B8" s="3" t="s">
        <v>100</v>
      </c>
      <c r="C8" s="2"/>
      <c r="D8" s="11"/>
      <c r="E8" s="11"/>
      <c r="F8" s="11"/>
      <c r="G8" s="11"/>
    </row>
    <row r="9" spans="1:7" ht="30.75" customHeight="1" x14ac:dyDescent="0.25">
      <c r="A9" s="143" t="s">
        <v>107</v>
      </c>
      <c r="B9" s="3">
        <v>3.1</v>
      </c>
      <c r="C9" s="146" t="s">
        <v>103</v>
      </c>
      <c r="D9" s="146"/>
      <c r="E9" s="146"/>
      <c r="F9" s="146"/>
      <c r="G9" s="146"/>
    </row>
    <row r="10" spans="1:7" x14ac:dyDescent="0.25">
      <c r="A10" s="143"/>
      <c r="B10" s="3" t="s">
        <v>99</v>
      </c>
      <c r="C10" s="2"/>
      <c r="D10" s="11"/>
      <c r="E10" s="11"/>
      <c r="F10" s="11"/>
      <c r="G10" s="11"/>
    </row>
    <row r="11" spans="1:7" ht="25.5" x14ac:dyDescent="0.25">
      <c r="A11" s="143"/>
      <c r="B11" s="3" t="s">
        <v>104</v>
      </c>
      <c r="C11" s="2"/>
      <c r="D11" s="11"/>
      <c r="E11" s="11"/>
      <c r="F11" s="11"/>
      <c r="G11" s="11"/>
    </row>
  </sheetData>
  <mergeCells count="8">
    <mergeCell ref="A5:A8"/>
    <mergeCell ref="A9:A11"/>
    <mergeCell ref="A2:A4"/>
    <mergeCell ref="C1:G1"/>
    <mergeCell ref="C2:G2"/>
    <mergeCell ref="C5:G5"/>
    <mergeCell ref="C6:G6"/>
    <mergeCell ref="C9:G9"/>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09"/>
  <sheetViews>
    <sheetView topLeftCell="A104" zoomScale="80" zoomScaleNormal="80" workbookViewId="0">
      <selection activeCell="H3" sqref="H3:H109"/>
    </sheetView>
  </sheetViews>
  <sheetFormatPr defaultRowHeight="15" x14ac:dyDescent="0.25"/>
  <cols>
    <col min="1" max="1" width="3.5703125" style="1" bestFit="1" customWidth="1"/>
    <col min="2" max="3" width="16.28515625" style="6" hidden="1" customWidth="1"/>
    <col min="4" max="5" width="7" bestFit="1" customWidth="1"/>
    <col min="6" max="6" width="58.5703125" customWidth="1"/>
    <col min="7" max="7" width="3.5703125" bestFit="1" customWidth="1"/>
    <col min="8" max="8" width="12.5703125" customWidth="1"/>
    <col min="9" max="9" width="11.42578125" bestFit="1" customWidth="1"/>
  </cols>
  <sheetData>
    <row r="2" spans="1:9" s="1" customFormat="1" ht="51" x14ac:dyDescent="0.25">
      <c r="A2" s="12" t="s">
        <v>1</v>
      </c>
      <c r="B2" s="12" t="s">
        <v>112</v>
      </c>
      <c r="C2" s="12" t="s">
        <v>114</v>
      </c>
      <c r="D2" s="12" t="s">
        <v>113</v>
      </c>
      <c r="E2" s="12" t="s">
        <v>115</v>
      </c>
      <c r="F2" s="12" t="s">
        <v>124</v>
      </c>
      <c r="G2" s="12" t="s">
        <v>122</v>
      </c>
      <c r="H2" s="40" t="s">
        <v>197</v>
      </c>
      <c r="I2" s="40" t="s">
        <v>196</v>
      </c>
    </row>
    <row r="3" spans="1:9" ht="102" x14ac:dyDescent="0.25">
      <c r="A3" s="36">
        <f>SUBTOTAL(3,$B$3:B3)</f>
        <v>1</v>
      </c>
      <c r="B3" s="8" t="s">
        <v>91</v>
      </c>
      <c r="C3" s="8" t="s">
        <v>61</v>
      </c>
      <c r="D3" s="97" t="s">
        <v>58</v>
      </c>
      <c r="E3" s="97" t="s">
        <v>3</v>
      </c>
      <c r="F3" s="2" t="s">
        <v>233</v>
      </c>
      <c r="G3" s="101">
        <v>20</v>
      </c>
      <c r="H3" s="97"/>
      <c r="I3" s="11"/>
    </row>
    <row r="4" spans="1:9" ht="114.75" x14ac:dyDescent="0.25">
      <c r="A4" s="36">
        <f>SUBTOTAL(3,$B$3:B4)</f>
        <v>2</v>
      </c>
      <c r="B4" s="8" t="s">
        <v>91</v>
      </c>
      <c r="C4" s="8" t="s">
        <v>61</v>
      </c>
      <c r="D4" s="97" t="s">
        <v>59</v>
      </c>
      <c r="E4" s="97" t="s">
        <v>234</v>
      </c>
      <c r="F4" s="2" t="s">
        <v>235</v>
      </c>
      <c r="G4" s="101">
        <v>20</v>
      </c>
      <c r="H4" s="97" t="s">
        <v>392</v>
      </c>
      <c r="I4" s="11"/>
    </row>
    <row r="5" spans="1:9" ht="89.25" x14ac:dyDescent="0.25">
      <c r="A5" s="36">
        <f>SUBTOTAL(3,$B$3:B5)</f>
        <v>3</v>
      </c>
      <c r="B5" s="8" t="s">
        <v>91</v>
      </c>
      <c r="C5" s="8" t="s">
        <v>62</v>
      </c>
      <c r="D5" s="97" t="s">
        <v>59</v>
      </c>
      <c r="E5" s="97" t="s">
        <v>236</v>
      </c>
      <c r="F5" s="2" t="s">
        <v>237</v>
      </c>
      <c r="G5" s="101">
        <v>10</v>
      </c>
      <c r="H5" s="97" t="s">
        <v>392</v>
      </c>
      <c r="I5" s="11"/>
    </row>
    <row r="6" spans="1:9" ht="102" x14ac:dyDescent="0.25">
      <c r="A6" s="36">
        <f>SUBTOTAL(3,$B$3:B6)</f>
        <v>4</v>
      </c>
      <c r="B6" s="8" t="s">
        <v>91</v>
      </c>
      <c r="C6" s="8" t="s">
        <v>63</v>
      </c>
      <c r="D6" s="97" t="s">
        <v>59</v>
      </c>
      <c r="E6" s="97" t="s">
        <v>4</v>
      </c>
      <c r="F6" s="2" t="s">
        <v>238</v>
      </c>
      <c r="G6" s="101">
        <v>20</v>
      </c>
      <c r="H6" s="97" t="s">
        <v>393</v>
      </c>
      <c r="I6" s="11"/>
    </row>
    <row r="7" spans="1:9" ht="89.25" x14ac:dyDescent="0.25">
      <c r="A7" s="36">
        <f>SUBTOTAL(3,$B$3:B7)</f>
        <v>5</v>
      </c>
      <c r="B7" s="8" t="s">
        <v>92</v>
      </c>
      <c r="C7" s="8" t="s">
        <v>64</v>
      </c>
      <c r="D7" s="97" t="s">
        <v>59</v>
      </c>
      <c r="E7" s="97" t="s">
        <v>5</v>
      </c>
      <c r="F7" s="2" t="s">
        <v>239</v>
      </c>
      <c r="G7" s="101">
        <v>20</v>
      </c>
      <c r="H7" s="97" t="s">
        <v>392</v>
      </c>
      <c r="I7" s="11"/>
    </row>
    <row r="8" spans="1:9" ht="63.75" x14ac:dyDescent="0.25">
      <c r="A8" s="36">
        <f>SUBTOTAL(3,$B$3:B8)</f>
        <v>6</v>
      </c>
      <c r="B8" s="8" t="s">
        <v>92</v>
      </c>
      <c r="C8" s="8" t="s">
        <v>64</v>
      </c>
      <c r="D8" s="97" t="s">
        <v>58</v>
      </c>
      <c r="E8" s="97" t="s">
        <v>6</v>
      </c>
      <c r="F8" s="2" t="s">
        <v>240</v>
      </c>
      <c r="G8" s="101">
        <v>10</v>
      </c>
      <c r="H8" s="97"/>
      <c r="I8" s="11"/>
    </row>
    <row r="9" spans="1:9" ht="76.5" x14ac:dyDescent="0.25">
      <c r="A9" s="36">
        <f>SUBTOTAL(3,$B$3:B9)</f>
        <v>7</v>
      </c>
      <c r="B9" s="8" t="s">
        <v>92</v>
      </c>
      <c r="C9" s="8" t="s">
        <v>65</v>
      </c>
      <c r="D9" s="97" t="s">
        <v>59</v>
      </c>
      <c r="E9" s="97" t="s">
        <v>7</v>
      </c>
      <c r="F9" s="2" t="s">
        <v>241</v>
      </c>
      <c r="G9" s="101">
        <v>10</v>
      </c>
      <c r="H9" s="97" t="s">
        <v>394</v>
      </c>
      <c r="I9" s="11"/>
    </row>
    <row r="10" spans="1:9" ht="76.5" x14ac:dyDescent="0.25">
      <c r="A10" s="36">
        <f>SUBTOTAL(3,$B$3:B10)</f>
        <v>8</v>
      </c>
      <c r="B10" s="8" t="s">
        <v>92</v>
      </c>
      <c r="C10" s="8" t="s">
        <v>66</v>
      </c>
      <c r="D10" s="97" t="s">
        <v>59</v>
      </c>
      <c r="E10" s="97" t="s">
        <v>242</v>
      </c>
      <c r="F10" s="2" t="s">
        <v>243</v>
      </c>
      <c r="G10" s="101">
        <v>10</v>
      </c>
      <c r="H10" s="97" t="s">
        <v>395</v>
      </c>
      <c r="I10" s="11"/>
    </row>
    <row r="11" spans="1:9" ht="63.75" x14ac:dyDescent="0.25">
      <c r="A11" s="36">
        <f>SUBTOTAL(3,$B$3:B11)</f>
        <v>9</v>
      </c>
      <c r="B11" s="8" t="s">
        <v>92</v>
      </c>
      <c r="C11" s="8" t="s">
        <v>66</v>
      </c>
      <c r="D11" s="97" t="s">
        <v>59</v>
      </c>
      <c r="E11" s="97" t="s">
        <v>244</v>
      </c>
      <c r="F11" s="2" t="s">
        <v>245</v>
      </c>
      <c r="G11" s="101">
        <v>10</v>
      </c>
      <c r="H11" s="97" t="s">
        <v>396</v>
      </c>
      <c r="I11" s="11"/>
    </row>
    <row r="12" spans="1:9" ht="60" x14ac:dyDescent="0.25">
      <c r="A12" s="36">
        <f>SUBTOTAL(3,$B$3:B12)</f>
        <v>10</v>
      </c>
      <c r="B12" s="8" t="s">
        <v>92</v>
      </c>
      <c r="C12" s="8" t="s">
        <v>68</v>
      </c>
      <c r="D12" s="97" t="s">
        <v>59</v>
      </c>
      <c r="E12" s="97" t="s">
        <v>8</v>
      </c>
      <c r="F12" s="2" t="s">
        <v>246</v>
      </c>
      <c r="G12" s="101">
        <v>10</v>
      </c>
      <c r="H12" s="97" t="s">
        <v>397</v>
      </c>
      <c r="I12" s="11"/>
    </row>
    <row r="13" spans="1:9" ht="89.25" x14ac:dyDescent="0.25">
      <c r="A13" s="36">
        <f>SUBTOTAL(3,$B$3:B13)</f>
        <v>11</v>
      </c>
      <c r="B13" s="8" t="s">
        <v>92</v>
      </c>
      <c r="C13" s="8" t="s">
        <v>69</v>
      </c>
      <c r="D13" s="97" t="s">
        <v>59</v>
      </c>
      <c r="E13" s="97" t="s">
        <v>247</v>
      </c>
      <c r="F13" s="2" t="s">
        <v>248</v>
      </c>
      <c r="G13" s="101">
        <v>10</v>
      </c>
      <c r="H13" s="97" t="s">
        <v>397</v>
      </c>
      <c r="I13" s="11"/>
    </row>
    <row r="14" spans="1:9" ht="63.75" x14ac:dyDescent="0.25">
      <c r="A14" s="36">
        <f>SUBTOTAL(3,$B$3:B14)</f>
        <v>12</v>
      </c>
      <c r="B14" s="8" t="s">
        <v>93</v>
      </c>
      <c r="C14" s="8" t="s">
        <v>70</v>
      </c>
      <c r="D14" s="97" t="s">
        <v>59</v>
      </c>
      <c r="E14" s="4" t="s">
        <v>9</v>
      </c>
      <c r="F14" s="2" t="s">
        <v>249</v>
      </c>
      <c r="G14" s="101">
        <v>10</v>
      </c>
      <c r="H14" s="97" t="s">
        <v>398</v>
      </c>
      <c r="I14" s="11"/>
    </row>
    <row r="15" spans="1:9" ht="76.5" x14ac:dyDescent="0.25">
      <c r="A15" s="36">
        <f>SUBTOTAL(3,$B$3:B15)</f>
        <v>13</v>
      </c>
      <c r="B15" s="8" t="s">
        <v>93</v>
      </c>
      <c r="C15" s="8" t="s">
        <v>71</v>
      </c>
      <c r="D15" s="97" t="s">
        <v>59</v>
      </c>
      <c r="E15" s="97" t="s">
        <v>10</v>
      </c>
      <c r="F15" s="2" t="s">
        <v>250</v>
      </c>
      <c r="G15" s="101">
        <v>10</v>
      </c>
      <c r="H15" s="97" t="s">
        <v>398</v>
      </c>
      <c r="I15" s="11"/>
    </row>
    <row r="16" spans="1:9" ht="63.75" x14ac:dyDescent="0.25">
      <c r="A16" s="36">
        <f>SUBTOTAL(3,$B$3:B16)</f>
        <v>14</v>
      </c>
      <c r="B16" s="8" t="s">
        <v>93</v>
      </c>
      <c r="C16" s="8" t="s">
        <v>72</v>
      </c>
      <c r="D16" s="97" t="s">
        <v>58</v>
      </c>
      <c r="E16" s="97" t="s">
        <v>11</v>
      </c>
      <c r="F16" s="2" t="s">
        <v>251</v>
      </c>
      <c r="G16" s="101">
        <v>15</v>
      </c>
      <c r="H16" s="97"/>
      <c r="I16" s="11"/>
    </row>
    <row r="17" spans="1:9" ht="45" x14ac:dyDescent="0.25">
      <c r="A17" s="36">
        <f>SUBTOTAL(3,$B$3:B17)</f>
        <v>15</v>
      </c>
      <c r="B17" s="8" t="s">
        <v>93</v>
      </c>
      <c r="C17" s="8" t="s">
        <v>72</v>
      </c>
      <c r="D17" s="97" t="s">
        <v>59</v>
      </c>
      <c r="E17" s="4" t="s">
        <v>252</v>
      </c>
      <c r="F17" s="2" t="s">
        <v>253</v>
      </c>
      <c r="G17" s="101">
        <v>15</v>
      </c>
      <c r="H17" s="97" t="s">
        <v>399</v>
      </c>
      <c r="I17" s="11"/>
    </row>
    <row r="18" spans="1:9" ht="51" x14ac:dyDescent="0.25">
      <c r="A18" s="36">
        <f>SUBTOTAL(3,$B$3:B18)</f>
        <v>16</v>
      </c>
      <c r="B18" s="8" t="s">
        <v>93</v>
      </c>
      <c r="C18" s="8" t="s">
        <v>73</v>
      </c>
      <c r="D18" s="97" t="s">
        <v>58</v>
      </c>
      <c r="E18" s="4" t="s">
        <v>12</v>
      </c>
      <c r="F18" s="2" t="s">
        <v>254</v>
      </c>
      <c r="G18" s="101">
        <v>15</v>
      </c>
      <c r="H18" s="97"/>
      <c r="I18" s="11"/>
    </row>
    <row r="19" spans="1:9" ht="45" x14ac:dyDescent="0.25">
      <c r="A19" s="36">
        <f>SUBTOTAL(3,$B$3:B19)</f>
        <v>17</v>
      </c>
      <c r="B19" s="8" t="s">
        <v>93</v>
      </c>
      <c r="C19" s="8" t="s">
        <v>74</v>
      </c>
      <c r="D19" s="97" t="s">
        <v>58</v>
      </c>
      <c r="E19" s="5" t="s">
        <v>255</v>
      </c>
      <c r="F19" s="2" t="s">
        <v>256</v>
      </c>
      <c r="G19" s="101">
        <v>15</v>
      </c>
      <c r="H19" s="97"/>
      <c r="I19" s="11"/>
    </row>
    <row r="20" spans="1:9" ht="63.75" x14ac:dyDescent="0.25">
      <c r="A20" s="36">
        <f>SUBTOTAL(3,$B$3:B20)</f>
        <v>18</v>
      </c>
      <c r="B20" s="8" t="s">
        <v>94</v>
      </c>
      <c r="C20" s="8" t="s">
        <v>75</v>
      </c>
      <c r="D20" s="97" t="s">
        <v>59</v>
      </c>
      <c r="E20" s="97" t="s">
        <v>257</v>
      </c>
      <c r="F20" s="2" t="s">
        <v>258</v>
      </c>
      <c r="G20" s="101">
        <v>10</v>
      </c>
      <c r="H20" s="97" t="s">
        <v>400</v>
      </c>
      <c r="I20" s="11"/>
    </row>
    <row r="21" spans="1:9" ht="63.75" x14ac:dyDescent="0.25">
      <c r="A21" s="36">
        <f>SUBTOTAL(3,$B$3:B21)</f>
        <v>19</v>
      </c>
      <c r="B21" s="8" t="s">
        <v>94</v>
      </c>
      <c r="C21" s="8" t="s">
        <v>77</v>
      </c>
      <c r="D21" s="97" t="s">
        <v>58</v>
      </c>
      <c r="E21" s="4" t="s">
        <v>259</v>
      </c>
      <c r="F21" s="2" t="s">
        <v>260</v>
      </c>
      <c r="G21" s="101">
        <v>10</v>
      </c>
      <c r="H21" s="97"/>
      <c r="I21" s="11"/>
    </row>
    <row r="22" spans="1:9" ht="45" x14ac:dyDescent="0.25">
      <c r="A22" s="36">
        <f>SUBTOTAL(3,$B$3:B22)</f>
        <v>20</v>
      </c>
      <c r="B22" s="8" t="s">
        <v>94</v>
      </c>
      <c r="C22" s="8" t="s">
        <v>78</v>
      </c>
      <c r="D22" s="97" t="s">
        <v>59</v>
      </c>
      <c r="E22" s="4" t="s">
        <v>13</v>
      </c>
      <c r="F22" s="2" t="s">
        <v>261</v>
      </c>
      <c r="G22" s="101">
        <v>15</v>
      </c>
      <c r="H22" s="97" t="s">
        <v>401</v>
      </c>
      <c r="I22" s="11"/>
    </row>
    <row r="23" spans="1:9" ht="76.5" x14ac:dyDescent="0.25">
      <c r="A23" s="36">
        <f>SUBTOTAL(3,$B$3:B23)</f>
        <v>21</v>
      </c>
      <c r="B23" s="9" t="s">
        <v>95</v>
      </c>
      <c r="C23" s="8" t="s">
        <v>79</v>
      </c>
      <c r="D23" s="97" t="s">
        <v>59</v>
      </c>
      <c r="E23" s="4" t="s">
        <v>14</v>
      </c>
      <c r="F23" s="2" t="s">
        <v>262</v>
      </c>
      <c r="G23" s="101">
        <v>20</v>
      </c>
      <c r="H23" s="97" t="s">
        <v>402</v>
      </c>
      <c r="I23" s="11"/>
    </row>
    <row r="24" spans="1:9" ht="63.75" x14ac:dyDescent="0.25">
      <c r="A24" s="36">
        <f>SUBTOTAL(3,$B$3:B24)</f>
        <v>22</v>
      </c>
      <c r="B24" s="9" t="s">
        <v>95</v>
      </c>
      <c r="C24" s="8" t="s">
        <v>79</v>
      </c>
      <c r="D24" s="97" t="s">
        <v>59</v>
      </c>
      <c r="E24" s="97" t="s">
        <v>263</v>
      </c>
      <c r="F24" s="2" t="s">
        <v>264</v>
      </c>
      <c r="G24" s="101">
        <v>15</v>
      </c>
      <c r="H24" s="97" t="s">
        <v>403</v>
      </c>
      <c r="I24" s="11"/>
    </row>
    <row r="25" spans="1:9" ht="102" x14ac:dyDescent="0.25">
      <c r="A25" s="36">
        <f>SUBTOTAL(3,$B$3:B25)</f>
        <v>23</v>
      </c>
      <c r="B25" s="9" t="s">
        <v>95</v>
      </c>
      <c r="C25" s="8" t="s">
        <v>79</v>
      </c>
      <c r="D25" s="97" t="s">
        <v>59</v>
      </c>
      <c r="E25" s="97" t="s">
        <v>15</v>
      </c>
      <c r="F25" s="2" t="s">
        <v>265</v>
      </c>
      <c r="G25" s="101">
        <v>20</v>
      </c>
      <c r="H25" s="97" t="s">
        <v>404</v>
      </c>
      <c r="I25" s="11"/>
    </row>
    <row r="26" spans="1:9" ht="63.75" x14ac:dyDescent="0.25">
      <c r="A26" s="36">
        <f>SUBTOTAL(3,$B$3:B26)</f>
        <v>24</v>
      </c>
      <c r="B26" s="9" t="s">
        <v>95</v>
      </c>
      <c r="C26" s="8" t="s">
        <v>79</v>
      </c>
      <c r="D26" s="97" t="s">
        <v>59</v>
      </c>
      <c r="E26" s="4" t="s">
        <v>266</v>
      </c>
      <c r="F26" s="2" t="s">
        <v>267</v>
      </c>
      <c r="G26" s="101">
        <v>15</v>
      </c>
      <c r="H26" s="97" t="s">
        <v>405</v>
      </c>
      <c r="I26" s="11"/>
    </row>
    <row r="27" spans="1:9" ht="102" x14ac:dyDescent="0.25">
      <c r="A27" s="36">
        <f>SUBTOTAL(3,$B$3:B27)</f>
        <v>25</v>
      </c>
      <c r="B27" s="9" t="s">
        <v>95</v>
      </c>
      <c r="C27" s="8" t="s">
        <v>80</v>
      </c>
      <c r="D27" s="97" t="s">
        <v>58</v>
      </c>
      <c r="E27" s="4" t="s">
        <v>268</v>
      </c>
      <c r="F27" s="2" t="s">
        <v>269</v>
      </c>
      <c r="G27" s="101">
        <v>15</v>
      </c>
      <c r="H27" s="97"/>
      <c r="I27" s="11"/>
    </row>
    <row r="28" spans="1:9" ht="76.5" x14ac:dyDescent="0.25">
      <c r="A28" s="36">
        <f>SUBTOTAL(3,$B$3:B28)</f>
        <v>26</v>
      </c>
      <c r="B28" s="9" t="s">
        <v>95</v>
      </c>
      <c r="C28" s="8" t="s">
        <v>80</v>
      </c>
      <c r="D28" s="97" t="s">
        <v>58</v>
      </c>
      <c r="E28" s="97" t="s">
        <v>16</v>
      </c>
      <c r="F28" s="2" t="s">
        <v>270</v>
      </c>
      <c r="G28" s="101">
        <v>20</v>
      </c>
      <c r="H28" s="97"/>
      <c r="I28" s="11"/>
    </row>
    <row r="29" spans="1:9" ht="63.75" x14ac:dyDescent="0.25">
      <c r="A29" s="36">
        <f>SUBTOTAL(3,$B$3:B29)</f>
        <v>27</v>
      </c>
      <c r="B29" s="9" t="s">
        <v>95</v>
      </c>
      <c r="C29" s="8" t="s">
        <v>81</v>
      </c>
      <c r="D29" s="97" t="s">
        <v>58</v>
      </c>
      <c r="E29" s="4" t="s">
        <v>17</v>
      </c>
      <c r="F29" s="2" t="s">
        <v>271</v>
      </c>
      <c r="G29" s="101">
        <v>10</v>
      </c>
      <c r="H29" s="97"/>
      <c r="I29" s="11"/>
    </row>
    <row r="30" spans="1:9" ht="89.25" x14ac:dyDescent="0.25">
      <c r="A30" s="36">
        <f>SUBTOTAL(3,$B$3:B30)</f>
        <v>28</v>
      </c>
      <c r="B30" s="9" t="s">
        <v>95</v>
      </c>
      <c r="C30" s="8" t="s">
        <v>81</v>
      </c>
      <c r="D30" s="97" t="s">
        <v>59</v>
      </c>
      <c r="E30" s="97" t="s">
        <v>272</v>
      </c>
      <c r="F30" s="2" t="s">
        <v>273</v>
      </c>
      <c r="G30" s="101">
        <v>20</v>
      </c>
      <c r="H30" s="97" t="s">
        <v>396</v>
      </c>
      <c r="I30" s="11"/>
    </row>
    <row r="31" spans="1:9" ht="45" x14ac:dyDescent="0.25">
      <c r="A31" s="36">
        <f>SUBTOTAL(3,$B$3:B31)</f>
        <v>29</v>
      </c>
      <c r="B31" s="8" t="s">
        <v>96</v>
      </c>
      <c r="C31" s="8" t="s">
        <v>84</v>
      </c>
      <c r="D31" s="97" t="s">
        <v>59</v>
      </c>
      <c r="E31" s="97" t="s">
        <v>18</v>
      </c>
      <c r="F31" s="2" t="s">
        <v>274</v>
      </c>
      <c r="G31" s="101">
        <v>50</v>
      </c>
      <c r="H31" s="97" t="s">
        <v>406</v>
      </c>
      <c r="I31" s="11"/>
    </row>
    <row r="32" spans="1:9" ht="51" x14ac:dyDescent="0.25">
      <c r="A32" s="36">
        <f>SUBTOTAL(3,$B$3:B32)</f>
        <v>30</v>
      </c>
      <c r="B32" s="8" t="s">
        <v>96</v>
      </c>
      <c r="C32" s="8" t="s">
        <v>85</v>
      </c>
      <c r="D32" s="97" t="s">
        <v>58</v>
      </c>
      <c r="E32" s="4" t="s">
        <v>19</v>
      </c>
      <c r="F32" s="2" t="s">
        <v>275</v>
      </c>
      <c r="G32" s="101">
        <v>6</v>
      </c>
      <c r="H32" s="97"/>
      <c r="I32" s="11"/>
    </row>
    <row r="33" spans="1:9" ht="51" x14ac:dyDescent="0.25">
      <c r="A33" s="36">
        <f>SUBTOTAL(3,$B$3:B33)</f>
        <v>31</v>
      </c>
      <c r="B33" s="8" t="s">
        <v>96</v>
      </c>
      <c r="C33" s="8" t="s">
        <v>85</v>
      </c>
      <c r="D33" s="97" t="s">
        <v>59</v>
      </c>
      <c r="E33" s="4" t="s">
        <v>276</v>
      </c>
      <c r="F33" s="2" t="s">
        <v>277</v>
      </c>
      <c r="G33" s="101">
        <v>8</v>
      </c>
      <c r="H33" s="97" t="s">
        <v>407</v>
      </c>
      <c r="I33" s="11"/>
    </row>
    <row r="34" spans="1:9" ht="63.75" x14ac:dyDescent="0.25">
      <c r="A34" s="36">
        <f>SUBTOTAL(3,$B$3:B34)</f>
        <v>32</v>
      </c>
      <c r="B34" s="8" t="s">
        <v>96</v>
      </c>
      <c r="C34" s="8" t="s">
        <v>87</v>
      </c>
      <c r="D34" s="97" t="s">
        <v>59</v>
      </c>
      <c r="E34" s="4" t="s">
        <v>278</v>
      </c>
      <c r="F34" s="2" t="s">
        <v>279</v>
      </c>
      <c r="G34" s="101">
        <v>6</v>
      </c>
      <c r="H34" s="97" t="s">
        <v>408</v>
      </c>
      <c r="I34" s="11"/>
    </row>
    <row r="35" spans="1:9" ht="76.5" x14ac:dyDescent="0.25">
      <c r="A35" s="36">
        <f>SUBTOTAL(3,$B$3:B35)</f>
        <v>33</v>
      </c>
      <c r="B35" s="8" t="s">
        <v>97</v>
      </c>
      <c r="C35" s="8" t="s">
        <v>88</v>
      </c>
      <c r="D35" s="97" t="s">
        <v>59</v>
      </c>
      <c r="E35" s="4" t="s">
        <v>20</v>
      </c>
      <c r="F35" s="2" t="s">
        <v>280</v>
      </c>
      <c r="G35" s="101">
        <v>2</v>
      </c>
      <c r="H35" s="97" t="s">
        <v>409</v>
      </c>
      <c r="I35" s="11"/>
    </row>
    <row r="36" spans="1:9" ht="76.5" x14ac:dyDescent="0.25">
      <c r="A36" s="36">
        <f>SUBTOTAL(3,$B$3:B36)</f>
        <v>34</v>
      </c>
      <c r="B36" s="8" t="s">
        <v>97</v>
      </c>
      <c r="C36" s="8" t="s">
        <v>88</v>
      </c>
      <c r="D36" s="97" t="s">
        <v>59</v>
      </c>
      <c r="E36" s="4" t="s">
        <v>21</v>
      </c>
      <c r="F36" s="2" t="s">
        <v>281</v>
      </c>
      <c r="G36" s="101">
        <v>2</v>
      </c>
      <c r="H36" s="97" t="s">
        <v>410</v>
      </c>
      <c r="I36" s="11"/>
    </row>
    <row r="37" spans="1:9" ht="25.5" x14ac:dyDescent="0.25">
      <c r="D37" s="97" t="s">
        <v>59</v>
      </c>
      <c r="E37" s="4" t="s">
        <v>282</v>
      </c>
      <c r="F37" s="2" t="s">
        <v>283</v>
      </c>
      <c r="G37" s="101">
        <v>3</v>
      </c>
      <c r="H37" s="97" t="s">
        <v>411</v>
      </c>
    </row>
    <row r="38" spans="1:9" ht="89.25" x14ac:dyDescent="0.25">
      <c r="D38" s="97" t="s">
        <v>59</v>
      </c>
      <c r="E38" s="4" t="s">
        <v>284</v>
      </c>
      <c r="F38" s="2" t="s">
        <v>285</v>
      </c>
      <c r="G38" s="101">
        <v>3</v>
      </c>
      <c r="H38" s="97" t="s">
        <v>412</v>
      </c>
    </row>
    <row r="39" spans="1:9" ht="63.75" x14ac:dyDescent="0.25">
      <c r="D39" s="97" t="s">
        <v>58</v>
      </c>
      <c r="E39" s="4" t="s">
        <v>22</v>
      </c>
      <c r="F39" s="2" t="s">
        <v>286</v>
      </c>
      <c r="G39" s="101">
        <v>5</v>
      </c>
      <c r="H39" s="97"/>
    </row>
    <row r="40" spans="1:9" ht="89.25" x14ac:dyDescent="0.25">
      <c r="D40" s="97" t="s">
        <v>59</v>
      </c>
      <c r="E40" s="4" t="s">
        <v>23</v>
      </c>
      <c r="F40" s="2" t="s">
        <v>287</v>
      </c>
      <c r="G40" s="101">
        <v>5</v>
      </c>
      <c r="H40" s="97" t="s">
        <v>402</v>
      </c>
    </row>
    <row r="41" spans="1:9" ht="89.25" x14ac:dyDescent="0.25">
      <c r="D41" s="97" t="s">
        <v>59</v>
      </c>
      <c r="E41" s="4" t="s">
        <v>24</v>
      </c>
      <c r="F41" s="2" t="s">
        <v>288</v>
      </c>
      <c r="G41" s="101">
        <v>5</v>
      </c>
      <c r="H41" s="97" t="s">
        <v>397</v>
      </c>
    </row>
    <row r="42" spans="1:9" ht="89.25" x14ac:dyDescent="0.25">
      <c r="D42" s="97" t="s">
        <v>59</v>
      </c>
      <c r="E42" s="97" t="s">
        <v>25</v>
      </c>
      <c r="F42" s="2" t="s">
        <v>289</v>
      </c>
      <c r="G42" s="101">
        <v>5</v>
      </c>
      <c r="H42" s="97" t="s">
        <v>413</v>
      </c>
    </row>
    <row r="43" spans="1:9" ht="63.75" x14ac:dyDescent="0.25">
      <c r="D43" s="97" t="s">
        <v>59</v>
      </c>
      <c r="E43" s="97" t="s">
        <v>26</v>
      </c>
      <c r="F43" s="2" t="s">
        <v>290</v>
      </c>
      <c r="G43" s="101">
        <v>5</v>
      </c>
      <c r="H43" s="97" t="s">
        <v>413</v>
      </c>
    </row>
    <row r="44" spans="1:9" ht="76.5" x14ac:dyDescent="0.25">
      <c r="D44" s="97" t="s">
        <v>59</v>
      </c>
      <c r="E44" s="97" t="s">
        <v>291</v>
      </c>
      <c r="F44" s="2" t="s">
        <v>292</v>
      </c>
      <c r="G44" s="101">
        <v>5</v>
      </c>
      <c r="H44" s="97" t="s">
        <v>413</v>
      </c>
    </row>
    <row r="45" spans="1:9" ht="127.5" x14ac:dyDescent="0.25">
      <c r="D45" s="97" t="s">
        <v>59</v>
      </c>
      <c r="E45" s="4" t="s">
        <v>293</v>
      </c>
      <c r="F45" s="2" t="s">
        <v>294</v>
      </c>
      <c r="G45" s="101">
        <v>5</v>
      </c>
      <c r="H45" s="97" t="s">
        <v>414</v>
      </c>
    </row>
    <row r="46" spans="1:9" ht="76.5" x14ac:dyDescent="0.25">
      <c r="D46" s="97" t="s">
        <v>59</v>
      </c>
      <c r="E46" s="97" t="s">
        <v>295</v>
      </c>
      <c r="F46" s="2" t="s">
        <v>296</v>
      </c>
      <c r="G46" s="101">
        <v>5</v>
      </c>
      <c r="H46" s="97" t="s">
        <v>415</v>
      </c>
    </row>
    <row r="47" spans="1:9" ht="63.75" x14ac:dyDescent="0.25">
      <c r="D47" s="97" t="s">
        <v>59</v>
      </c>
      <c r="E47" s="4" t="s">
        <v>27</v>
      </c>
      <c r="F47" s="2" t="s">
        <v>297</v>
      </c>
      <c r="G47" s="101">
        <v>5</v>
      </c>
      <c r="H47" s="97" t="s">
        <v>416</v>
      </c>
    </row>
    <row r="48" spans="1:9" ht="89.25" x14ac:dyDescent="0.25">
      <c r="D48" s="97" t="s">
        <v>59</v>
      </c>
      <c r="E48" s="4" t="s">
        <v>298</v>
      </c>
      <c r="F48" s="2" t="s">
        <v>299</v>
      </c>
      <c r="G48" s="101">
        <v>5</v>
      </c>
      <c r="H48" s="97" t="s">
        <v>409</v>
      </c>
    </row>
    <row r="49" spans="4:8" ht="102" x14ac:dyDescent="0.25">
      <c r="D49" s="97" t="s">
        <v>58</v>
      </c>
      <c r="E49" s="97" t="s">
        <v>300</v>
      </c>
      <c r="F49" s="2" t="s">
        <v>301</v>
      </c>
      <c r="G49" s="101">
        <v>10</v>
      </c>
      <c r="H49" s="97"/>
    </row>
    <row r="50" spans="4:8" ht="102" x14ac:dyDescent="0.25">
      <c r="D50" s="97" t="s">
        <v>59</v>
      </c>
      <c r="E50" s="97" t="s">
        <v>302</v>
      </c>
      <c r="F50" s="2" t="s">
        <v>303</v>
      </c>
      <c r="G50" s="101">
        <v>15</v>
      </c>
      <c r="H50" s="97" t="s">
        <v>417</v>
      </c>
    </row>
    <row r="51" spans="4:8" ht="140.25" x14ac:dyDescent="0.25">
      <c r="D51" s="97" t="s">
        <v>59</v>
      </c>
      <c r="E51" s="4" t="s">
        <v>304</v>
      </c>
      <c r="F51" s="2" t="s">
        <v>305</v>
      </c>
      <c r="G51" s="101">
        <v>10</v>
      </c>
      <c r="H51" s="97" t="s">
        <v>418</v>
      </c>
    </row>
    <row r="52" spans="4:8" ht="102" x14ac:dyDescent="0.25">
      <c r="D52" s="97" t="s">
        <v>59</v>
      </c>
      <c r="E52" s="97" t="s">
        <v>306</v>
      </c>
      <c r="F52" s="2" t="s">
        <v>307</v>
      </c>
      <c r="G52" s="101">
        <v>15</v>
      </c>
      <c r="H52" s="97" t="s">
        <v>398</v>
      </c>
    </row>
    <row r="53" spans="4:8" ht="114.75" x14ac:dyDescent="0.25">
      <c r="D53" s="97" t="s">
        <v>59</v>
      </c>
      <c r="E53" s="4" t="s">
        <v>308</v>
      </c>
      <c r="F53" s="2" t="s">
        <v>309</v>
      </c>
      <c r="G53" s="101">
        <v>10</v>
      </c>
      <c r="H53" s="97" t="s">
        <v>394</v>
      </c>
    </row>
    <row r="54" spans="4:8" ht="127.5" x14ac:dyDescent="0.25">
      <c r="D54" s="97" t="s">
        <v>59</v>
      </c>
      <c r="E54" s="97" t="s">
        <v>310</v>
      </c>
      <c r="F54" s="2" t="s">
        <v>311</v>
      </c>
      <c r="G54" s="101">
        <v>10</v>
      </c>
      <c r="H54" s="97" t="s">
        <v>402</v>
      </c>
    </row>
    <row r="55" spans="4:8" ht="114.75" x14ac:dyDescent="0.25">
      <c r="D55" s="97" t="s">
        <v>58</v>
      </c>
      <c r="E55" s="97" t="s">
        <v>28</v>
      </c>
      <c r="F55" s="2" t="s">
        <v>312</v>
      </c>
      <c r="G55" s="101">
        <v>6</v>
      </c>
      <c r="H55" s="97"/>
    </row>
    <row r="56" spans="4:8" ht="114.75" x14ac:dyDescent="0.25">
      <c r="D56" s="97" t="s">
        <v>58</v>
      </c>
      <c r="E56" s="97" t="s">
        <v>29</v>
      </c>
      <c r="F56" s="2" t="s">
        <v>313</v>
      </c>
      <c r="G56" s="101">
        <v>4</v>
      </c>
      <c r="H56" s="97"/>
    </row>
    <row r="57" spans="4:8" ht="76.5" x14ac:dyDescent="0.25">
      <c r="D57" s="97" t="s">
        <v>59</v>
      </c>
      <c r="E57" s="97" t="s">
        <v>314</v>
      </c>
      <c r="F57" s="2" t="s">
        <v>315</v>
      </c>
      <c r="G57" s="101">
        <v>10</v>
      </c>
      <c r="H57" s="97" t="s">
        <v>398</v>
      </c>
    </row>
    <row r="58" spans="4:8" ht="76.5" x14ac:dyDescent="0.25">
      <c r="D58" s="97" t="s">
        <v>59</v>
      </c>
      <c r="E58" s="97" t="s">
        <v>316</v>
      </c>
      <c r="F58" s="2" t="s">
        <v>317</v>
      </c>
      <c r="G58" s="101">
        <v>10</v>
      </c>
      <c r="H58" s="97" t="s">
        <v>415</v>
      </c>
    </row>
    <row r="59" spans="4:8" ht="25.5" x14ac:dyDescent="0.25">
      <c r="D59" s="97" t="s">
        <v>58</v>
      </c>
      <c r="E59" s="97" t="s">
        <v>30</v>
      </c>
      <c r="F59" s="2" t="s">
        <v>318</v>
      </c>
      <c r="G59" s="101">
        <v>5</v>
      </c>
      <c r="H59" s="97"/>
    </row>
    <row r="60" spans="4:8" ht="89.25" x14ac:dyDescent="0.25">
      <c r="D60" s="97" t="s">
        <v>59</v>
      </c>
      <c r="E60" s="97" t="s">
        <v>319</v>
      </c>
      <c r="F60" s="2" t="s">
        <v>320</v>
      </c>
      <c r="G60" s="101">
        <v>5</v>
      </c>
      <c r="H60" s="97" t="s">
        <v>397</v>
      </c>
    </row>
    <row r="61" spans="4:8" ht="89.25" x14ac:dyDescent="0.25">
      <c r="D61" s="97" t="s">
        <v>59</v>
      </c>
      <c r="E61" s="97" t="s">
        <v>321</v>
      </c>
      <c r="F61" s="2" t="s">
        <v>322</v>
      </c>
      <c r="G61" s="101">
        <v>5</v>
      </c>
      <c r="H61" s="97" t="s">
        <v>419</v>
      </c>
    </row>
    <row r="62" spans="4:8" ht="76.5" x14ac:dyDescent="0.25">
      <c r="D62" s="97" t="s">
        <v>59</v>
      </c>
      <c r="E62" s="97" t="s">
        <v>323</v>
      </c>
      <c r="F62" s="2" t="s">
        <v>324</v>
      </c>
      <c r="G62" s="101">
        <v>5</v>
      </c>
      <c r="H62" s="97" t="s">
        <v>420</v>
      </c>
    </row>
    <row r="63" spans="4:8" ht="51" x14ac:dyDescent="0.25">
      <c r="D63" s="97" t="s">
        <v>58</v>
      </c>
      <c r="E63" s="97" t="s">
        <v>31</v>
      </c>
      <c r="F63" s="2" t="s">
        <v>325</v>
      </c>
      <c r="G63" s="101">
        <v>8</v>
      </c>
      <c r="H63" s="97"/>
    </row>
    <row r="64" spans="4:8" ht="25.5" x14ac:dyDescent="0.25">
      <c r="D64" s="97" t="s">
        <v>59</v>
      </c>
      <c r="E64" s="97" t="s">
        <v>32</v>
      </c>
      <c r="F64" s="2" t="s">
        <v>326</v>
      </c>
      <c r="G64" s="101">
        <v>8</v>
      </c>
      <c r="H64" s="97" t="s">
        <v>421</v>
      </c>
    </row>
    <row r="65" spans="4:8" ht="89.25" x14ac:dyDescent="0.25">
      <c r="D65" s="97" t="s">
        <v>59</v>
      </c>
      <c r="E65" s="97" t="s">
        <v>327</v>
      </c>
      <c r="F65" s="2" t="s">
        <v>328</v>
      </c>
      <c r="G65" s="101">
        <v>10</v>
      </c>
      <c r="H65" s="97" t="s">
        <v>397</v>
      </c>
    </row>
    <row r="66" spans="4:8" ht="102" x14ac:dyDescent="0.25">
      <c r="D66" s="97" t="s">
        <v>59</v>
      </c>
      <c r="E66" s="97" t="s">
        <v>329</v>
      </c>
      <c r="F66" s="2" t="s">
        <v>330</v>
      </c>
      <c r="G66" s="101">
        <v>4</v>
      </c>
      <c r="H66" s="97" t="s">
        <v>397</v>
      </c>
    </row>
    <row r="67" spans="4:8" ht="76.5" x14ac:dyDescent="0.25">
      <c r="D67" s="97" t="s">
        <v>59</v>
      </c>
      <c r="E67" s="97" t="s">
        <v>33</v>
      </c>
      <c r="F67" s="2" t="s">
        <v>331</v>
      </c>
      <c r="G67" s="101">
        <v>10</v>
      </c>
      <c r="H67" s="97" t="s">
        <v>422</v>
      </c>
    </row>
    <row r="68" spans="4:8" ht="114.75" x14ac:dyDescent="0.25">
      <c r="D68" s="97" t="s">
        <v>58</v>
      </c>
      <c r="E68" s="97" t="s">
        <v>332</v>
      </c>
      <c r="F68" s="2" t="s">
        <v>333</v>
      </c>
      <c r="G68" s="101">
        <v>10</v>
      </c>
      <c r="H68" s="97"/>
    </row>
    <row r="69" spans="4:8" ht="89.25" x14ac:dyDescent="0.25">
      <c r="D69" s="97" t="s">
        <v>59</v>
      </c>
      <c r="E69" s="97" t="s">
        <v>34</v>
      </c>
      <c r="F69" s="2" t="s">
        <v>334</v>
      </c>
      <c r="G69" s="101">
        <v>6</v>
      </c>
      <c r="H69" s="97" t="s">
        <v>393</v>
      </c>
    </row>
    <row r="70" spans="4:8" ht="89.25" x14ac:dyDescent="0.25">
      <c r="D70" s="97" t="s">
        <v>59</v>
      </c>
      <c r="E70" s="97" t="s">
        <v>35</v>
      </c>
      <c r="F70" s="2" t="s">
        <v>335</v>
      </c>
      <c r="G70" s="101">
        <v>5</v>
      </c>
      <c r="H70" s="97" t="s">
        <v>423</v>
      </c>
    </row>
    <row r="71" spans="4:8" ht="76.5" x14ac:dyDescent="0.25">
      <c r="D71" s="97" t="s">
        <v>59</v>
      </c>
      <c r="E71" s="97" t="s">
        <v>36</v>
      </c>
      <c r="F71" s="2" t="s">
        <v>336</v>
      </c>
      <c r="G71" s="101">
        <v>8</v>
      </c>
      <c r="H71" s="97" t="s">
        <v>397</v>
      </c>
    </row>
    <row r="72" spans="4:8" ht="89.25" x14ac:dyDescent="0.25">
      <c r="D72" s="97" t="s">
        <v>59</v>
      </c>
      <c r="E72" s="97" t="s">
        <v>37</v>
      </c>
      <c r="F72" s="2" t="s">
        <v>337</v>
      </c>
      <c r="G72" s="101">
        <v>6</v>
      </c>
      <c r="H72" s="97" t="s">
        <v>424</v>
      </c>
    </row>
    <row r="73" spans="4:8" ht="127.5" x14ac:dyDescent="0.25">
      <c r="D73" s="97" t="s">
        <v>59</v>
      </c>
      <c r="E73" s="97" t="s">
        <v>338</v>
      </c>
      <c r="F73" s="2" t="s">
        <v>339</v>
      </c>
      <c r="G73" s="101">
        <v>5</v>
      </c>
      <c r="H73" s="97" t="s">
        <v>397</v>
      </c>
    </row>
    <row r="74" spans="4:8" ht="63.75" x14ac:dyDescent="0.25">
      <c r="D74" s="97" t="s">
        <v>59</v>
      </c>
      <c r="E74" s="97" t="s">
        <v>38</v>
      </c>
      <c r="F74" s="2" t="s">
        <v>340</v>
      </c>
      <c r="G74" s="101">
        <v>10</v>
      </c>
      <c r="H74" s="97" t="s">
        <v>425</v>
      </c>
    </row>
    <row r="75" spans="4:8" ht="153" x14ac:dyDescent="0.25">
      <c r="D75" s="97" t="s">
        <v>59</v>
      </c>
      <c r="E75" s="97" t="s">
        <v>39</v>
      </c>
      <c r="F75" s="2" t="s">
        <v>341</v>
      </c>
      <c r="G75" s="101">
        <v>10</v>
      </c>
      <c r="H75" s="97" t="s">
        <v>426</v>
      </c>
    </row>
    <row r="76" spans="4:8" ht="204" x14ac:dyDescent="0.25">
      <c r="D76" s="97" t="s">
        <v>59</v>
      </c>
      <c r="E76" s="97" t="s">
        <v>342</v>
      </c>
      <c r="F76" s="2" t="s">
        <v>343</v>
      </c>
      <c r="G76" s="101">
        <v>10</v>
      </c>
      <c r="H76" s="97" t="s">
        <v>424</v>
      </c>
    </row>
    <row r="77" spans="4:8" ht="114.75" x14ac:dyDescent="0.25">
      <c r="D77" s="97" t="s">
        <v>59</v>
      </c>
      <c r="E77" s="97" t="s">
        <v>40</v>
      </c>
      <c r="F77" s="2" t="s">
        <v>344</v>
      </c>
      <c r="G77" s="101">
        <v>10</v>
      </c>
      <c r="H77" s="97" t="s">
        <v>394</v>
      </c>
    </row>
    <row r="78" spans="4:8" ht="89.25" x14ac:dyDescent="0.25">
      <c r="D78" s="97" t="s">
        <v>58</v>
      </c>
      <c r="E78" s="97" t="s">
        <v>41</v>
      </c>
      <c r="F78" s="2" t="s">
        <v>345</v>
      </c>
      <c r="G78" s="101">
        <v>10</v>
      </c>
      <c r="H78" s="97"/>
    </row>
    <row r="79" spans="4:8" ht="76.5" x14ac:dyDescent="0.25">
      <c r="D79" s="97" t="s">
        <v>59</v>
      </c>
      <c r="E79" s="97" t="s">
        <v>346</v>
      </c>
      <c r="F79" s="2" t="s">
        <v>347</v>
      </c>
      <c r="G79" s="101">
        <v>10</v>
      </c>
      <c r="H79" s="97" t="s">
        <v>417</v>
      </c>
    </row>
    <row r="80" spans="4:8" ht="89.25" x14ac:dyDescent="0.25">
      <c r="D80" s="97" t="s">
        <v>58</v>
      </c>
      <c r="E80" s="97" t="s">
        <v>42</v>
      </c>
      <c r="F80" s="2" t="s">
        <v>348</v>
      </c>
      <c r="G80" s="101">
        <v>5</v>
      </c>
      <c r="H80" s="97"/>
    </row>
    <row r="81" spans="4:8" ht="76.5" x14ac:dyDescent="0.25">
      <c r="D81" s="97" t="s">
        <v>59</v>
      </c>
      <c r="E81" s="97" t="s">
        <v>349</v>
      </c>
      <c r="F81" s="2" t="s">
        <v>350</v>
      </c>
      <c r="G81" s="101">
        <v>5</v>
      </c>
      <c r="H81" s="97" t="s">
        <v>427</v>
      </c>
    </row>
    <row r="82" spans="4:8" ht="89.25" x14ac:dyDescent="0.25">
      <c r="D82" s="97" t="s">
        <v>58</v>
      </c>
      <c r="E82" s="97" t="s">
        <v>43</v>
      </c>
      <c r="F82" s="2" t="s">
        <v>351</v>
      </c>
      <c r="G82" s="101">
        <v>5</v>
      </c>
      <c r="H82" s="97"/>
    </row>
    <row r="83" spans="4:8" ht="76.5" x14ac:dyDescent="0.25">
      <c r="D83" s="97" t="s">
        <v>58</v>
      </c>
      <c r="E83" s="97" t="s">
        <v>352</v>
      </c>
      <c r="F83" s="2" t="s">
        <v>353</v>
      </c>
      <c r="G83" s="101">
        <v>5</v>
      </c>
      <c r="H83" s="97"/>
    </row>
    <row r="84" spans="4:8" ht="63.75" x14ac:dyDescent="0.25">
      <c r="D84" s="97" t="s">
        <v>58</v>
      </c>
      <c r="E84" s="97" t="s">
        <v>44</v>
      </c>
      <c r="F84" s="2" t="s">
        <v>354</v>
      </c>
      <c r="G84" s="101">
        <v>2</v>
      </c>
      <c r="H84" s="97"/>
    </row>
    <row r="85" spans="4:8" ht="89.25" x14ac:dyDescent="0.25">
      <c r="D85" s="97" t="s">
        <v>58</v>
      </c>
      <c r="E85" s="97" t="s">
        <v>45</v>
      </c>
      <c r="F85" s="2" t="s">
        <v>355</v>
      </c>
      <c r="G85" s="101">
        <v>4</v>
      </c>
      <c r="H85" s="97"/>
    </row>
    <row r="86" spans="4:8" ht="63.75" x14ac:dyDescent="0.25">
      <c r="D86" s="97" t="s">
        <v>59</v>
      </c>
      <c r="E86" s="97" t="s">
        <v>356</v>
      </c>
      <c r="F86" s="2" t="s">
        <v>357</v>
      </c>
      <c r="G86" s="101">
        <v>4</v>
      </c>
      <c r="H86" s="97" t="s">
        <v>397</v>
      </c>
    </row>
    <row r="87" spans="4:8" ht="63.75" x14ac:dyDescent="0.25">
      <c r="D87" s="97" t="s">
        <v>58</v>
      </c>
      <c r="E87" s="97" t="s">
        <v>46</v>
      </c>
      <c r="F87" s="2" t="s">
        <v>358</v>
      </c>
      <c r="G87" s="101">
        <v>4</v>
      </c>
      <c r="H87" s="97"/>
    </row>
    <row r="88" spans="4:8" ht="76.5" x14ac:dyDescent="0.25">
      <c r="D88" s="97" t="s">
        <v>59</v>
      </c>
      <c r="E88" s="97" t="s">
        <v>47</v>
      </c>
      <c r="F88" s="2" t="s">
        <v>359</v>
      </c>
      <c r="G88" s="101">
        <v>8</v>
      </c>
      <c r="H88" s="97" t="s">
        <v>393</v>
      </c>
    </row>
    <row r="89" spans="4:8" ht="76.5" x14ac:dyDescent="0.25">
      <c r="D89" s="97" t="s">
        <v>59</v>
      </c>
      <c r="E89" s="97" t="s">
        <v>48</v>
      </c>
      <c r="F89" s="2" t="s">
        <v>360</v>
      </c>
      <c r="G89" s="101">
        <v>8</v>
      </c>
      <c r="H89" s="97" t="s">
        <v>417</v>
      </c>
    </row>
    <row r="90" spans="4:8" ht="127.5" x14ac:dyDescent="0.25">
      <c r="D90" s="97" t="s">
        <v>59</v>
      </c>
      <c r="E90" s="97" t="s">
        <v>361</v>
      </c>
      <c r="F90" s="2" t="s">
        <v>362</v>
      </c>
      <c r="G90" s="101">
        <v>10</v>
      </c>
      <c r="H90" s="97" t="s">
        <v>393</v>
      </c>
    </row>
    <row r="91" spans="4:8" ht="63.75" x14ac:dyDescent="0.25">
      <c r="D91" s="97" t="s">
        <v>58</v>
      </c>
      <c r="E91" s="97" t="s">
        <v>49</v>
      </c>
      <c r="F91" s="2" t="s">
        <v>363</v>
      </c>
      <c r="G91" s="101">
        <v>4</v>
      </c>
      <c r="H91" s="97"/>
    </row>
    <row r="92" spans="4:8" ht="89.25" x14ac:dyDescent="0.25">
      <c r="D92" s="97" t="s">
        <v>59</v>
      </c>
      <c r="E92" s="97" t="s">
        <v>364</v>
      </c>
      <c r="F92" s="2" t="s">
        <v>365</v>
      </c>
      <c r="G92" s="101">
        <v>10</v>
      </c>
      <c r="H92" s="97" t="s">
        <v>428</v>
      </c>
    </row>
    <row r="93" spans="4:8" ht="63.75" x14ac:dyDescent="0.25">
      <c r="D93" s="97" t="s">
        <v>58</v>
      </c>
      <c r="E93" s="97" t="s">
        <v>366</v>
      </c>
      <c r="F93" s="2" t="s">
        <v>367</v>
      </c>
      <c r="G93" s="101">
        <v>6</v>
      </c>
      <c r="H93" s="97"/>
    </row>
    <row r="94" spans="4:8" ht="165.75" x14ac:dyDescent="0.25">
      <c r="D94" s="97" t="s">
        <v>58</v>
      </c>
      <c r="E94" s="97" t="s">
        <v>50</v>
      </c>
      <c r="F94" s="2" t="s">
        <v>368</v>
      </c>
      <c r="G94" s="101">
        <v>10</v>
      </c>
      <c r="H94" s="97"/>
    </row>
    <row r="95" spans="4:8" ht="76.5" x14ac:dyDescent="0.25">
      <c r="D95" s="97" t="s">
        <v>58</v>
      </c>
      <c r="E95" s="97" t="s">
        <v>51</v>
      </c>
      <c r="F95" s="2" t="s">
        <v>369</v>
      </c>
      <c r="G95" s="101">
        <v>10</v>
      </c>
      <c r="H95" s="97"/>
    </row>
    <row r="96" spans="4:8" ht="102" x14ac:dyDescent="0.25">
      <c r="D96" s="97" t="s">
        <v>59</v>
      </c>
      <c r="E96" s="97" t="s">
        <v>370</v>
      </c>
      <c r="F96" s="2" t="s">
        <v>371</v>
      </c>
      <c r="G96" s="101">
        <v>10</v>
      </c>
      <c r="H96" s="97" t="s">
        <v>429</v>
      </c>
    </row>
    <row r="97" spans="4:8" ht="89.25" x14ac:dyDescent="0.25">
      <c r="D97" s="97" t="s">
        <v>58</v>
      </c>
      <c r="E97" s="97" t="s">
        <v>52</v>
      </c>
      <c r="F97" s="2" t="s">
        <v>372</v>
      </c>
      <c r="G97" s="101">
        <v>5</v>
      </c>
      <c r="H97" s="97"/>
    </row>
    <row r="98" spans="4:8" ht="114.75" x14ac:dyDescent="0.25">
      <c r="D98" s="97" t="s">
        <v>59</v>
      </c>
      <c r="E98" s="97" t="s">
        <v>53</v>
      </c>
      <c r="F98" s="2" t="s">
        <v>373</v>
      </c>
      <c r="G98" s="101">
        <v>5</v>
      </c>
      <c r="H98" s="97" t="s">
        <v>430</v>
      </c>
    </row>
    <row r="99" spans="4:8" ht="127.5" x14ac:dyDescent="0.25">
      <c r="D99" s="97" t="s">
        <v>58</v>
      </c>
      <c r="E99" s="97" t="s">
        <v>54</v>
      </c>
      <c r="F99" s="2" t="s">
        <v>374</v>
      </c>
      <c r="G99" s="101">
        <v>4</v>
      </c>
      <c r="H99" s="97"/>
    </row>
    <row r="100" spans="4:8" ht="102" x14ac:dyDescent="0.25">
      <c r="D100" s="97" t="s">
        <v>59</v>
      </c>
      <c r="E100" s="97" t="s">
        <v>55</v>
      </c>
      <c r="F100" s="2" t="s">
        <v>375</v>
      </c>
      <c r="G100" s="101">
        <v>4</v>
      </c>
      <c r="H100" s="97" t="s">
        <v>430</v>
      </c>
    </row>
    <row r="101" spans="4:8" ht="114.75" x14ac:dyDescent="0.25">
      <c r="D101" s="97" t="s">
        <v>59</v>
      </c>
      <c r="E101" s="97" t="s">
        <v>376</v>
      </c>
      <c r="F101" s="2" t="s">
        <v>377</v>
      </c>
      <c r="G101" s="101">
        <v>4</v>
      </c>
      <c r="H101" s="97" t="s">
        <v>430</v>
      </c>
    </row>
    <row r="102" spans="4:8" ht="140.25" x14ac:dyDescent="0.25">
      <c r="D102" s="97" t="s">
        <v>59</v>
      </c>
      <c r="E102" s="97" t="s">
        <v>378</v>
      </c>
      <c r="F102" s="2" t="s">
        <v>379</v>
      </c>
      <c r="G102" s="101">
        <v>5</v>
      </c>
      <c r="H102" s="97" t="s">
        <v>430</v>
      </c>
    </row>
    <row r="103" spans="4:8" ht="153" x14ac:dyDescent="0.25">
      <c r="D103" s="97" t="s">
        <v>59</v>
      </c>
      <c r="E103" s="97" t="s">
        <v>380</v>
      </c>
      <c r="F103" s="2" t="s">
        <v>381</v>
      </c>
      <c r="G103" s="101">
        <v>4</v>
      </c>
      <c r="H103" s="97" t="s">
        <v>430</v>
      </c>
    </row>
    <row r="104" spans="4:8" ht="51" x14ac:dyDescent="0.25">
      <c r="D104" s="97" t="s">
        <v>58</v>
      </c>
      <c r="E104" s="97" t="s">
        <v>382</v>
      </c>
      <c r="F104" s="2" t="s">
        <v>383</v>
      </c>
      <c r="G104" s="101">
        <v>5</v>
      </c>
      <c r="H104" s="97"/>
    </row>
    <row r="105" spans="4:8" ht="89.25" x14ac:dyDescent="0.25">
      <c r="D105" s="97" t="s">
        <v>58</v>
      </c>
      <c r="E105" s="97" t="s">
        <v>384</v>
      </c>
      <c r="F105" s="2" t="s">
        <v>385</v>
      </c>
      <c r="G105" s="101">
        <v>4</v>
      </c>
      <c r="H105" s="97"/>
    </row>
    <row r="106" spans="4:8" ht="140.25" x14ac:dyDescent="0.25">
      <c r="D106" s="97" t="s">
        <v>59</v>
      </c>
      <c r="E106" s="97" t="s">
        <v>386</v>
      </c>
      <c r="F106" s="2" t="s">
        <v>387</v>
      </c>
      <c r="G106" s="101">
        <v>5</v>
      </c>
      <c r="H106" s="97" t="s">
        <v>430</v>
      </c>
    </row>
    <row r="107" spans="4:8" ht="63.75" x14ac:dyDescent="0.25">
      <c r="D107" s="97" t="s">
        <v>58</v>
      </c>
      <c r="E107" s="97" t="s">
        <v>388</v>
      </c>
      <c r="F107" s="2" t="s">
        <v>389</v>
      </c>
      <c r="G107" s="101">
        <v>5</v>
      </c>
      <c r="H107" s="97"/>
    </row>
    <row r="108" spans="4:8" ht="25.5" x14ac:dyDescent="0.25">
      <c r="D108" s="97" t="s">
        <v>58</v>
      </c>
      <c r="E108" s="97" t="s">
        <v>56</v>
      </c>
      <c r="F108" s="2" t="s">
        <v>390</v>
      </c>
      <c r="G108" s="101">
        <v>30</v>
      </c>
      <c r="H108" s="97"/>
    </row>
    <row r="109" spans="4:8" ht="25.5" x14ac:dyDescent="0.25">
      <c r="D109" s="97" t="s">
        <v>58</v>
      </c>
      <c r="E109" s="97" t="s">
        <v>57</v>
      </c>
      <c r="F109" s="2" t="s">
        <v>391</v>
      </c>
      <c r="G109" s="101">
        <v>20</v>
      </c>
      <c r="H109" s="97"/>
    </row>
  </sheetData>
  <sortState ref="A3:P57">
    <sortCondition ref="D3:D57"/>
  </sortState>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312"/>
  <sheetViews>
    <sheetView topLeftCell="A3" zoomScale="60" zoomScaleNormal="60" workbookViewId="0">
      <selection activeCell="H3" sqref="H3:H117"/>
    </sheetView>
  </sheetViews>
  <sheetFormatPr defaultRowHeight="15" x14ac:dyDescent="0.25"/>
  <cols>
    <col min="1" max="1" width="4.42578125" style="1" bestFit="1" customWidth="1"/>
    <col min="2" max="2" width="16.28515625" style="6" hidden="1" customWidth="1"/>
    <col min="3" max="3" width="50.85546875" style="6" hidden="1" customWidth="1"/>
    <col min="4" max="4" width="6.85546875" bestFit="1" customWidth="1"/>
    <col min="5" max="5" width="7.42578125" bestFit="1" customWidth="1"/>
    <col min="6" max="6" width="60.42578125" style="94" customWidth="1"/>
    <col min="7" max="7" width="17.28515625" customWidth="1"/>
    <col min="8" max="9" width="5.140625" bestFit="1" customWidth="1"/>
    <col min="10" max="10" width="10.140625" style="38" bestFit="1" customWidth="1"/>
    <col min="11" max="11" width="11.140625" style="1" bestFit="1" customWidth="1"/>
    <col min="12" max="12" width="18.85546875" style="1" customWidth="1"/>
    <col min="13" max="13" width="13.85546875" style="1" customWidth="1"/>
    <col min="14" max="14" width="10.7109375" style="38" bestFit="1" customWidth="1"/>
    <col min="15" max="15" width="8.42578125" style="1" customWidth="1"/>
    <col min="16" max="16" width="8" style="1" customWidth="1"/>
  </cols>
  <sheetData>
    <row r="1" spans="1:16" x14ac:dyDescent="0.25">
      <c r="J1" s="45" t="s">
        <v>212</v>
      </c>
      <c r="K1" s="1" t="s">
        <v>569</v>
      </c>
    </row>
    <row r="2" spans="1:16" s="1" customFormat="1" ht="66" x14ac:dyDescent="0.25">
      <c r="A2" s="12" t="s">
        <v>1</v>
      </c>
      <c r="B2" s="12" t="s">
        <v>112</v>
      </c>
      <c r="C2" s="12" t="s">
        <v>114</v>
      </c>
      <c r="D2" s="12" t="s">
        <v>113</v>
      </c>
      <c r="E2" s="12" t="s">
        <v>115</v>
      </c>
      <c r="F2" s="120" t="s">
        <v>124</v>
      </c>
      <c r="G2" s="12" t="s">
        <v>122</v>
      </c>
      <c r="H2" s="12" t="s">
        <v>123</v>
      </c>
      <c r="I2" s="12" t="s">
        <v>111</v>
      </c>
      <c r="J2" s="46" t="s">
        <v>213</v>
      </c>
      <c r="K2" s="16" t="s">
        <v>121</v>
      </c>
      <c r="L2" s="17" t="s">
        <v>120</v>
      </c>
      <c r="M2" s="16" t="s">
        <v>116</v>
      </c>
      <c r="N2" s="18" t="s">
        <v>117</v>
      </c>
      <c r="O2" s="16" t="s">
        <v>119</v>
      </c>
      <c r="P2" s="18" t="s">
        <v>118</v>
      </c>
    </row>
    <row r="3" spans="1:16" ht="15" customHeight="1" x14ac:dyDescent="0.25">
      <c r="A3" s="125">
        <v>1</v>
      </c>
      <c r="B3" s="8" t="s">
        <v>91</v>
      </c>
      <c r="C3" s="8" t="s">
        <v>60</v>
      </c>
      <c r="D3" s="123" t="s">
        <v>58</v>
      </c>
      <c r="E3" s="123" t="s">
        <v>3</v>
      </c>
      <c r="F3" s="111" t="s">
        <v>443</v>
      </c>
      <c r="G3" s="124">
        <v>20</v>
      </c>
      <c r="H3" s="148">
        <v>50</v>
      </c>
      <c r="I3" s="148">
        <v>150</v>
      </c>
      <c r="J3" s="103"/>
      <c r="K3" s="125"/>
      <c r="L3" s="125">
        <f>K3*G3</f>
        <v>0</v>
      </c>
      <c r="M3" s="148">
        <f>SUM(L3:L5)</f>
        <v>90</v>
      </c>
      <c r="N3" s="147">
        <f>M3/H3</f>
        <v>1.8</v>
      </c>
      <c r="O3" s="148">
        <f>SUM(M3:M13)</f>
        <v>340</v>
      </c>
      <c r="P3" s="148">
        <f>O3/I3</f>
        <v>2.2666666666666666</v>
      </c>
    </row>
    <row r="4" spans="1:16" ht="15" hidden="1" customHeight="1" x14ac:dyDescent="0.25">
      <c r="A4" s="125">
        <v>2</v>
      </c>
      <c r="B4" s="8" t="s">
        <v>91</v>
      </c>
      <c r="C4" s="8" t="s">
        <v>60</v>
      </c>
      <c r="D4" s="123" t="s">
        <v>59</v>
      </c>
      <c r="E4" s="123" t="s">
        <v>234</v>
      </c>
      <c r="F4" s="111" t="s">
        <v>444</v>
      </c>
      <c r="G4" s="124">
        <v>20</v>
      </c>
      <c r="H4" s="148"/>
      <c r="I4" s="148"/>
      <c r="J4" s="103">
        <v>75</v>
      </c>
      <c r="K4" s="125">
        <f t="shared" ref="K4:K62" si="0">IF(J4&gt;80,4,IF(AND(J4&lt;=80,J4&gt;60),3,IF(AND(J4&lt;=60,J4&gt;40),2,IF(AND(J4&lt;=40,J4&gt;20),1,IF(J4&lt;=20,0)))))</f>
        <v>3</v>
      </c>
      <c r="L4" s="125">
        <f t="shared" ref="L4:L67" si="1">K4*G4</f>
        <v>60</v>
      </c>
      <c r="M4" s="148"/>
      <c r="N4" s="147"/>
      <c r="O4" s="148"/>
      <c r="P4" s="148"/>
    </row>
    <row r="5" spans="1:16" ht="15" hidden="1" customHeight="1" x14ac:dyDescent="0.25">
      <c r="A5" s="125">
        <v>3</v>
      </c>
      <c r="B5" s="8" t="s">
        <v>91</v>
      </c>
      <c r="C5" s="8" t="s">
        <v>60</v>
      </c>
      <c r="D5" s="123" t="s">
        <v>59</v>
      </c>
      <c r="E5" s="123" t="s">
        <v>236</v>
      </c>
      <c r="F5" s="111" t="s">
        <v>445</v>
      </c>
      <c r="G5" s="124">
        <v>10</v>
      </c>
      <c r="H5" s="148"/>
      <c r="I5" s="148"/>
      <c r="J5" s="103">
        <v>63.57</v>
      </c>
      <c r="K5" s="127">
        <f t="shared" si="0"/>
        <v>3</v>
      </c>
      <c r="L5" s="125">
        <f t="shared" si="1"/>
        <v>30</v>
      </c>
      <c r="M5" s="148"/>
      <c r="N5" s="147"/>
      <c r="O5" s="148"/>
      <c r="P5" s="148"/>
    </row>
    <row r="6" spans="1:16" ht="15" hidden="1" customHeight="1" x14ac:dyDescent="0.25">
      <c r="A6" s="125">
        <v>4</v>
      </c>
      <c r="B6" s="8" t="s">
        <v>91</v>
      </c>
      <c r="C6" s="8" t="s">
        <v>61</v>
      </c>
      <c r="D6" s="123" t="s">
        <v>59</v>
      </c>
      <c r="E6" s="123" t="s">
        <v>4</v>
      </c>
      <c r="F6" s="111" t="s">
        <v>446</v>
      </c>
      <c r="G6" s="124">
        <v>30</v>
      </c>
      <c r="H6" s="148">
        <v>50</v>
      </c>
      <c r="I6" s="148"/>
      <c r="J6" s="103">
        <v>13</v>
      </c>
      <c r="K6" s="127">
        <f t="shared" si="0"/>
        <v>0</v>
      </c>
      <c r="L6" s="125">
        <f t="shared" si="1"/>
        <v>0</v>
      </c>
      <c r="M6" s="148">
        <f>L6+L7</f>
        <v>80</v>
      </c>
      <c r="N6" s="147">
        <f>M6/H6</f>
        <v>1.6</v>
      </c>
      <c r="O6" s="148"/>
      <c r="P6" s="148"/>
    </row>
    <row r="7" spans="1:16" ht="15" hidden="1" customHeight="1" x14ac:dyDescent="0.25">
      <c r="A7" s="125">
        <v>5</v>
      </c>
      <c r="B7" s="8" t="s">
        <v>91</v>
      </c>
      <c r="C7" s="8" t="s">
        <v>61</v>
      </c>
      <c r="D7" s="123" t="s">
        <v>59</v>
      </c>
      <c r="E7" s="123" t="s">
        <v>5</v>
      </c>
      <c r="F7" s="111" t="s">
        <v>447</v>
      </c>
      <c r="G7" s="124">
        <v>20</v>
      </c>
      <c r="H7" s="148"/>
      <c r="I7" s="148"/>
      <c r="J7" s="103">
        <v>100</v>
      </c>
      <c r="K7" s="127">
        <f t="shared" si="0"/>
        <v>4</v>
      </c>
      <c r="L7" s="125">
        <f t="shared" si="1"/>
        <v>80</v>
      </c>
      <c r="M7" s="148"/>
      <c r="N7" s="147"/>
      <c r="O7" s="148"/>
      <c r="P7" s="148"/>
    </row>
    <row r="8" spans="1:16" ht="15" customHeight="1" x14ac:dyDescent="0.25">
      <c r="A8" s="125">
        <v>6</v>
      </c>
      <c r="B8" s="8" t="s">
        <v>91</v>
      </c>
      <c r="C8" s="8" t="s">
        <v>62</v>
      </c>
      <c r="D8" s="123" t="s">
        <v>58</v>
      </c>
      <c r="E8" s="123" t="s">
        <v>6</v>
      </c>
      <c r="F8" s="111" t="s">
        <v>448</v>
      </c>
      <c r="G8" s="124">
        <v>5</v>
      </c>
      <c r="H8" s="148">
        <v>30</v>
      </c>
      <c r="I8" s="148"/>
      <c r="J8" s="103"/>
      <c r="K8" s="127">
        <f t="shared" si="0"/>
        <v>0</v>
      </c>
      <c r="L8" s="125">
        <f t="shared" si="1"/>
        <v>0</v>
      </c>
      <c r="M8" s="148">
        <f>SUM(L8:L11)</f>
        <v>90</v>
      </c>
      <c r="N8" s="147">
        <f>M8/H8</f>
        <v>3</v>
      </c>
      <c r="O8" s="148"/>
      <c r="P8" s="148"/>
    </row>
    <row r="9" spans="1:16" ht="15" hidden="1" customHeight="1" x14ac:dyDescent="0.25">
      <c r="A9" s="125">
        <v>7</v>
      </c>
      <c r="B9" s="8" t="s">
        <v>91</v>
      </c>
      <c r="C9" s="8" t="s">
        <v>62</v>
      </c>
      <c r="D9" s="123" t="s">
        <v>59</v>
      </c>
      <c r="E9" s="123" t="s">
        <v>7</v>
      </c>
      <c r="F9" s="111" t="s">
        <v>449</v>
      </c>
      <c r="G9" s="124">
        <v>10</v>
      </c>
      <c r="H9" s="148"/>
      <c r="I9" s="148"/>
      <c r="J9" s="103">
        <v>154</v>
      </c>
      <c r="K9" s="127">
        <f t="shared" si="0"/>
        <v>4</v>
      </c>
      <c r="L9" s="125">
        <f t="shared" si="1"/>
        <v>40</v>
      </c>
      <c r="M9" s="148"/>
      <c r="N9" s="147"/>
      <c r="O9" s="148"/>
      <c r="P9" s="148"/>
    </row>
    <row r="10" spans="1:16" ht="15" hidden="1" customHeight="1" x14ac:dyDescent="0.25">
      <c r="A10" s="125">
        <v>8</v>
      </c>
      <c r="B10" s="8" t="s">
        <v>91</v>
      </c>
      <c r="C10" s="8" t="s">
        <v>62</v>
      </c>
      <c r="D10" s="123" t="s">
        <v>59</v>
      </c>
      <c r="E10" s="123" t="s">
        <v>242</v>
      </c>
      <c r="F10" s="111" t="s">
        <v>450</v>
      </c>
      <c r="G10" s="124">
        <v>10</v>
      </c>
      <c r="H10" s="148"/>
      <c r="I10" s="148"/>
      <c r="J10" s="103">
        <v>60.74</v>
      </c>
      <c r="K10" s="127">
        <f t="shared" si="0"/>
        <v>3</v>
      </c>
      <c r="L10" s="125">
        <f t="shared" si="1"/>
        <v>30</v>
      </c>
      <c r="M10" s="148"/>
      <c r="N10" s="147"/>
      <c r="O10" s="148"/>
      <c r="P10" s="148"/>
    </row>
    <row r="11" spans="1:16" ht="15" hidden="1" customHeight="1" x14ac:dyDescent="0.25">
      <c r="A11" s="125">
        <v>9</v>
      </c>
      <c r="B11" s="8" t="s">
        <v>91</v>
      </c>
      <c r="C11" s="8" t="s">
        <v>62</v>
      </c>
      <c r="D11" s="123" t="s">
        <v>59</v>
      </c>
      <c r="E11" s="123" t="s">
        <v>244</v>
      </c>
      <c r="F11" s="111" t="s">
        <v>451</v>
      </c>
      <c r="G11" s="124">
        <v>5</v>
      </c>
      <c r="H11" s="148"/>
      <c r="I11" s="148"/>
      <c r="J11" s="103">
        <v>87.56</v>
      </c>
      <c r="K11" s="127">
        <f t="shared" si="0"/>
        <v>4</v>
      </c>
      <c r="L11" s="125">
        <f t="shared" si="1"/>
        <v>20</v>
      </c>
      <c r="M11" s="148"/>
      <c r="N11" s="147"/>
      <c r="O11" s="148"/>
      <c r="P11" s="148"/>
    </row>
    <row r="12" spans="1:16" ht="15" hidden="1" customHeight="1" x14ac:dyDescent="0.25">
      <c r="A12" s="125">
        <v>10</v>
      </c>
      <c r="B12" s="8" t="s">
        <v>91</v>
      </c>
      <c r="C12" s="8" t="s">
        <v>63</v>
      </c>
      <c r="D12" s="123" t="s">
        <v>59</v>
      </c>
      <c r="E12" s="123" t="s">
        <v>8</v>
      </c>
      <c r="F12" s="111" t="s">
        <v>452</v>
      </c>
      <c r="G12" s="124">
        <v>10</v>
      </c>
      <c r="H12" s="148">
        <v>20</v>
      </c>
      <c r="I12" s="148"/>
      <c r="J12" s="103" t="s">
        <v>125</v>
      </c>
      <c r="K12" s="125">
        <f>IF(EXACT(J12,"A"),4,IF(EXACT(J12,"B"),3,IF(EXACT(J12,"C"),2,IF(EXACT(J12,"D"),1,0))))</f>
        <v>4</v>
      </c>
      <c r="L12" s="125">
        <f t="shared" si="1"/>
        <v>40</v>
      </c>
      <c r="M12" s="148">
        <f>L12+L13</f>
        <v>80</v>
      </c>
      <c r="N12" s="147">
        <f>M12/H12</f>
        <v>4</v>
      </c>
      <c r="O12" s="148"/>
      <c r="P12" s="148"/>
    </row>
    <row r="13" spans="1:16" ht="15" hidden="1" customHeight="1" x14ac:dyDescent="0.25">
      <c r="A13" s="125">
        <v>11</v>
      </c>
      <c r="B13" s="8" t="s">
        <v>91</v>
      </c>
      <c r="C13" s="8" t="s">
        <v>63</v>
      </c>
      <c r="D13" s="123" t="s">
        <v>59</v>
      </c>
      <c r="E13" s="123" t="s">
        <v>247</v>
      </c>
      <c r="F13" s="111" t="s">
        <v>453</v>
      </c>
      <c r="G13" s="124">
        <v>10</v>
      </c>
      <c r="H13" s="148"/>
      <c r="I13" s="148"/>
      <c r="J13" s="103" t="s">
        <v>125</v>
      </c>
      <c r="K13" s="125">
        <f>IF(EXACT(J13,"A"),4,IF(EXACT(J13,"B"),3,IF(EXACT(J13,"C"),2,IF(EXACT(J13,"D"),1,0))))</f>
        <v>4</v>
      </c>
      <c r="L13" s="125">
        <f t="shared" si="1"/>
        <v>40</v>
      </c>
      <c r="M13" s="148"/>
      <c r="N13" s="147"/>
      <c r="O13" s="148"/>
      <c r="P13" s="148"/>
    </row>
    <row r="14" spans="1:16" ht="15" hidden="1" customHeight="1" x14ac:dyDescent="0.25">
      <c r="A14" s="125">
        <v>12</v>
      </c>
      <c r="B14" s="8" t="s">
        <v>92</v>
      </c>
      <c r="C14" s="8" t="s">
        <v>64</v>
      </c>
      <c r="D14" s="123" t="s">
        <v>59</v>
      </c>
      <c r="E14" s="4" t="s">
        <v>9</v>
      </c>
      <c r="F14" s="133" t="s">
        <v>454</v>
      </c>
      <c r="G14" s="124">
        <v>5</v>
      </c>
      <c r="H14" s="148">
        <v>10</v>
      </c>
      <c r="I14" s="148">
        <v>200</v>
      </c>
      <c r="J14" s="103">
        <v>2.85</v>
      </c>
      <c r="K14" s="127">
        <f t="shared" si="0"/>
        <v>0</v>
      </c>
      <c r="L14" s="125">
        <f t="shared" si="1"/>
        <v>0</v>
      </c>
      <c r="M14" s="148">
        <f>L14+L15</f>
        <v>15</v>
      </c>
      <c r="N14" s="147">
        <f>M14/H14</f>
        <v>1.5</v>
      </c>
      <c r="O14" s="148">
        <f>SUM(M14:M32)</f>
        <v>317</v>
      </c>
      <c r="P14" s="148">
        <f>O14/I14</f>
        <v>1.585</v>
      </c>
    </row>
    <row r="15" spans="1:16" ht="15" hidden="1" customHeight="1" x14ac:dyDescent="0.25">
      <c r="A15" s="125">
        <v>13</v>
      </c>
      <c r="B15" s="8" t="s">
        <v>92</v>
      </c>
      <c r="C15" s="8" t="s">
        <v>64</v>
      </c>
      <c r="D15" s="123" t="s">
        <v>59</v>
      </c>
      <c r="E15" s="123" t="s">
        <v>10</v>
      </c>
      <c r="F15" s="111" t="s">
        <v>455</v>
      </c>
      <c r="G15" s="124">
        <v>5</v>
      </c>
      <c r="H15" s="148"/>
      <c r="I15" s="148"/>
      <c r="J15" s="103">
        <v>71.010000000000005</v>
      </c>
      <c r="K15" s="127">
        <f t="shared" si="0"/>
        <v>3</v>
      </c>
      <c r="L15" s="125">
        <f t="shared" si="1"/>
        <v>15</v>
      </c>
      <c r="M15" s="148"/>
      <c r="N15" s="147"/>
      <c r="O15" s="148"/>
      <c r="P15" s="148"/>
    </row>
    <row r="16" spans="1:16" ht="15" customHeight="1" x14ac:dyDescent="0.25">
      <c r="A16" s="125">
        <v>14</v>
      </c>
      <c r="B16" s="8" t="s">
        <v>92</v>
      </c>
      <c r="C16" s="8" t="s">
        <v>431</v>
      </c>
      <c r="D16" s="123" t="s">
        <v>58</v>
      </c>
      <c r="E16" s="123" t="s">
        <v>11</v>
      </c>
      <c r="F16" s="111" t="s">
        <v>456</v>
      </c>
      <c r="G16" s="124">
        <v>10</v>
      </c>
      <c r="H16" s="148">
        <v>20</v>
      </c>
      <c r="I16" s="148"/>
      <c r="J16" s="103"/>
      <c r="K16" s="125"/>
      <c r="L16" s="125">
        <f t="shared" si="1"/>
        <v>0</v>
      </c>
      <c r="M16" s="148">
        <f>L16+L17</f>
        <v>40</v>
      </c>
      <c r="N16" s="147">
        <f>M16/H16</f>
        <v>2</v>
      </c>
      <c r="O16" s="148"/>
      <c r="P16" s="148"/>
    </row>
    <row r="17" spans="1:16" ht="15" hidden="1" customHeight="1" x14ac:dyDescent="0.25">
      <c r="A17" s="125">
        <v>15</v>
      </c>
      <c r="B17" s="8" t="s">
        <v>92</v>
      </c>
      <c r="C17" s="8" t="s">
        <v>431</v>
      </c>
      <c r="D17" s="123" t="s">
        <v>59</v>
      </c>
      <c r="E17" s="4" t="s">
        <v>252</v>
      </c>
      <c r="F17" s="133" t="s">
        <v>457</v>
      </c>
      <c r="G17" s="124">
        <v>10</v>
      </c>
      <c r="H17" s="148"/>
      <c r="I17" s="148"/>
      <c r="J17" s="103" t="s">
        <v>570</v>
      </c>
      <c r="K17" s="125">
        <f t="shared" si="0"/>
        <v>4</v>
      </c>
      <c r="L17" s="125">
        <f t="shared" si="1"/>
        <v>40</v>
      </c>
      <c r="M17" s="148"/>
      <c r="N17" s="147"/>
      <c r="O17" s="148"/>
      <c r="P17" s="148"/>
    </row>
    <row r="18" spans="1:16" ht="15" customHeight="1" x14ac:dyDescent="0.25">
      <c r="A18" s="125">
        <v>16</v>
      </c>
      <c r="B18" s="8" t="s">
        <v>92</v>
      </c>
      <c r="C18" s="8" t="s">
        <v>432</v>
      </c>
      <c r="D18" s="123" t="s">
        <v>58</v>
      </c>
      <c r="E18" s="4" t="s">
        <v>12</v>
      </c>
      <c r="F18" s="111" t="s">
        <v>458</v>
      </c>
      <c r="G18" s="124">
        <v>6</v>
      </c>
      <c r="H18" s="148">
        <v>20</v>
      </c>
      <c r="I18" s="148"/>
      <c r="J18" s="103"/>
      <c r="K18" s="125"/>
      <c r="L18" s="125">
        <f t="shared" si="1"/>
        <v>0</v>
      </c>
      <c r="M18" s="148">
        <f>SUM(L18:L20)</f>
        <v>32</v>
      </c>
      <c r="N18" s="147">
        <f>M18/H18</f>
        <v>1.6</v>
      </c>
      <c r="O18" s="148"/>
      <c r="P18" s="148"/>
    </row>
    <row r="19" spans="1:16" ht="15" customHeight="1" x14ac:dyDescent="0.25">
      <c r="A19" s="125">
        <v>17</v>
      </c>
      <c r="B19" s="8" t="s">
        <v>92</v>
      </c>
      <c r="C19" s="8" t="s">
        <v>432</v>
      </c>
      <c r="D19" s="123" t="s">
        <v>58</v>
      </c>
      <c r="E19" s="5" t="s">
        <v>255</v>
      </c>
      <c r="F19" s="111" t="s">
        <v>459</v>
      </c>
      <c r="G19" s="124">
        <v>6</v>
      </c>
      <c r="H19" s="148"/>
      <c r="I19" s="148"/>
      <c r="J19" s="103"/>
      <c r="K19" s="125"/>
      <c r="L19" s="125">
        <f t="shared" si="1"/>
        <v>0</v>
      </c>
      <c r="M19" s="148"/>
      <c r="N19" s="147"/>
      <c r="O19" s="148"/>
      <c r="P19" s="148"/>
    </row>
    <row r="20" spans="1:16" ht="15" hidden="1" customHeight="1" x14ac:dyDescent="0.25">
      <c r="A20" s="125">
        <v>18</v>
      </c>
      <c r="B20" s="8" t="s">
        <v>92</v>
      </c>
      <c r="C20" s="8" t="s">
        <v>432</v>
      </c>
      <c r="D20" s="123" t="s">
        <v>59</v>
      </c>
      <c r="E20" s="123" t="s">
        <v>257</v>
      </c>
      <c r="F20" s="133" t="s">
        <v>460</v>
      </c>
      <c r="G20" s="124">
        <v>8</v>
      </c>
      <c r="H20" s="148"/>
      <c r="I20" s="148"/>
      <c r="J20" s="103" t="s">
        <v>570</v>
      </c>
      <c r="K20" s="125">
        <f t="shared" si="0"/>
        <v>4</v>
      </c>
      <c r="L20" s="125">
        <f t="shared" si="1"/>
        <v>32</v>
      </c>
      <c r="M20" s="148"/>
      <c r="N20" s="147"/>
      <c r="O20" s="148"/>
      <c r="P20" s="148"/>
    </row>
    <row r="21" spans="1:16" ht="15" hidden="1" customHeight="1" x14ac:dyDescent="0.25">
      <c r="A21" s="125">
        <v>19</v>
      </c>
      <c r="B21" s="8" t="s">
        <v>92</v>
      </c>
      <c r="C21" s="8" t="s">
        <v>66</v>
      </c>
      <c r="D21" s="123" t="s">
        <v>59</v>
      </c>
      <c r="E21" s="4" t="s">
        <v>13</v>
      </c>
      <c r="F21" s="111" t="s">
        <v>461</v>
      </c>
      <c r="G21" s="124">
        <v>15</v>
      </c>
      <c r="H21" s="148">
        <v>50</v>
      </c>
      <c r="I21" s="148"/>
      <c r="J21" s="103">
        <v>96.74</v>
      </c>
      <c r="K21" s="127">
        <f t="shared" si="0"/>
        <v>4</v>
      </c>
      <c r="L21" s="125">
        <f t="shared" si="1"/>
        <v>60</v>
      </c>
      <c r="M21" s="148">
        <f>SUM(L21:L24)</f>
        <v>115</v>
      </c>
      <c r="N21" s="147">
        <f>SUM(M21:M24)</f>
        <v>115</v>
      </c>
      <c r="O21" s="148"/>
      <c r="P21" s="148"/>
    </row>
    <row r="22" spans="1:16" ht="15" hidden="1" customHeight="1" x14ac:dyDescent="0.25">
      <c r="A22" s="125">
        <v>20</v>
      </c>
      <c r="B22" s="8" t="s">
        <v>92</v>
      </c>
      <c r="C22" s="8" t="s">
        <v>66</v>
      </c>
      <c r="D22" s="123" t="s">
        <v>59</v>
      </c>
      <c r="E22" s="4" t="s">
        <v>14</v>
      </c>
      <c r="F22" s="111" t="s">
        <v>462</v>
      </c>
      <c r="G22" s="124">
        <v>15</v>
      </c>
      <c r="H22" s="148"/>
      <c r="I22" s="148"/>
      <c r="J22" s="103">
        <v>67.05</v>
      </c>
      <c r="K22" s="127">
        <f t="shared" si="0"/>
        <v>3</v>
      </c>
      <c r="L22" s="125">
        <f t="shared" si="1"/>
        <v>45</v>
      </c>
      <c r="M22" s="148"/>
      <c r="N22" s="147"/>
      <c r="O22" s="148"/>
      <c r="P22" s="148"/>
    </row>
    <row r="23" spans="1:16" ht="15" hidden="1" customHeight="1" x14ac:dyDescent="0.25">
      <c r="A23" s="125">
        <v>21</v>
      </c>
      <c r="B23" s="8" t="s">
        <v>92</v>
      </c>
      <c r="C23" s="8" t="s">
        <v>66</v>
      </c>
      <c r="D23" s="123" t="s">
        <v>59</v>
      </c>
      <c r="E23" s="4" t="s">
        <v>263</v>
      </c>
      <c r="F23" s="111" t="s">
        <v>463</v>
      </c>
      <c r="G23" s="124">
        <v>10</v>
      </c>
      <c r="H23" s="148"/>
      <c r="I23" s="148"/>
      <c r="J23" s="103">
        <v>5.94</v>
      </c>
      <c r="K23" s="127">
        <f t="shared" si="0"/>
        <v>0</v>
      </c>
      <c r="L23" s="125">
        <f t="shared" si="1"/>
        <v>0</v>
      </c>
      <c r="M23" s="148"/>
      <c r="N23" s="147"/>
      <c r="O23" s="148"/>
      <c r="P23" s="148"/>
    </row>
    <row r="24" spans="1:16" ht="15" hidden="1" customHeight="1" x14ac:dyDescent="0.25">
      <c r="A24" s="125">
        <v>22</v>
      </c>
      <c r="B24" s="8" t="s">
        <v>92</v>
      </c>
      <c r="C24" s="8" t="s">
        <v>66</v>
      </c>
      <c r="D24" s="123" t="s">
        <v>59</v>
      </c>
      <c r="E24" s="123" t="s">
        <v>558</v>
      </c>
      <c r="F24" s="111" t="s">
        <v>464</v>
      </c>
      <c r="G24" s="124">
        <v>10</v>
      </c>
      <c r="H24" s="148"/>
      <c r="I24" s="148"/>
      <c r="J24" s="103">
        <v>39.74</v>
      </c>
      <c r="K24" s="127">
        <f t="shared" si="0"/>
        <v>1</v>
      </c>
      <c r="L24" s="125">
        <f t="shared" si="1"/>
        <v>10</v>
      </c>
      <c r="M24" s="148"/>
      <c r="N24" s="147"/>
      <c r="O24" s="148"/>
      <c r="P24" s="148"/>
    </row>
    <row r="25" spans="1:16" ht="15" hidden="1" customHeight="1" x14ac:dyDescent="0.25">
      <c r="A25" s="125">
        <v>23</v>
      </c>
      <c r="B25" s="8" t="s">
        <v>92</v>
      </c>
      <c r="C25" s="8" t="s">
        <v>67</v>
      </c>
      <c r="D25" s="123" t="s">
        <v>59</v>
      </c>
      <c r="E25" s="123" t="s">
        <v>15</v>
      </c>
      <c r="F25" s="111" t="s">
        <v>465</v>
      </c>
      <c r="G25" s="124">
        <v>15</v>
      </c>
      <c r="H25" s="148">
        <v>40</v>
      </c>
      <c r="I25" s="148"/>
      <c r="J25" s="103">
        <v>30.4</v>
      </c>
      <c r="K25" s="127">
        <f t="shared" si="0"/>
        <v>1</v>
      </c>
      <c r="L25" s="125">
        <f t="shared" si="1"/>
        <v>15</v>
      </c>
      <c r="M25" s="148">
        <f>SUM(L25:L28)</f>
        <v>15</v>
      </c>
      <c r="N25" s="147">
        <f>M25/H25</f>
        <v>0.375</v>
      </c>
      <c r="O25" s="148"/>
      <c r="P25" s="148"/>
    </row>
    <row r="26" spans="1:16" ht="15" hidden="1" customHeight="1" x14ac:dyDescent="0.25">
      <c r="A26" s="125">
        <v>24</v>
      </c>
      <c r="B26" s="8" t="s">
        <v>92</v>
      </c>
      <c r="C26" s="8" t="s">
        <v>67</v>
      </c>
      <c r="D26" s="123" t="s">
        <v>59</v>
      </c>
      <c r="E26" s="4" t="s">
        <v>266</v>
      </c>
      <c r="F26" s="111" t="s">
        <v>466</v>
      </c>
      <c r="G26" s="124">
        <v>10</v>
      </c>
      <c r="H26" s="148"/>
      <c r="I26" s="148"/>
      <c r="J26" s="103">
        <v>0.01</v>
      </c>
      <c r="K26" s="127">
        <f t="shared" si="0"/>
        <v>0</v>
      </c>
      <c r="L26" s="125">
        <f t="shared" si="1"/>
        <v>0</v>
      </c>
      <c r="M26" s="148"/>
      <c r="N26" s="147"/>
      <c r="O26" s="148"/>
      <c r="P26" s="148"/>
    </row>
    <row r="27" spans="1:16" ht="15" customHeight="1" x14ac:dyDescent="0.25">
      <c r="A27" s="125">
        <v>25</v>
      </c>
      <c r="B27" s="8" t="s">
        <v>92</v>
      </c>
      <c r="C27" s="8" t="s">
        <v>67</v>
      </c>
      <c r="D27" s="123" t="s">
        <v>58</v>
      </c>
      <c r="E27" s="4" t="s">
        <v>268</v>
      </c>
      <c r="F27" s="111" t="s">
        <v>467</v>
      </c>
      <c r="G27" s="124">
        <v>10</v>
      </c>
      <c r="H27" s="148"/>
      <c r="I27" s="148"/>
      <c r="J27" s="103"/>
      <c r="K27" s="125"/>
      <c r="L27" s="125">
        <f t="shared" si="1"/>
        <v>0</v>
      </c>
      <c r="M27" s="148"/>
      <c r="N27" s="147"/>
      <c r="O27" s="148"/>
      <c r="P27" s="148"/>
    </row>
    <row r="28" spans="1:16" ht="15" hidden="1" customHeight="1" x14ac:dyDescent="0.25">
      <c r="A28" s="125">
        <v>26</v>
      </c>
      <c r="B28" s="8" t="s">
        <v>92</v>
      </c>
      <c r="C28" s="8" t="s">
        <v>67</v>
      </c>
      <c r="D28" s="123" t="s">
        <v>59</v>
      </c>
      <c r="E28" s="123" t="s">
        <v>559</v>
      </c>
      <c r="F28" s="111" t="s">
        <v>468</v>
      </c>
      <c r="G28" s="124">
        <v>5</v>
      </c>
      <c r="H28" s="148"/>
      <c r="I28" s="148"/>
      <c r="J28" s="103">
        <v>1</v>
      </c>
      <c r="K28" s="127">
        <f t="shared" si="0"/>
        <v>0</v>
      </c>
      <c r="L28" s="125">
        <f t="shared" si="1"/>
        <v>0</v>
      </c>
      <c r="M28" s="148"/>
      <c r="N28" s="147"/>
      <c r="O28" s="148"/>
      <c r="P28" s="148"/>
    </row>
    <row r="29" spans="1:16" ht="15" customHeight="1" x14ac:dyDescent="0.25">
      <c r="A29" s="125">
        <v>27</v>
      </c>
      <c r="B29" s="8" t="s">
        <v>92</v>
      </c>
      <c r="C29" s="8" t="s">
        <v>68</v>
      </c>
      <c r="D29" s="123" t="s">
        <v>58</v>
      </c>
      <c r="E29" s="4" t="s">
        <v>16</v>
      </c>
      <c r="F29" s="111" t="s">
        <v>469</v>
      </c>
      <c r="G29" s="124">
        <v>10</v>
      </c>
      <c r="H29" s="148">
        <v>30</v>
      </c>
      <c r="I29" s="148"/>
      <c r="J29" s="103"/>
      <c r="K29" s="125"/>
      <c r="L29" s="125">
        <f t="shared" si="1"/>
        <v>0</v>
      </c>
      <c r="M29" s="148">
        <f>SUM(L29:L31)</f>
        <v>40</v>
      </c>
      <c r="N29" s="147">
        <f>M29/H29</f>
        <v>1.3333333333333333</v>
      </c>
      <c r="O29" s="148"/>
      <c r="P29" s="148"/>
    </row>
    <row r="30" spans="1:16" ht="15" customHeight="1" x14ac:dyDescent="0.25">
      <c r="A30" s="125">
        <v>28</v>
      </c>
      <c r="B30" s="8" t="s">
        <v>92</v>
      </c>
      <c r="C30" s="8" t="s">
        <v>68</v>
      </c>
      <c r="D30" s="123" t="s">
        <v>58</v>
      </c>
      <c r="E30" s="123" t="s">
        <v>17</v>
      </c>
      <c r="F30" s="111" t="s">
        <v>470</v>
      </c>
      <c r="G30" s="124">
        <v>10</v>
      </c>
      <c r="H30" s="148"/>
      <c r="I30" s="148"/>
      <c r="J30" s="103"/>
      <c r="K30" s="125">
        <f t="shared" si="0"/>
        <v>0</v>
      </c>
      <c r="L30" s="125">
        <f t="shared" si="1"/>
        <v>0</v>
      </c>
      <c r="M30" s="148"/>
      <c r="N30" s="147"/>
      <c r="O30" s="148"/>
      <c r="P30" s="148"/>
    </row>
    <row r="31" spans="1:16" ht="15" hidden="1" customHeight="1" x14ac:dyDescent="0.25">
      <c r="A31" s="125">
        <v>29</v>
      </c>
      <c r="B31" s="8" t="s">
        <v>92</v>
      </c>
      <c r="C31" s="8" t="s">
        <v>68</v>
      </c>
      <c r="D31" s="123" t="s">
        <v>59</v>
      </c>
      <c r="E31" s="123" t="s">
        <v>272</v>
      </c>
      <c r="F31" s="111" t="s">
        <v>471</v>
      </c>
      <c r="G31" s="124">
        <v>10</v>
      </c>
      <c r="H31" s="148"/>
      <c r="I31" s="148"/>
      <c r="J31" s="103">
        <v>96.84</v>
      </c>
      <c r="K31" s="127">
        <f t="shared" si="0"/>
        <v>4</v>
      </c>
      <c r="L31" s="125">
        <f t="shared" si="1"/>
        <v>40</v>
      </c>
      <c r="M31" s="148"/>
      <c r="N31" s="147"/>
      <c r="O31" s="148"/>
      <c r="P31" s="148"/>
    </row>
    <row r="32" spans="1:16" ht="15" hidden="1" customHeight="1" x14ac:dyDescent="0.25">
      <c r="A32" s="125">
        <v>30</v>
      </c>
      <c r="B32" s="8" t="s">
        <v>93</v>
      </c>
      <c r="C32" s="8" t="s">
        <v>69</v>
      </c>
      <c r="D32" s="123" t="s">
        <v>59</v>
      </c>
      <c r="E32" s="4" t="s">
        <v>18</v>
      </c>
      <c r="F32" s="133" t="s">
        <v>472</v>
      </c>
      <c r="G32" s="124">
        <v>30</v>
      </c>
      <c r="H32" s="52">
        <v>30</v>
      </c>
      <c r="I32" s="148"/>
      <c r="J32" s="103">
        <v>3.31</v>
      </c>
      <c r="K32" s="127">
        <f>IF(J32&gt;=4,4,IF(AND(J32&lt;4,J32&gt;=3.5),3,IF(AND(J32&lt;3.5,J32&gt;=2.5),2,IF(AND(J32&lt;2.5,J32&gt;=2),1,IF(J32&lt;2,0)))))</f>
        <v>2</v>
      </c>
      <c r="L32" s="125">
        <f t="shared" si="1"/>
        <v>60</v>
      </c>
      <c r="M32" s="52">
        <f>L32</f>
        <v>60</v>
      </c>
      <c r="N32" s="129">
        <f>M32/H32</f>
        <v>2</v>
      </c>
      <c r="O32" s="148"/>
      <c r="P32" s="148"/>
    </row>
    <row r="33" spans="1:16" ht="15" customHeight="1" x14ac:dyDescent="0.25">
      <c r="A33" s="125">
        <v>31</v>
      </c>
      <c r="B33" s="8" t="s">
        <v>93</v>
      </c>
      <c r="C33" s="8" t="s">
        <v>433</v>
      </c>
      <c r="D33" s="123" t="s">
        <v>58</v>
      </c>
      <c r="E33" s="4" t="s">
        <v>19</v>
      </c>
      <c r="F33" s="111" t="s">
        <v>473</v>
      </c>
      <c r="G33" s="124">
        <v>2</v>
      </c>
      <c r="H33" s="148">
        <v>20</v>
      </c>
      <c r="I33" s="148">
        <v>250</v>
      </c>
      <c r="J33" s="103"/>
      <c r="K33" s="125">
        <f t="shared" si="0"/>
        <v>0</v>
      </c>
      <c r="L33" s="125">
        <f t="shared" si="1"/>
        <v>0</v>
      </c>
      <c r="M33" s="148">
        <f>SUM(L33:L38)</f>
        <v>43</v>
      </c>
      <c r="N33" s="147">
        <f>M33/H33</f>
        <v>2.15</v>
      </c>
      <c r="O33" s="148">
        <f>SUM(M33:M61)</f>
        <v>378</v>
      </c>
      <c r="P33" s="148">
        <f>O33/I33</f>
        <v>1.512</v>
      </c>
    </row>
    <row r="34" spans="1:16" ht="15" hidden="1" customHeight="1" x14ac:dyDescent="0.25">
      <c r="A34" s="125">
        <v>32</v>
      </c>
      <c r="B34" s="8" t="s">
        <v>93</v>
      </c>
      <c r="C34" s="8" t="s">
        <v>433</v>
      </c>
      <c r="D34" s="123" t="s">
        <v>59</v>
      </c>
      <c r="E34" s="4" t="s">
        <v>276</v>
      </c>
      <c r="F34" s="111" t="s">
        <v>474</v>
      </c>
      <c r="G34" s="124">
        <v>3</v>
      </c>
      <c r="H34" s="148"/>
      <c r="I34" s="148"/>
      <c r="J34" s="103">
        <v>36.08</v>
      </c>
      <c r="K34" s="127">
        <f t="shared" si="0"/>
        <v>1</v>
      </c>
      <c r="L34" s="125">
        <f t="shared" si="1"/>
        <v>3</v>
      </c>
      <c r="M34" s="148"/>
      <c r="N34" s="147"/>
      <c r="O34" s="148"/>
      <c r="P34" s="148"/>
    </row>
    <row r="35" spans="1:16" ht="15" hidden="1" customHeight="1" x14ac:dyDescent="0.25">
      <c r="A35" s="125">
        <v>33</v>
      </c>
      <c r="B35" s="8" t="s">
        <v>93</v>
      </c>
      <c r="C35" s="8" t="s">
        <v>433</v>
      </c>
      <c r="D35" s="123" t="s">
        <v>59</v>
      </c>
      <c r="E35" s="4" t="s">
        <v>278</v>
      </c>
      <c r="F35" s="111" t="s">
        <v>475</v>
      </c>
      <c r="G35" s="124">
        <v>3</v>
      </c>
      <c r="H35" s="148"/>
      <c r="I35" s="148"/>
      <c r="J35" s="103">
        <v>3.15</v>
      </c>
      <c r="K35" s="127">
        <f t="shared" si="0"/>
        <v>0</v>
      </c>
      <c r="L35" s="125">
        <f t="shared" si="1"/>
        <v>0</v>
      </c>
      <c r="M35" s="148"/>
      <c r="N35" s="147"/>
      <c r="O35" s="148"/>
      <c r="P35" s="148"/>
    </row>
    <row r="36" spans="1:16" ht="15" hidden="1" customHeight="1" x14ac:dyDescent="0.25">
      <c r="A36" s="125">
        <v>34</v>
      </c>
      <c r="B36" s="8" t="s">
        <v>93</v>
      </c>
      <c r="C36" s="8" t="s">
        <v>433</v>
      </c>
      <c r="D36" s="123" t="s">
        <v>59</v>
      </c>
      <c r="E36" s="4" t="s">
        <v>560</v>
      </c>
      <c r="F36" s="111" t="s">
        <v>476</v>
      </c>
      <c r="G36" s="124">
        <v>4</v>
      </c>
      <c r="H36" s="148"/>
      <c r="I36" s="148"/>
      <c r="J36" s="103">
        <v>54</v>
      </c>
      <c r="K36" s="127">
        <f t="shared" si="0"/>
        <v>2</v>
      </c>
      <c r="L36" s="125">
        <f t="shared" si="1"/>
        <v>8</v>
      </c>
      <c r="M36" s="148"/>
      <c r="N36" s="147"/>
      <c r="O36" s="148"/>
      <c r="P36" s="148"/>
    </row>
    <row r="37" spans="1:16" ht="15" hidden="1" customHeight="1" x14ac:dyDescent="0.25">
      <c r="A37" s="125">
        <v>35</v>
      </c>
      <c r="B37" s="8" t="s">
        <v>93</v>
      </c>
      <c r="C37" s="8" t="s">
        <v>433</v>
      </c>
      <c r="D37" s="123" t="s">
        <v>59</v>
      </c>
      <c r="E37" s="4" t="s">
        <v>561</v>
      </c>
      <c r="F37" s="111" t="s">
        <v>477</v>
      </c>
      <c r="G37" s="124">
        <v>3</v>
      </c>
      <c r="H37" s="148"/>
      <c r="I37" s="148"/>
      <c r="J37" s="103" t="s">
        <v>125</v>
      </c>
      <c r="K37" s="125">
        <f>IF(EXACT(J37,"A"),4,IF(EXACT(J37,"B"),3,IF(EXACT(J37,"C"),2,IF(EXACT(J37,"D"),1,0))))</f>
        <v>4</v>
      </c>
      <c r="L37" s="125">
        <f t="shared" si="1"/>
        <v>12</v>
      </c>
      <c r="M37" s="148"/>
      <c r="N37" s="147"/>
      <c r="O37" s="148"/>
      <c r="P37" s="148"/>
    </row>
    <row r="38" spans="1:16" ht="15" hidden="1" customHeight="1" x14ac:dyDescent="0.25">
      <c r="A38" s="125">
        <v>36</v>
      </c>
      <c r="B38" s="8" t="s">
        <v>93</v>
      </c>
      <c r="C38" s="8" t="s">
        <v>433</v>
      </c>
      <c r="D38" s="123" t="s">
        <v>59</v>
      </c>
      <c r="E38" s="4" t="s">
        <v>562</v>
      </c>
      <c r="F38" s="111" t="s">
        <v>478</v>
      </c>
      <c r="G38" s="124">
        <v>5</v>
      </c>
      <c r="H38" s="148"/>
      <c r="I38" s="148"/>
      <c r="J38" s="103">
        <v>100</v>
      </c>
      <c r="K38" s="127">
        <f t="shared" si="0"/>
        <v>4</v>
      </c>
      <c r="L38" s="125">
        <f t="shared" si="1"/>
        <v>20</v>
      </c>
      <c r="M38" s="148"/>
      <c r="N38" s="147"/>
      <c r="O38" s="148"/>
      <c r="P38" s="148"/>
    </row>
    <row r="39" spans="1:16" ht="15" hidden="1" customHeight="1" x14ac:dyDescent="0.25">
      <c r="A39" s="125">
        <v>37</v>
      </c>
      <c r="B39" s="8" t="s">
        <v>93</v>
      </c>
      <c r="C39" s="8" t="s">
        <v>434</v>
      </c>
      <c r="D39" s="123" t="s">
        <v>59</v>
      </c>
      <c r="E39" s="4" t="s">
        <v>20</v>
      </c>
      <c r="F39" s="111" t="s">
        <v>479</v>
      </c>
      <c r="G39" s="124">
        <v>5</v>
      </c>
      <c r="H39" s="148">
        <v>20</v>
      </c>
      <c r="I39" s="148"/>
      <c r="J39" s="103">
        <v>437</v>
      </c>
      <c r="K39" s="127">
        <f t="shared" si="0"/>
        <v>4</v>
      </c>
      <c r="L39" s="125">
        <f t="shared" si="1"/>
        <v>20</v>
      </c>
      <c r="M39" s="148">
        <f>SUM(L39:L41)</f>
        <v>60</v>
      </c>
      <c r="N39" s="147">
        <f>M39/H39</f>
        <v>3</v>
      </c>
      <c r="O39" s="148"/>
      <c r="P39" s="148"/>
    </row>
    <row r="40" spans="1:16" ht="15" hidden="1" customHeight="1" x14ac:dyDescent="0.25">
      <c r="A40" s="125">
        <v>38</v>
      </c>
      <c r="B40" s="8" t="s">
        <v>93</v>
      </c>
      <c r="C40" s="8" t="s">
        <v>434</v>
      </c>
      <c r="D40" s="123" t="s">
        <v>59</v>
      </c>
      <c r="E40" s="4" t="s">
        <v>21</v>
      </c>
      <c r="F40" s="111" t="s">
        <v>480</v>
      </c>
      <c r="G40" s="124">
        <v>10</v>
      </c>
      <c r="H40" s="148"/>
      <c r="I40" s="148"/>
      <c r="J40" s="103">
        <v>702.65</v>
      </c>
      <c r="K40" s="127">
        <f t="shared" si="0"/>
        <v>4</v>
      </c>
      <c r="L40" s="125">
        <f t="shared" si="1"/>
        <v>40</v>
      </c>
      <c r="M40" s="148"/>
      <c r="N40" s="147"/>
      <c r="O40" s="148"/>
      <c r="P40" s="148"/>
    </row>
    <row r="41" spans="1:16" ht="15" hidden="1" customHeight="1" x14ac:dyDescent="0.25">
      <c r="A41" s="125">
        <v>39</v>
      </c>
      <c r="B41" s="8" t="s">
        <v>93</v>
      </c>
      <c r="C41" s="8" t="s">
        <v>434</v>
      </c>
      <c r="D41" s="123" t="s">
        <v>59</v>
      </c>
      <c r="E41" s="4" t="s">
        <v>282</v>
      </c>
      <c r="F41" s="111" t="s">
        <v>481</v>
      </c>
      <c r="G41" s="124">
        <v>5</v>
      </c>
      <c r="H41" s="148"/>
      <c r="I41" s="148"/>
      <c r="J41" s="103">
        <v>1.96</v>
      </c>
      <c r="K41" s="127">
        <f t="shared" si="0"/>
        <v>0</v>
      </c>
      <c r="L41" s="125">
        <f t="shared" si="1"/>
        <v>0</v>
      </c>
      <c r="M41" s="148"/>
      <c r="N41" s="147"/>
      <c r="O41" s="148"/>
      <c r="P41" s="148"/>
    </row>
    <row r="42" spans="1:16" ht="15" customHeight="1" x14ac:dyDescent="0.25">
      <c r="A42" s="125">
        <v>40</v>
      </c>
      <c r="B42" s="8" t="s">
        <v>93</v>
      </c>
      <c r="C42" s="8" t="s">
        <v>434</v>
      </c>
      <c r="D42" s="123" t="s">
        <v>58</v>
      </c>
      <c r="E42" s="123" t="s">
        <v>22</v>
      </c>
      <c r="F42" s="111" t="s">
        <v>482</v>
      </c>
      <c r="G42" s="124">
        <v>10</v>
      </c>
      <c r="H42" s="148">
        <v>30</v>
      </c>
      <c r="I42" s="148"/>
      <c r="J42" s="103"/>
      <c r="K42" s="125">
        <f t="shared" si="0"/>
        <v>0</v>
      </c>
      <c r="L42" s="125">
        <f t="shared" si="1"/>
        <v>0</v>
      </c>
      <c r="M42" s="148">
        <f>SUM(L42:L44)</f>
        <v>50</v>
      </c>
      <c r="N42" s="147">
        <f>M42/H42</f>
        <v>1.6666666666666667</v>
      </c>
      <c r="O42" s="148"/>
      <c r="P42" s="148"/>
    </row>
    <row r="43" spans="1:16" ht="15" hidden="1" customHeight="1" x14ac:dyDescent="0.25">
      <c r="A43" s="125">
        <v>41</v>
      </c>
      <c r="B43" s="8" t="s">
        <v>93</v>
      </c>
      <c r="C43" s="8" t="s">
        <v>435</v>
      </c>
      <c r="D43" s="123" t="s">
        <v>59</v>
      </c>
      <c r="E43" s="123" t="s">
        <v>23</v>
      </c>
      <c r="F43" s="111" t="s">
        <v>483</v>
      </c>
      <c r="G43" s="124">
        <v>10</v>
      </c>
      <c r="H43" s="148"/>
      <c r="I43" s="148"/>
      <c r="J43" s="103">
        <v>526</v>
      </c>
      <c r="K43" s="127">
        <f t="shared" si="0"/>
        <v>4</v>
      </c>
      <c r="L43" s="125">
        <f t="shared" si="1"/>
        <v>40</v>
      </c>
      <c r="M43" s="148"/>
      <c r="N43" s="147"/>
      <c r="O43" s="148"/>
      <c r="P43" s="148"/>
    </row>
    <row r="44" spans="1:16" ht="15" hidden="1" customHeight="1" x14ac:dyDescent="0.25">
      <c r="A44" s="125">
        <v>42</v>
      </c>
      <c r="B44" s="8" t="s">
        <v>93</v>
      </c>
      <c r="C44" s="8" t="s">
        <v>435</v>
      </c>
      <c r="D44" s="123" t="s">
        <v>59</v>
      </c>
      <c r="E44" s="123" t="s">
        <v>563</v>
      </c>
      <c r="F44" s="111" t="s">
        <v>484</v>
      </c>
      <c r="G44" s="124">
        <v>10</v>
      </c>
      <c r="H44" s="148"/>
      <c r="I44" s="148"/>
      <c r="J44" s="103">
        <v>34</v>
      </c>
      <c r="K44" s="127">
        <f t="shared" si="0"/>
        <v>1</v>
      </c>
      <c r="L44" s="125">
        <f t="shared" si="1"/>
        <v>10</v>
      </c>
      <c r="M44" s="148"/>
      <c r="N44" s="147"/>
      <c r="O44" s="148"/>
      <c r="P44" s="148"/>
    </row>
    <row r="45" spans="1:16" ht="15" hidden="1" customHeight="1" x14ac:dyDescent="0.25">
      <c r="A45" s="125">
        <v>43</v>
      </c>
      <c r="B45" s="8" t="s">
        <v>93</v>
      </c>
      <c r="C45" s="8" t="s">
        <v>436</v>
      </c>
      <c r="D45" s="123" t="s">
        <v>59</v>
      </c>
      <c r="E45" s="4" t="s">
        <v>24</v>
      </c>
      <c r="F45" s="111" t="s">
        <v>485</v>
      </c>
      <c r="G45" s="124">
        <v>5</v>
      </c>
      <c r="H45" s="148">
        <v>100</v>
      </c>
      <c r="I45" s="148"/>
      <c r="J45" s="103" t="s">
        <v>125</v>
      </c>
      <c r="K45" s="125">
        <f t="shared" ref="K45:K46" si="2">IF(EXACT(J45,"A"),4,IF(EXACT(J45,"B"),3,IF(EXACT(J45,"C"),2,IF(EXACT(J45,"D"),1,0))))</f>
        <v>4</v>
      </c>
      <c r="L45" s="125">
        <f t="shared" si="1"/>
        <v>20</v>
      </c>
      <c r="M45" s="148">
        <f>SUM(L45:L53)</f>
        <v>65</v>
      </c>
      <c r="N45" s="147">
        <f>M45/H45</f>
        <v>0.65</v>
      </c>
      <c r="O45" s="148"/>
      <c r="P45" s="148"/>
    </row>
    <row r="46" spans="1:16" ht="15" hidden="1" customHeight="1" x14ac:dyDescent="0.25">
      <c r="A46" s="125">
        <v>44</v>
      </c>
      <c r="B46" s="8" t="s">
        <v>93</v>
      </c>
      <c r="C46" s="8" t="s">
        <v>436</v>
      </c>
      <c r="D46" s="123" t="s">
        <v>59</v>
      </c>
      <c r="E46" s="123" t="s">
        <v>25</v>
      </c>
      <c r="F46" s="111" t="s">
        <v>486</v>
      </c>
      <c r="G46" s="124">
        <v>5</v>
      </c>
      <c r="H46" s="148"/>
      <c r="I46" s="148"/>
      <c r="J46" s="103" t="s">
        <v>125</v>
      </c>
      <c r="K46" s="125">
        <f t="shared" si="2"/>
        <v>4</v>
      </c>
      <c r="L46" s="125">
        <f t="shared" si="1"/>
        <v>20</v>
      </c>
      <c r="M46" s="148"/>
      <c r="N46" s="147"/>
      <c r="O46" s="148"/>
      <c r="P46" s="148"/>
    </row>
    <row r="47" spans="1:16" ht="15" hidden="1" customHeight="1" x14ac:dyDescent="0.25">
      <c r="A47" s="125">
        <v>45</v>
      </c>
      <c r="B47" s="8" t="s">
        <v>93</v>
      </c>
      <c r="C47" s="8" t="s">
        <v>436</v>
      </c>
      <c r="D47" s="123" t="s">
        <v>59</v>
      </c>
      <c r="E47" s="4" t="s">
        <v>26</v>
      </c>
      <c r="F47" s="111" t="s">
        <v>487</v>
      </c>
      <c r="G47" s="124">
        <v>10</v>
      </c>
      <c r="H47" s="148"/>
      <c r="I47" s="148"/>
      <c r="J47" s="103">
        <v>13</v>
      </c>
      <c r="K47" s="127">
        <f t="shared" si="0"/>
        <v>0</v>
      </c>
      <c r="L47" s="125">
        <f t="shared" si="1"/>
        <v>0</v>
      </c>
      <c r="M47" s="148"/>
      <c r="N47" s="147"/>
      <c r="O47" s="148"/>
      <c r="P47" s="148"/>
    </row>
    <row r="48" spans="1:16" ht="15" hidden="1" customHeight="1" x14ac:dyDescent="0.25">
      <c r="A48" s="125">
        <v>46</v>
      </c>
      <c r="B48" s="8" t="s">
        <v>93</v>
      </c>
      <c r="C48" s="8" t="s">
        <v>436</v>
      </c>
      <c r="D48" s="123" t="s">
        <v>59</v>
      </c>
      <c r="E48" s="4" t="s">
        <v>291</v>
      </c>
      <c r="F48" s="111" t="s">
        <v>488</v>
      </c>
      <c r="G48" s="124">
        <v>10</v>
      </c>
      <c r="H48" s="148"/>
      <c r="I48" s="148"/>
      <c r="J48" s="103">
        <v>1.43</v>
      </c>
      <c r="K48" s="127">
        <f t="shared" si="0"/>
        <v>0</v>
      </c>
      <c r="L48" s="125">
        <f t="shared" si="1"/>
        <v>0</v>
      </c>
      <c r="M48" s="148"/>
      <c r="N48" s="147"/>
      <c r="O48" s="148"/>
      <c r="P48" s="148"/>
    </row>
    <row r="49" spans="1:16" ht="15" hidden="1" customHeight="1" x14ac:dyDescent="0.25">
      <c r="A49" s="125">
        <v>47</v>
      </c>
      <c r="B49" s="8" t="s">
        <v>93</v>
      </c>
      <c r="C49" s="8" t="s">
        <v>436</v>
      </c>
      <c r="D49" s="123" t="s">
        <v>59</v>
      </c>
      <c r="E49" s="123" t="s">
        <v>293</v>
      </c>
      <c r="F49" s="111" t="s">
        <v>489</v>
      </c>
      <c r="G49" s="124">
        <v>15</v>
      </c>
      <c r="H49" s="148"/>
      <c r="I49" s="148"/>
      <c r="J49" s="103">
        <v>3.62</v>
      </c>
      <c r="K49" s="127">
        <f t="shared" si="0"/>
        <v>0</v>
      </c>
      <c r="L49" s="125">
        <f t="shared" si="1"/>
        <v>0</v>
      </c>
      <c r="M49" s="148"/>
      <c r="N49" s="147"/>
      <c r="O49" s="148"/>
      <c r="P49" s="148"/>
    </row>
    <row r="50" spans="1:16" ht="15" hidden="1" customHeight="1" x14ac:dyDescent="0.25">
      <c r="A50" s="125">
        <v>48</v>
      </c>
      <c r="B50" s="8" t="s">
        <v>93</v>
      </c>
      <c r="C50" s="8" t="s">
        <v>436</v>
      </c>
      <c r="D50" s="123" t="s">
        <v>59</v>
      </c>
      <c r="E50" s="123" t="s">
        <v>295</v>
      </c>
      <c r="F50" s="111" t="s">
        <v>490</v>
      </c>
      <c r="G50" s="124">
        <v>15</v>
      </c>
      <c r="H50" s="148"/>
      <c r="I50" s="148"/>
      <c r="J50" s="103">
        <v>0</v>
      </c>
      <c r="K50" s="127">
        <f t="shared" si="0"/>
        <v>0</v>
      </c>
      <c r="L50" s="125">
        <f t="shared" si="1"/>
        <v>0</v>
      </c>
      <c r="M50" s="148"/>
      <c r="N50" s="147"/>
      <c r="O50" s="148"/>
      <c r="P50" s="148"/>
    </row>
    <row r="51" spans="1:16" ht="15" hidden="1" customHeight="1" x14ac:dyDescent="0.25">
      <c r="A51" s="125">
        <v>49</v>
      </c>
      <c r="B51" s="8" t="s">
        <v>93</v>
      </c>
      <c r="C51" s="8" t="s">
        <v>436</v>
      </c>
      <c r="D51" s="123" t="s">
        <v>59</v>
      </c>
      <c r="E51" s="4" t="s">
        <v>564</v>
      </c>
      <c r="F51" s="111" t="s">
        <v>491</v>
      </c>
      <c r="G51" s="124">
        <v>10</v>
      </c>
      <c r="H51" s="148"/>
      <c r="I51" s="148"/>
      <c r="J51" s="103" t="s">
        <v>127</v>
      </c>
      <c r="K51" s="125">
        <f>IF(EXACT(J51,"A"),4,IF(EXACT(J51,"B"),3,IF(EXACT(J51,"C"),2,IF(EXACT(J51,"D"),1,0))))</f>
        <v>1</v>
      </c>
      <c r="L51" s="125">
        <f t="shared" si="1"/>
        <v>10</v>
      </c>
      <c r="M51" s="148"/>
      <c r="N51" s="147"/>
      <c r="O51" s="148"/>
      <c r="P51" s="148"/>
    </row>
    <row r="52" spans="1:16" ht="15" hidden="1" customHeight="1" x14ac:dyDescent="0.25">
      <c r="A52" s="125">
        <v>50</v>
      </c>
      <c r="B52" s="8" t="s">
        <v>93</v>
      </c>
      <c r="C52" s="8" t="s">
        <v>436</v>
      </c>
      <c r="D52" s="123" t="s">
        <v>59</v>
      </c>
      <c r="E52" s="123" t="s">
        <v>565</v>
      </c>
      <c r="F52" s="111" t="s">
        <v>492</v>
      </c>
      <c r="G52" s="124">
        <v>15</v>
      </c>
      <c r="H52" s="148"/>
      <c r="I52" s="148"/>
      <c r="J52" s="103">
        <v>7.39</v>
      </c>
      <c r="K52" s="127">
        <f t="shared" si="0"/>
        <v>0</v>
      </c>
      <c r="L52" s="125">
        <f t="shared" si="1"/>
        <v>0</v>
      </c>
      <c r="M52" s="148"/>
      <c r="N52" s="147"/>
      <c r="O52" s="148"/>
      <c r="P52" s="148"/>
    </row>
    <row r="53" spans="1:16" ht="15" hidden="1" customHeight="1" x14ac:dyDescent="0.25">
      <c r="A53" s="125">
        <v>51</v>
      </c>
      <c r="B53" s="8" t="s">
        <v>93</v>
      </c>
      <c r="C53" s="8" t="s">
        <v>436</v>
      </c>
      <c r="D53" s="123" t="s">
        <v>59</v>
      </c>
      <c r="E53" s="4" t="s">
        <v>566</v>
      </c>
      <c r="F53" s="111" t="s">
        <v>493</v>
      </c>
      <c r="G53" s="124">
        <v>15</v>
      </c>
      <c r="H53" s="148"/>
      <c r="I53" s="148"/>
      <c r="J53" s="103">
        <v>26</v>
      </c>
      <c r="K53" s="127">
        <f t="shared" si="0"/>
        <v>1</v>
      </c>
      <c r="L53" s="125">
        <f t="shared" si="1"/>
        <v>15</v>
      </c>
      <c r="M53" s="148"/>
      <c r="N53" s="147"/>
      <c r="O53" s="148"/>
      <c r="P53" s="148"/>
    </row>
    <row r="54" spans="1:16" ht="15" customHeight="1" x14ac:dyDescent="0.25">
      <c r="A54" s="125">
        <v>52</v>
      </c>
      <c r="B54" s="8" t="s">
        <v>93</v>
      </c>
      <c r="C54" s="8" t="s">
        <v>437</v>
      </c>
      <c r="D54" s="123" t="s">
        <v>58</v>
      </c>
      <c r="E54" s="123" t="s">
        <v>27</v>
      </c>
      <c r="F54" s="111" t="s">
        <v>494</v>
      </c>
      <c r="G54" s="124">
        <v>5</v>
      </c>
      <c r="H54" s="148">
        <v>20</v>
      </c>
      <c r="I54" s="148"/>
      <c r="J54" s="103"/>
      <c r="K54" s="125">
        <f t="shared" si="0"/>
        <v>0</v>
      </c>
      <c r="L54" s="125">
        <f t="shared" si="1"/>
        <v>0</v>
      </c>
      <c r="M54" s="148">
        <f>L54+L55</f>
        <v>60</v>
      </c>
      <c r="N54" s="147">
        <f>M54/H54</f>
        <v>3</v>
      </c>
      <c r="O54" s="148"/>
      <c r="P54" s="148"/>
    </row>
    <row r="55" spans="1:16" ht="15" hidden="1" customHeight="1" x14ac:dyDescent="0.25">
      <c r="A55" s="125">
        <v>53</v>
      </c>
      <c r="B55" s="8" t="s">
        <v>94</v>
      </c>
      <c r="C55" s="8" t="s">
        <v>437</v>
      </c>
      <c r="D55" s="123" t="s">
        <v>59</v>
      </c>
      <c r="E55" s="123" t="s">
        <v>298</v>
      </c>
      <c r="F55" s="111" t="s">
        <v>495</v>
      </c>
      <c r="G55" s="124">
        <v>15</v>
      </c>
      <c r="H55" s="148"/>
      <c r="I55" s="148"/>
      <c r="J55" s="103">
        <v>296.64999999999998</v>
      </c>
      <c r="K55" s="127">
        <f t="shared" si="0"/>
        <v>4</v>
      </c>
      <c r="L55" s="125">
        <f t="shared" si="1"/>
        <v>60</v>
      </c>
      <c r="M55" s="148"/>
      <c r="N55" s="147"/>
      <c r="O55" s="148"/>
      <c r="P55" s="148"/>
    </row>
    <row r="56" spans="1:16" ht="15" customHeight="1" x14ac:dyDescent="0.25">
      <c r="A56" s="125">
        <v>54</v>
      </c>
      <c r="B56" s="8" t="s">
        <v>94</v>
      </c>
      <c r="C56" s="8" t="s">
        <v>438</v>
      </c>
      <c r="D56" s="123" t="s">
        <v>58</v>
      </c>
      <c r="E56" s="123" t="s">
        <v>300</v>
      </c>
      <c r="F56" s="111" t="s">
        <v>496</v>
      </c>
      <c r="G56" s="124">
        <v>6</v>
      </c>
      <c r="H56" s="148">
        <v>40</v>
      </c>
      <c r="I56" s="148"/>
      <c r="J56" s="103"/>
      <c r="K56" s="125"/>
      <c r="L56" s="125">
        <f t="shared" si="1"/>
        <v>0</v>
      </c>
      <c r="M56" s="148">
        <f>SUM(L56:L59)</f>
        <v>60</v>
      </c>
      <c r="N56" s="147">
        <f>M56/H56</f>
        <v>1.5</v>
      </c>
      <c r="O56" s="148"/>
      <c r="P56" s="148"/>
    </row>
    <row r="57" spans="1:16" ht="15" hidden="1" customHeight="1" x14ac:dyDescent="0.25">
      <c r="A57" s="125">
        <v>55</v>
      </c>
      <c r="B57" s="8" t="s">
        <v>94</v>
      </c>
      <c r="C57" s="8" t="s">
        <v>438</v>
      </c>
      <c r="D57" s="123" t="s">
        <v>59</v>
      </c>
      <c r="E57" s="123" t="s">
        <v>302</v>
      </c>
      <c r="F57" s="111" t="s">
        <v>497</v>
      </c>
      <c r="G57" s="124">
        <v>10</v>
      </c>
      <c r="H57" s="148"/>
      <c r="I57" s="148"/>
      <c r="J57" s="103">
        <v>9</v>
      </c>
      <c r="K57" s="127">
        <f t="shared" si="0"/>
        <v>0</v>
      </c>
      <c r="L57" s="125">
        <f t="shared" si="1"/>
        <v>0</v>
      </c>
      <c r="M57" s="148"/>
      <c r="N57" s="147"/>
      <c r="O57" s="148"/>
      <c r="P57" s="148"/>
    </row>
    <row r="58" spans="1:16" ht="15" hidden="1" customHeight="1" x14ac:dyDescent="0.25">
      <c r="A58" s="125">
        <v>56</v>
      </c>
      <c r="B58" s="8" t="s">
        <v>94</v>
      </c>
      <c r="C58" s="8" t="s">
        <v>438</v>
      </c>
      <c r="D58" s="123" t="s">
        <v>59</v>
      </c>
      <c r="E58" s="123" t="s">
        <v>304</v>
      </c>
      <c r="F58" s="111" t="s">
        <v>498</v>
      </c>
      <c r="G58" s="124">
        <v>12</v>
      </c>
      <c r="H58" s="148"/>
      <c r="I58" s="148"/>
      <c r="J58" s="103">
        <v>64</v>
      </c>
      <c r="K58" s="127">
        <f t="shared" si="0"/>
        <v>3</v>
      </c>
      <c r="L58" s="125">
        <f t="shared" si="1"/>
        <v>36</v>
      </c>
      <c r="M58" s="148"/>
      <c r="N58" s="147"/>
      <c r="O58" s="148"/>
      <c r="P58" s="148"/>
    </row>
    <row r="59" spans="1:16" ht="15" hidden="1" customHeight="1" x14ac:dyDescent="0.25">
      <c r="A59" s="125">
        <v>57</v>
      </c>
      <c r="B59" s="8" t="s">
        <v>94</v>
      </c>
      <c r="C59" s="8" t="s">
        <v>438</v>
      </c>
      <c r="D59" s="123" t="s">
        <v>59</v>
      </c>
      <c r="E59" s="123" t="s">
        <v>306</v>
      </c>
      <c r="F59" s="111" t="s">
        <v>499</v>
      </c>
      <c r="G59" s="124">
        <v>12</v>
      </c>
      <c r="H59" s="148"/>
      <c r="I59" s="148"/>
      <c r="J59" s="103">
        <v>42.43</v>
      </c>
      <c r="K59" s="127">
        <f t="shared" si="0"/>
        <v>2</v>
      </c>
      <c r="L59" s="125">
        <f t="shared" si="1"/>
        <v>24</v>
      </c>
      <c r="M59" s="148"/>
      <c r="N59" s="147"/>
      <c r="O59" s="148"/>
      <c r="P59" s="148"/>
    </row>
    <row r="60" spans="1:16" ht="15" hidden="1" customHeight="1" x14ac:dyDescent="0.25">
      <c r="A60" s="125">
        <v>58</v>
      </c>
      <c r="B60" s="8" t="s">
        <v>94</v>
      </c>
      <c r="C60" s="8" t="s">
        <v>439</v>
      </c>
      <c r="D60" s="123" t="s">
        <v>59</v>
      </c>
      <c r="E60" s="123" t="s">
        <v>308</v>
      </c>
      <c r="F60" s="111" t="s">
        <v>500</v>
      </c>
      <c r="G60" s="124">
        <v>10</v>
      </c>
      <c r="H60" s="148">
        <v>20</v>
      </c>
      <c r="I60" s="148"/>
      <c r="J60" s="103">
        <v>3</v>
      </c>
      <c r="K60" s="127">
        <f t="shared" si="0"/>
        <v>0</v>
      </c>
      <c r="L60" s="125">
        <f t="shared" si="1"/>
        <v>0</v>
      </c>
      <c r="M60" s="148">
        <f>L60+L61</f>
        <v>40</v>
      </c>
      <c r="N60" s="147">
        <f>M60/H60</f>
        <v>2</v>
      </c>
      <c r="O60" s="148"/>
      <c r="P60" s="148"/>
    </row>
    <row r="61" spans="1:16" ht="15" hidden="1" customHeight="1" x14ac:dyDescent="0.25">
      <c r="A61" s="125">
        <v>59</v>
      </c>
      <c r="B61" s="8" t="s">
        <v>94</v>
      </c>
      <c r="C61" s="8" t="s">
        <v>439</v>
      </c>
      <c r="D61" s="123" t="s">
        <v>59</v>
      </c>
      <c r="E61" s="123" t="s">
        <v>310</v>
      </c>
      <c r="F61" s="111" t="s">
        <v>501</v>
      </c>
      <c r="G61" s="124">
        <v>10</v>
      </c>
      <c r="H61" s="148"/>
      <c r="I61" s="148"/>
      <c r="J61" s="103">
        <v>102</v>
      </c>
      <c r="K61" s="127">
        <f t="shared" si="0"/>
        <v>4</v>
      </c>
      <c r="L61" s="125">
        <f t="shared" si="1"/>
        <v>40</v>
      </c>
      <c r="M61" s="148"/>
      <c r="N61" s="147"/>
      <c r="O61" s="148"/>
      <c r="P61" s="148"/>
    </row>
    <row r="62" spans="1:16" ht="15" customHeight="1" x14ac:dyDescent="0.25">
      <c r="A62" s="125">
        <v>60</v>
      </c>
      <c r="B62" s="8" t="s">
        <v>94</v>
      </c>
      <c r="C62" s="8" t="s">
        <v>75</v>
      </c>
      <c r="D62" s="123" t="s">
        <v>58</v>
      </c>
      <c r="E62" s="123" t="s">
        <v>28</v>
      </c>
      <c r="F62" s="111" t="s">
        <v>502</v>
      </c>
      <c r="G62" s="124">
        <v>10</v>
      </c>
      <c r="H62" s="148">
        <v>30</v>
      </c>
      <c r="I62" s="148">
        <v>100</v>
      </c>
      <c r="J62" s="103"/>
      <c r="K62" s="125">
        <f t="shared" si="0"/>
        <v>0</v>
      </c>
      <c r="L62" s="125">
        <f t="shared" si="1"/>
        <v>0</v>
      </c>
      <c r="M62" s="148">
        <f>SUM(L62:L65)</f>
        <v>20</v>
      </c>
      <c r="N62" s="147">
        <f>M62/H62</f>
        <v>0.66666666666666663</v>
      </c>
      <c r="O62" s="148">
        <f>SUM(M62:M76)</f>
        <v>134</v>
      </c>
      <c r="P62" s="148">
        <f>O62/I62</f>
        <v>1.34</v>
      </c>
    </row>
    <row r="63" spans="1:16" ht="15" customHeight="1" x14ac:dyDescent="0.25">
      <c r="A63" s="125">
        <v>61</v>
      </c>
      <c r="B63" s="8" t="s">
        <v>94</v>
      </c>
      <c r="C63" s="8" t="s">
        <v>75</v>
      </c>
      <c r="D63" s="123" t="s">
        <v>58</v>
      </c>
      <c r="E63" s="123" t="s">
        <v>29</v>
      </c>
      <c r="F63" s="111" t="s">
        <v>503</v>
      </c>
      <c r="G63" s="124">
        <v>5</v>
      </c>
      <c r="H63" s="148"/>
      <c r="I63" s="148"/>
      <c r="J63" s="103"/>
      <c r="K63" s="125"/>
      <c r="L63" s="125">
        <f t="shared" si="1"/>
        <v>0</v>
      </c>
      <c r="M63" s="148"/>
      <c r="N63" s="147"/>
      <c r="O63" s="148"/>
      <c r="P63" s="148"/>
    </row>
    <row r="64" spans="1:16" ht="15" customHeight="1" x14ac:dyDescent="0.25">
      <c r="A64" s="125">
        <v>62</v>
      </c>
      <c r="B64" s="8" t="s">
        <v>94</v>
      </c>
      <c r="C64" s="8" t="s">
        <v>75</v>
      </c>
      <c r="D64" s="123" t="s">
        <v>58</v>
      </c>
      <c r="E64" s="123" t="s">
        <v>314</v>
      </c>
      <c r="F64" s="111" t="s">
        <v>504</v>
      </c>
      <c r="G64" s="124">
        <v>5</v>
      </c>
      <c r="H64" s="148"/>
      <c r="I64" s="148"/>
      <c r="J64" s="103"/>
      <c r="K64" s="125">
        <f>IF(EXACT(J64,"A"),4,IF(EXACT(J64,"B"),3,IF(EXACT(J64,"C"),2,IF(EXACT(J64,"D"),1,0))))</f>
        <v>0</v>
      </c>
      <c r="L64" s="125">
        <f t="shared" si="1"/>
        <v>0</v>
      </c>
      <c r="M64" s="148"/>
      <c r="N64" s="147"/>
      <c r="O64" s="148"/>
      <c r="P64" s="148"/>
    </row>
    <row r="65" spans="1:19" ht="15" hidden="1" customHeight="1" x14ac:dyDescent="0.25">
      <c r="A65" s="125">
        <v>63</v>
      </c>
      <c r="B65" s="8" t="s">
        <v>94</v>
      </c>
      <c r="C65" s="8" t="s">
        <v>75</v>
      </c>
      <c r="D65" s="123" t="s">
        <v>59</v>
      </c>
      <c r="E65" s="123" t="s">
        <v>316</v>
      </c>
      <c r="F65" s="111" t="s">
        <v>505</v>
      </c>
      <c r="G65" s="124">
        <v>10</v>
      </c>
      <c r="H65" s="148"/>
      <c r="I65" s="148"/>
      <c r="J65" s="103">
        <v>59.15</v>
      </c>
      <c r="K65" s="127">
        <f t="shared" ref="K65" si="3">IF(J65&gt;80,4,IF(AND(J65&lt;=80,J65&gt;60),3,IF(AND(J65&lt;=60,J65&gt;40),2,IF(AND(J65&lt;=40,J65&gt;20),1,IF(J65&lt;=20,0)))))</f>
        <v>2</v>
      </c>
      <c r="L65" s="125">
        <f t="shared" si="1"/>
        <v>20</v>
      </c>
      <c r="M65" s="148"/>
      <c r="N65" s="147"/>
      <c r="O65" s="148"/>
      <c r="P65" s="148"/>
    </row>
    <row r="66" spans="1:19" ht="15" customHeight="1" x14ac:dyDescent="0.25">
      <c r="A66" s="125">
        <v>64</v>
      </c>
      <c r="B66" s="8" t="s">
        <v>94</v>
      </c>
      <c r="C66" s="8" t="s">
        <v>76</v>
      </c>
      <c r="D66" s="123" t="s">
        <v>58</v>
      </c>
      <c r="E66" s="123" t="s">
        <v>30</v>
      </c>
      <c r="F66" s="111" t="s">
        <v>506</v>
      </c>
      <c r="G66" s="124">
        <v>4</v>
      </c>
      <c r="H66" s="148">
        <v>20</v>
      </c>
      <c r="I66" s="148"/>
      <c r="J66" s="103"/>
      <c r="K66" s="125">
        <f>IF(EXACT(J66,"A"),4,IF(EXACT(J66,"B"),3,IF(EXACT(J66,"C"),2,IF(EXACT(J66,"D"),1,0))))</f>
        <v>0</v>
      </c>
      <c r="L66" s="125">
        <f t="shared" si="1"/>
        <v>0</v>
      </c>
      <c r="M66" s="148">
        <f>SUM(L66:L69)</f>
        <v>54</v>
      </c>
      <c r="N66" s="147">
        <f>M66/H66</f>
        <v>2.7</v>
      </c>
      <c r="O66" s="148"/>
      <c r="P66" s="148"/>
    </row>
    <row r="67" spans="1:19" ht="15" hidden="1" customHeight="1" x14ac:dyDescent="0.25">
      <c r="A67" s="125">
        <v>65</v>
      </c>
      <c r="B67" s="8" t="s">
        <v>94</v>
      </c>
      <c r="C67" s="8" t="s">
        <v>76</v>
      </c>
      <c r="D67" s="123" t="s">
        <v>59</v>
      </c>
      <c r="E67" s="123" t="s">
        <v>319</v>
      </c>
      <c r="F67" s="111" t="s">
        <v>507</v>
      </c>
      <c r="G67" s="124">
        <v>6</v>
      </c>
      <c r="H67" s="148"/>
      <c r="I67" s="148"/>
      <c r="J67" s="103" t="s">
        <v>125</v>
      </c>
      <c r="K67" s="125">
        <f>IF(EXACT(J67,"A"),4,IF(EXACT(J67,"B"),3,IF(EXACT(J67,"C"),2,IF(EXACT(J67,"D"),1,0))))</f>
        <v>4</v>
      </c>
      <c r="L67" s="125">
        <f t="shared" si="1"/>
        <v>24</v>
      </c>
      <c r="M67" s="148"/>
      <c r="N67" s="147"/>
      <c r="O67" s="148"/>
      <c r="P67" s="148"/>
    </row>
    <row r="68" spans="1:19" ht="15" hidden="1" customHeight="1" x14ac:dyDescent="0.25">
      <c r="A68" s="125">
        <v>66</v>
      </c>
      <c r="B68" s="8" t="s">
        <v>94</v>
      </c>
      <c r="C68" s="8" t="s">
        <v>76</v>
      </c>
      <c r="D68" s="123" t="s">
        <v>59</v>
      </c>
      <c r="E68" s="123" t="s">
        <v>321</v>
      </c>
      <c r="F68" s="111" t="s">
        <v>508</v>
      </c>
      <c r="G68" s="124">
        <v>5</v>
      </c>
      <c r="H68" s="148"/>
      <c r="I68" s="148"/>
      <c r="J68" s="103">
        <v>95</v>
      </c>
      <c r="K68" s="127">
        <f t="shared" ref="K68:K70" si="4">IF(J68&gt;80,4,IF(AND(J68&lt;=80,J68&gt;60),3,IF(AND(J68&lt;=60,J68&gt;40),2,IF(AND(J68&lt;=40,J68&gt;20),1,IF(J68&lt;=20,0)))))</f>
        <v>4</v>
      </c>
      <c r="L68" s="125">
        <f t="shared" ref="L68:L117" si="5">K68*G68</f>
        <v>20</v>
      </c>
      <c r="M68" s="148"/>
      <c r="N68" s="147"/>
      <c r="O68" s="148"/>
      <c r="P68" s="148"/>
    </row>
    <row r="69" spans="1:19" ht="15" hidden="1" customHeight="1" x14ac:dyDescent="0.25">
      <c r="A69" s="125">
        <v>67</v>
      </c>
      <c r="B69" s="8" t="s">
        <v>95</v>
      </c>
      <c r="C69" s="8" t="s">
        <v>76</v>
      </c>
      <c r="D69" s="123" t="s">
        <v>59</v>
      </c>
      <c r="E69" s="123" t="s">
        <v>323</v>
      </c>
      <c r="F69" s="111" t="s">
        <v>509</v>
      </c>
      <c r="G69" s="124">
        <v>5</v>
      </c>
      <c r="H69" s="148"/>
      <c r="I69" s="148"/>
      <c r="J69" s="103">
        <v>51.47</v>
      </c>
      <c r="K69" s="127">
        <f t="shared" si="4"/>
        <v>2</v>
      </c>
      <c r="L69" s="125">
        <f t="shared" si="5"/>
        <v>10</v>
      </c>
      <c r="M69" s="148"/>
      <c r="N69" s="147"/>
      <c r="O69" s="148"/>
      <c r="P69" s="148"/>
    </row>
    <row r="70" spans="1:19" ht="15" hidden="1" customHeight="1" x14ac:dyDescent="0.25">
      <c r="A70" s="125">
        <v>68</v>
      </c>
      <c r="B70" s="8" t="s">
        <v>95</v>
      </c>
      <c r="C70" s="8" t="s">
        <v>77</v>
      </c>
      <c r="D70" s="123" t="s">
        <v>59</v>
      </c>
      <c r="E70" s="123" t="s">
        <v>31</v>
      </c>
      <c r="F70" s="111" t="s">
        <v>510</v>
      </c>
      <c r="G70" s="124">
        <v>5</v>
      </c>
      <c r="H70" s="148">
        <v>30</v>
      </c>
      <c r="I70" s="148"/>
      <c r="J70" s="103">
        <v>100</v>
      </c>
      <c r="K70" s="127">
        <f t="shared" si="4"/>
        <v>4</v>
      </c>
      <c r="L70" s="125">
        <f t="shared" si="5"/>
        <v>20</v>
      </c>
      <c r="M70" s="148">
        <f>SUM(L70:L74)</f>
        <v>60</v>
      </c>
      <c r="N70" s="147">
        <f>M70/H70</f>
        <v>2</v>
      </c>
      <c r="O70" s="148"/>
      <c r="P70" s="148"/>
    </row>
    <row r="71" spans="1:19" ht="15" customHeight="1" x14ac:dyDescent="0.25">
      <c r="A71" s="125">
        <v>69</v>
      </c>
      <c r="B71" s="8" t="s">
        <v>95</v>
      </c>
      <c r="C71" s="8" t="s">
        <v>77</v>
      </c>
      <c r="D71" s="123" t="s">
        <v>58</v>
      </c>
      <c r="E71" s="123" t="s">
        <v>32</v>
      </c>
      <c r="F71" s="111" t="s">
        <v>511</v>
      </c>
      <c r="G71" s="124">
        <v>5</v>
      </c>
      <c r="H71" s="148"/>
      <c r="I71" s="148"/>
      <c r="J71" s="103"/>
      <c r="K71" s="125">
        <f>IF(EXACT(J71,"A"),4,IF(EXACT(J71,"B"),3,IF(EXACT(J71,"C"),2,IF(EXACT(J71,"D"),1,0))))</f>
        <v>0</v>
      </c>
      <c r="L71" s="125">
        <f t="shared" si="5"/>
        <v>0</v>
      </c>
      <c r="M71" s="148"/>
      <c r="N71" s="147"/>
      <c r="O71" s="148"/>
      <c r="P71" s="148"/>
    </row>
    <row r="72" spans="1:19" ht="15" hidden="1" customHeight="1" x14ac:dyDescent="0.25">
      <c r="A72" s="125">
        <v>70</v>
      </c>
      <c r="B72" s="8" t="s">
        <v>95</v>
      </c>
      <c r="C72" s="8" t="s">
        <v>77</v>
      </c>
      <c r="D72" s="123" t="s">
        <v>59</v>
      </c>
      <c r="E72" s="123" t="s">
        <v>327</v>
      </c>
      <c r="F72" s="133" t="s">
        <v>512</v>
      </c>
      <c r="G72" s="124">
        <v>10</v>
      </c>
      <c r="H72" s="148"/>
      <c r="I72" s="148"/>
      <c r="J72" s="103">
        <f>1/4</f>
        <v>0.25</v>
      </c>
      <c r="K72" s="127">
        <f t="shared" ref="K72" si="6">IF(J72&gt;80,4,IF(AND(J72&lt;=80,J72&gt;60),3,IF(AND(J72&lt;=60,J72&gt;40),2,IF(AND(J72&lt;=40,J72&gt;20),1,IF(J72&lt;=20,0)))))</f>
        <v>0</v>
      </c>
      <c r="L72" s="125">
        <f t="shared" si="5"/>
        <v>0</v>
      </c>
      <c r="M72" s="148"/>
      <c r="N72" s="147"/>
      <c r="O72" s="148"/>
      <c r="P72" s="148"/>
    </row>
    <row r="73" spans="1:19" ht="15" hidden="1" customHeight="1" x14ac:dyDescent="0.25">
      <c r="A73" s="125">
        <v>71</v>
      </c>
      <c r="B73" s="8" t="s">
        <v>95</v>
      </c>
      <c r="C73" s="8" t="s">
        <v>77</v>
      </c>
      <c r="D73" s="123" t="s">
        <v>59</v>
      </c>
      <c r="E73" s="123" t="s">
        <v>329</v>
      </c>
      <c r="F73" s="111" t="s">
        <v>513</v>
      </c>
      <c r="G73" s="124">
        <v>5</v>
      </c>
      <c r="H73" s="148"/>
      <c r="I73" s="148"/>
      <c r="J73" s="103" t="s">
        <v>125</v>
      </c>
      <c r="K73" s="125">
        <f t="shared" ref="K73:K74" si="7">IF(EXACT(J73,"A"),4,IF(EXACT(J73,"B"),3,IF(EXACT(J73,"C"),2,IF(EXACT(J73,"D"),1,0))))</f>
        <v>4</v>
      </c>
      <c r="L73" s="125">
        <f t="shared" si="5"/>
        <v>20</v>
      </c>
      <c r="M73" s="148"/>
      <c r="N73" s="147"/>
      <c r="O73" s="148"/>
      <c r="P73" s="148"/>
    </row>
    <row r="74" spans="1:19" ht="15" hidden="1" customHeight="1" x14ac:dyDescent="0.25">
      <c r="A74" s="125">
        <v>72</v>
      </c>
      <c r="B74" s="8" t="s">
        <v>95</v>
      </c>
      <c r="C74" s="8" t="s">
        <v>77</v>
      </c>
      <c r="D74" s="123" t="s">
        <v>59</v>
      </c>
      <c r="E74" s="123" t="s">
        <v>567</v>
      </c>
      <c r="F74" s="111" t="s">
        <v>514</v>
      </c>
      <c r="G74" s="124">
        <v>5</v>
      </c>
      <c r="H74" s="148"/>
      <c r="I74" s="148"/>
      <c r="J74" s="103" t="s">
        <v>125</v>
      </c>
      <c r="K74" s="125">
        <f t="shared" si="7"/>
        <v>4</v>
      </c>
      <c r="L74" s="125">
        <f t="shared" si="5"/>
        <v>20</v>
      </c>
      <c r="M74" s="148"/>
      <c r="N74" s="147"/>
      <c r="O74" s="148"/>
      <c r="P74" s="148"/>
    </row>
    <row r="75" spans="1:19" ht="15" hidden="1" customHeight="1" x14ac:dyDescent="0.25">
      <c r="A75" s="125">
        <v>73</v>
      </c>
      <c r="B75" s="8" t="s">
        <v>95</v>
      </c>
      <c r="C75" s="8" t="s">
        <v>78</v>
      </c>
      <c r="D75" s="123" t="s">
        <v>59</v>
      </c>
      <c r="E75" s="123" t="s">
        <v>33</v>
      </c>
      <c r="F75" s="111" t="s">
        <v>515</v>
      </c>
      <c r="G75" s="124">
        <v>10</v>
      </c>
      <c r="H75" s="148">
        <v>20</v>
      </c>
      <c r="I75" s="148"/>
      <c r="J75" s="103">
        <v>12.51</v>
      </c>
      <c r="K75" s="127">
        <f t="shared" ref="K75" si="8">IF(J75&gt;80,4,IF(AND(J75&lt;=80,J75&gt;60),3,IF(AND(J75&lt;=60,J75&gt;40),2,IF(AND(J75&lt;=40,J75&gt;20),1,IF(J75&lt;=20,0)))))</f>
        <v>0</v>
      </c>
      <c r="L75" s="125">
        <f t="shared" si="5"/>
        <v>0</v>
      </c>
      <c r="M75" s="148">
        <f>L75+L76</f>
        <v>0</v>
      </c>
      <c r="N75" s="147">
        <f>M75/H75</f>
        <v>0</v>
      </c>
      <c r="O75" s="148"/>
      <c r="P75" s="148"/>
    </row>
    <row r="76" spans="1:19" ht="15" customHeight="1" x14ac:dyDescent="0.25">
      <c r="A76" s="125">
        <v>74</v>
      </c>
      <c r="B76" s="8" t="s">
        <v>95</v>
      </c>
      <c r="C76" s="8" t="s">
        <v>78</v>
      </c>
      <c r="D76" s="123" t="s">
        <v>58</v>
      </c>
      <c r="E76" s="123" t="s">
        <v>332</v>
      </c>
      <c r="F76" s="111" t="s">
        <v>516</v>
      </c>
      <c r="G76" s="124">
        <v>10</v>
      </c>
      <c r="H76" s="148"/>
      <c r="I76" s="148"/>
      <c r="J76" s="103"/>
      <c r="K76" s="125">
        <f t="shared" ref="K76:K78" si="9">IF(J76&gt;80,4,IF(AND(J76&lt;=80,J76&gt;60),3,IF(AND(J76&lt;=60,J76&gt;40),2,IF(AND(J76&lt;=40,J76&gt;20),1,IF(J76&lt;=20,0)))))</f>
        <v>0</v>
      </c>
      <c r="L76" s="125">
        <f t="shared" si="5"/>
        <v>0</v>
      </c>
      <c r="M76" s="148"/>
      <c r="N76" s="147"/>
      <c r="O76" s="148"/>
      <c r="P76" s="148"/>
      <c r="S76">
        <f>1/4</f>
        <v>0.25</v>
      </c>
    </row>
    <row r="77" spans="1:19" ht="15" hidden="1" customHeight="1" x14ac:dyDescent="0.25">
      <c r="A77" s="125">
        <v>75</v>
      </c>
      <c r="B77" s="8" t="s">
        <v>95</v>
      </c>
      <c r="C77" s="8" t="s">
        <v>79</v>
      </c>
      <c r="D77" s="123" t="s">
        <v>59</v>
      </c>
      <c r="E77" s="123" t="s">
        <v>34</v>
      </c>
      <c r="F77" s="111" t="s">
        <v>517</v>
      </c>
      <c r="G77" s="124">
        <v>10</v>
      </c>
      <c r="H77" s="148">
        <v>30</v>
      </c>
      <c r="I77" s="148">
        <v>100</v>
      </c>
      <c r="J77" s="103">
        <v>11.28</v>
      </c>
      <c r="K77" s="127">
        <f t="shared" si="9"/>
        <v>0</v>
      </c>
      <c r="L77" s="125">
        <f t="shared" si="5"/>
        <v>0</v>
      </c>
      <c r="M77" s="148">
        <f>SUM(L77:L80)</f>
        <v>50</v>
      </c>
      <c r="N77" s="147">
        <f>M77/H77</f>
        <v>1.6666666666666667</v>
      </c>
      <c r="O77" s="148">
        <f>SUM(M77:M88)</f>
        <v>165</v>
      </c>
      <c r="P77" s="148">
        <f>O77/I77</f>
        <v>1.65</v>
      </c>
      <c r="S77">
        <f>S76/4*3</f>
        <v>0.1875</v>
      </c>
    </row>
    <row r="78" spans="1:19" ht="15" hidden="1" customHeight="1" x14ac:dyDescent="0.25">
      <c r="A78" s="125">
        <v>76</v>
      </c>
      <c r="B78" s="8" t="s">
        <v>95</v>
      </c>
      <c r="C78" s="8" t="s">
        <v>79</v>
      </c>
      <c r="D78" s="123" t="s">
        <v>59</v>
      </c>
      <c r="E78" s="123" t="s">
        <v>35</v>
      </c>
      <c r="F78" s="111" t="s">
        <v>518</v>
      </c>
      <c r="G78" s="124">
        <v>10</v>
      </c>
      <c r="H78" s="148"/>
      <c r="I78" s="148"/>
      <c r="J78" s="103">
        <v>21.89</v>
      </c>
      <c r="K78" s="127">
        <f t="shared" si="9"/>
        <v>1</v>
      </c>
      <c r="L78" s="125">
        <f t="shared" si="5"/>
        <v>10</v>
      </c>
      <c r="M78" s="148"/>
      <c r="N78" s="147"/>
      <c r="O78" s="148"/>
      <c r="P78" s="148"/>
      <c r="S78">
        <f>S76/4*2</f>
        <v>0.125</v>
      </c>
    </row>
    <row r="79" spans="1:19" ht="15" hidden="1" customHeight="1" x14ac:dyDescent="0.25">
      <c r="A79" s="125">
        <v>77</v>
      </c>
      <c r="B79" s="8" t="s">
        <v>95</v>
      </c>
      <c r="C79" s="8" t="s">
        <v>79</v>
      </c>
      <c r="D79" s="123" t="s">
        <v>59</v>
      </c>
      <c r="E79" s="123" t="s">
        <v>36</v>
      </c>
      <c r="F79" s="111" t="s">
        <v>519</v>
      </c>
      <c r="G79" s="124">
        <v>5</v>
      </c>
      <c r="H79" s="148"/>
      <c r="I79" s="148"/>
      <c r="J79" s="103" t="s">
        <v>125</v>
      </c>
      <c r="K79" s="125">
        <f t="shared" ref="K79:K80" si="10">IF(EXACT(J79,"A"),4,IF(EXACT(J79,"B"),3,IF(EXACT(J79,"C"),2,IF(EXACT(J79,"D"),1,0))))</f>
        <v>4</v>
      </c>
      <c r="L79" s="125">
        <f t="shared" si="5"/>
        <v>20</v>
      </c>
      <c r="M79" s="148"/>
      <c r="N79" s="147"/>
      <c r="O79" s="148"/>
      <c r="P79" s="148"/>
      <c r="S79">
        <f>S78/4*1</f>
        <v>3.125E-2</v>
      </c>
    </row>
    <row r="80" spans="1:19" ht="15" hidden="1" customHeight="1" x14ac:dyDescent="0.25">
      <c r="A80" s="125">
        <v>78</v>
      </c>
      <c r="B80" s="8" t="s">
        <v>95</v>
      </c>
      <c r="C80" s="8" t="s">
        <v>79</v>
      </c>
      <c r="D80" s="123" t="s">
        <v>59</v>
      </c>
      <c r="E80" s="123" t="s">
        <v>37</v>
      </c>
      <c r="F80" s="111" t="s">
        <v>520</v>
      </c>
      <c r="G80" s="124">
        <v>5</v>
      </c>
      <c r="H80" s="148"/>
      <c r="I80" s="148"/>
      <c r="J80" s="103" t="s">
        <v>125</v>
      </c>
      <c r="K80" s="125">
        <f t="shared" si="10"/>
        <v>4</v>
      </c>
      <c r="L80" s="125">
        <f t="shared" si="5"/>
        <v>20</v>
      </c>
      <c r="M80" s="148"/>
      <c r="N80" s="147"/>
      <c r="O80" s="148"/>
      <c r="P80" s="148"/>
    </row>
    <row r="81" spans="1:16" ht="15" hidden="1" customHeight="1" x14ac:dyDescent="0.25">
      <c r="A81" s="125">
        <v>79</v>
      </c>
      <c r="B81" s="8" t="s">
        <v>95</v>
      </c>
      <c r="C81" s="8" t="s">
        <v>80</v>
      </c>
      <c r="D81" s="123" t="s">
        <v>59</v>
      </c>
      <c r="E81" s="123" t="s">
        <v>38</v>
      </c>
      <c r="F81" s="111" t="s">
        <v>521</v>
      </c>
      <c r="G81" s="124">
        <v>10</v>
      </c>
      <c r="H81" s="148">
        <v>40</v>
      </c>
      <c r="I81" s="148"/>
      <c r="J81" s="103">
        <v>100</v>
      </c>
      <c r="K81" s="127">
        <f t="shared" ref="K81:K84" si="11">IF(J81&gt;80,4,IF(AND(J81&lt;=80,J81&gt;60),3,IF(AND(J81&lt;=60,J81&gt;40),2,IF(AND(J81&lt;=40,J81&gt;20),1,IF(J81&lt;=20,0)))))</f>
        <v>4</v>
      </c>
      <c r="L81" s="125">
        <f t="shared" si="5"/>
        <v>40</v>
      </c>
      <c r="M81" s="148">
        <f>SUM(L81:L83)</f>
        <v>70</v>
      </c>
      <c r="N81" s="147">
        <f>M81/H81</f>
        <v>1.75</v>
      </c>
      <c r="O81" s="148"/>
      <c r="P81" s="148"/>
    </row>
    <row r="82" spans="1:16" ht="15" hidden="1" customHeight="1" x14ac:dyDescent="0.25">
      <c r="A82" s="125">
        <v>80</v>
      </c>
      <c r="B82" s="8" t="s">
        <v>96</v>
      </c>
      <c r="C82" s="8" t="s">
        <v>80</v>
      </c>
      <c r="D82" s="123" t="s">
        <v>59</v>
      </c>
      <c r="E82" s="123" t="s">
        <v>39</v>
      </c>
      <c r="F82" s="111" t="s">
        <v>522</v>
      </c>
      <c r="G82" s="124">
        <v>15</v>
      </c>
      <c r="H82" s="148"/>
      <c r="I82" s="148"/>
      <c r="J82" s="103">
        <v>35.18</v>
      </c>
      <c r="K82" s="127">
        <f t="shared" si="11"/>
        <v>1</v>
      </c>
      <c r="L82" s="125">
        <f t="shared" si="5"/>
        <v>15</v>
      </c>
      <c r="M82" s="148"/>
      <c r="N82" s="147"/>
      <c r="O82" s="148"/>
      <c r="P82" s="148"/>
    </row>
    <row r="83" spans="1:16" ht="15" hidden="1" customHeight="1" x14ac:dyDescent="0.25">
      <c r="A83" s="125">
        <v>81</v>
      </c>
      <c r="B83" s="8" t="s">
        <v>96</v>
      </c>
      <c r="C83" s="8" t="s">
        <v>80</v>
      </c>
      <c r="D83" s="123" t="s">
        <v>59</v>
      </c>
      <c r="E83" s="123" t="s">
        <v>342</v>
      </c>
      <c r="F83" s="111" t="s">
        <v>523</v>
      </c>
      <c r="G83" s="124">
        <v>15</v>
      </c>
      <c r="H83" s="148"/>
      <c r="I83" s="148"/>
      <c r="J83" s="103">
        <v>21.89</v>
      </c>
      <c r="K83" s="127">
        <f t="shared" si="11"/>
        <v>1</v>
      </c>
      <c r="L83" s="125">
        <f t="shared" si="5"/>
        <v>15</v>
      </c>
      <c r="M83" s="148"/>
      <c r="N83" s="147"/>
      <c r="O83" s="148"/>
      <c r="P83" s="148"/>
    </row>
    <row r="84" spans="1:16" ht="15" hidden="1" customHeight="1" x14ac:dyDescent="0.25">
      <c r="A84" s="125">
        <v>82</v>
      </c>
      <c r="B84" s="8" t="s">
        <v>96</v>
      </c>
      <c r="C84" s="8" t="s">
        <v>81</v>
      </c>
      <c r="D84" s="123" t="s">
        <v>59</v>
      </c>
      <c r="E84" s="123" t="s">
        <v>40</v>
      </c>
      <c r="F84" s="111" t="s">
        <v>524</v>
      </c>
      <c r="G84" s="124">
        <v>10</v>
      </c>
      <c r="H84" s="148">
        <v>20</v>
      </c>
      <c r="I84" s="148"/>
      <c r="J84" s="103">
        <v>67</v>
      </c>
      <c r="K84" s="127">
        <f t="shared" si="11"/>
        <v>3</v>
      </c>
      <c r="L84" s="125">
        <f t="shared" si="5"/>
        <v>30</v>
      </c>
      <c r="M84" s="148">
        <f>SUM(L84:L86)</f>
        <v>45</v>
      </c>
      <c r="N84" s="147">
        <f>M84/H84</f>
        <v>2.25</v>
      </c>
      <c r="O84" s="148"/>
      <c r="P84" s="148"/>
    </row>
    <row r="85" spans="1:16" ht="15" customHeight="1" x14ac:dyDescent="0.25">
      <c r="A85" s="125">
        <v>83</v>
      </c>
      <c r="B85" s="8" t="s">
        <v>96</v>
      </c>
      <c r="C85" s="8" t="s">
        <v>81</v>
      </c>
      <c r="D85" s="123" t="s">
        <v>58</v>
      </c>
      <c r="E85" s="123" t="s">
        <v>41</v>
      </c>
      <c r="F85" s="111" t="s">
        <v>525</v>
      </c>
      <c r="G85" s="124">
        <v>5</v>
      </c>
      <c r="H85" s="148"/>
      <c r="I85" s="148"/>
      <c r="J85" s="103"/>
      <c r="K85" s="125"/>
      <c r="L85" s="125">
        <f t="shared" si="5"/>
        <v>0</v>
      </c>
      <c r="M85" s="148"/>
      <c r="N85" s="147"/>
      <c r="O85" s="148"/>
      <c r="P85" s="148"/>
    </row>
    <row r="86" spans="1:16" ht="15" hidden="1" customHeight="1" x14ac:dyDescent="0.25">
      <c r="A86" s="125">
        <v>84</v>
      </c>
      <c r="B86" s="8" t="s">
        <v>96</v>
      </c>
      <c r="C86" s="8" t="s">
        <v>81</v>
      </c>
      <c r="D86" s="123" t="s">
        <v>59</v>
      </c>
      <c r="E86" s="123" t="s">
        <v>346</v>
      </c>
      <c r="F86" s="111" t="s">
        <v>526</v>
      </c>
      <c r="G86" s="124">
        <v>5</v>
      </c>
      <c r="H86" s="148"/>
      <c r="I86" s="148"/>
      <c r="J86" s="103">
        <v>75</v>
      </c>
      <c r="K86" s="127">
        <f t="shared" ref="K86" si="12">IF(J86&gt;80,4,IF(AND(J86&lt;=80,J86&gt;60),3,IF(AND(J86&lt;=60,J86&gt;40),2,IF(AND(J86&lt;=40,J86&gt;20),1,IF(J86&lt;=20,0)))))</f>
        <v>3</v>
      </c>
      <c r="L86" s="125">
        <f t="shared" si="5"/>
        <v>15</v>
      </c>
      <c r="M86" s="148"/>
      <c r="N86" s="147"/>
      <c r="O86" s="148"/>
      <c r="P86" s="148"/>
    </row>
    <row r="87" spans="1:16" ht="15" customHeight="1" x14ac:dyDescent="0.25">
      <c r="A87" s="125">
        <v>85</v>
      </c>
      <c r="B87" s="8" t="s">
        <v>96</v>
      </c>
      <c r="C87" s="8" t="s">
        <v>82</v>
      </c>
      <c r="D87" s="123" t="s">
        <v>58</v>
      </c>
      <c r="E87" s="123" t="s">
        <v>42</v>
      </c>
      <c r="F87" s="111" t="s">
        <v>527</v>
      </c>
      <c r="G87" s="124">
        <v>2</v>
      </c>
      <c r="H87" s="148">
        <v>10</v>
      </c>
      <c r="I87" s="148"/>
      <c r="J87" s="103"/>
      <c r="K87" s="125"/>
      <c r="L87" s="125">
        <f t="shared" si="5"/>
        <v>0</v>
      </c>
      <c r="M87" s="148">
        <f>L87+L88</f>
        <v>0</v>
      </c>
      <c r="N87" s="147">
        <f>M87/H87</f>
        <v>0</v>
      </c>
      <c r="O87" s="148"/>
      <c r="P87" s="148"/>
    </row>
    <row r="88" spans="1:16" ht="15" hidden="1" customHeight="1" x14ac:dyDescent="0.25">
      <c r="A88" s="125">
        <v>86</v>
      </c>
      <c r="B88" s="8" t="s">
        <v>96</v>
      </c>
      <c r="C88" s="8" t="s">
        <v>82</v>
      </c>
      <c r="D88" s="123" t="s">
        <v>59</v>
      </c>
      <c r="E88" s="123" t="s">
        <v>349</v>
      </c>
      <c r="F88" s="111" t="s">
        <v>528</v>
      </c>
      <c r="G88" s="124">
        <v>8</v>
      </c>
      <c r="H88" s="148"/>
      <c r="I88" s="148"/>
      <c r="J88" s="103" t="s">
        <v>571</v>
      </c>
      <c r="K88" s="125">
        <f>IF(EXACT(J88,"A"),4,IF(EXACT(J88,"B"),3,IF(EXACT(J88,"C"),2,IF(EXACT(J88,"D"),1,0))))</f>
        <v>0</v>
      </c>
      <c r="L88" s="125">
        <f t="shared" si="5"/>
        <v>0</v>
      </c>
      <c r="M88" s="148"/>
      <c r="N88" s="147"/>
      <c r="O88" s="148"/>
      <c r="P88" s="148"/>
    </row>
    <row r="89" spans="1:16" ht="15" customHeight="1" x14ac:dyDescent="0.25">
      <c r="A89" s="125">
        <v>87</v>
      </c>
      <c r="B89" s="8" t="s">
        <v>96</v>
      </c>
      <c r="C89" s="8" t="s">
        <v>83</v>
      </c>
      <c r="D89" s="123" t="s">
        <v>58</v>
      </c>
      <c r="E89" s="123" t="s">
        <v>43</v>
      </c>
      <c r="F89" s="111" t="s">
        <v>529</v>
      </c>
      <c r="G89" s="124">
        <v>5</v>
      </c>
      <c r="H89" s="148">
        <v>10</v>
      </c>
      <c r="I89" s="148">
        <v>100</v>
      </c>
      <c r="J89" s="103"/>
      <c r="K89" s="125">
        <f t="shared" ref="K89:K90" si="13">IF(J89&gt;80,4,IF(AND(J89&lt;=80,J89&gt;60),3,IF(AND(J89&lt;=60,J89&gt;40),2,IF(AND(J89&lt;=40,J89&gt;20),1,IF(J89&lt;=20,0)))))</f>
        <v>0</v>
      </c>
      <c r="L89" s="125">
        <f t="shared" si="5"/>
        <v>0</v>
      </c>
      <c r="M89" s="148">
        <f>L89+L90</f>
        <v>0</v>
      </c>
      <c r="N89" s="147">
        <f>M89/H89</f>
        <v>0</v>
      </c>
      <c r="O89" s="148">
        <f>SUM(M89:M104)</f>
        <v>102</v>
      </c>
      <c r="P89" s="148">
        <f>O89/I89</f>
        <v>1.02</v>
      </c>
    </row>
    <row r="90" spans="1:16" ht="15" customHeight="1" x14ac:dyDescent="0.25">
      <c r="A90" s="125">
        <v>88</v>
      </c>
      <c r="B90" s="8" t="s">
        <v>96</v>
      </c>
      <c r="C90" s="8" t="s">
        <v>83</v>
      </c>
      <c r="D90" s="123" t="s">
        <v>58</v>
      </c>
      <c r="E90" s="123" t="s">
        <v>352</v>
      </c>
      <c r="F90" s="111" t="s">
        <v>530</v>
      </c>
      <c r="G90" s="124">
        <v>5</v>
      </c>
      <c r="H90" s="148"/>
      <c r="I90" s="148"/>
      <c r="J90" s="103"/>
      <c r="K90" s="125">
        <f t="shared" si="13"/>
        <v>0</v>
      </c>
      <c r="L90" s="125">
        <f t="shared" si="5"/>
        <v>0</v>
      </c>
      <c r="M90" s="148"/>
      <c r="N90" s="147"/>
      <c r="O90" s="148"/>
      <c r="P90" s="148"/>
    </row>
    <row r="91" spans="1:16" ht="15" customHeight="1" x14ac:dyDescent="0.25">
      <c r="A91" s="125">
        <v>89</v>
      </c>
      <c r="B91" s="8" t="s">
        <v>96</v>
      </c>
      <c r="C91" s="8" t="s">
        <v>84</v>
      </c>
      <c r="D91" s="123" t="s">
        <v>58</v>
      </c>
      <c r="E91" s="123" t="s">
        <v>44</v>
      </c>
      <c r="F91" s="111" t="s">
        <v>531</v>
      </c>
      <c r="G91" s="124">
        <v>3</v>
      </c>
      <c r="H91" s="148">
        <v>10</v>
      </c>
      <c r="I91" s="148"/>
      <c r="J91" s="103"/>
      <c r="K91" s="125"/>
      <c r="L91" s="125">
        <f t="shared" si="5"/>
        <v>0</v>
      </c>
      <c r="M91" s="148">
        <f>SUM(L91:L93)</f>
        <v>20</v>
      </c>
      <c r="N91" s="147">
        <f>M91/H91</f>
        <v>2</v>
      </c>
      <c r="O91" s="148"/>
      <c r="P91" s="148"/>
    </row>
    <row r="92" spans="1:16" ht="15" customHeight="1" x14ac:dyDescent="0.25">
      <c r="A92" s="125">
        <v>90</v>
      </c>
      <c r="B92" s="8" t="s">
        <v>96</v>
      </c>
      <c r="C92" s="8" t="s">
        <v>84</v>
      </c>
      <c r="D92" s="123" t="s">
        <v>58</v>
      </c>
      <c r="E92" s="123" t="s">
        <v>45</v>
      </c>
      <c r="F92" s="111" t="s">
        <v>532</v>
      </c>
      <c r="G92" s="124">
        <v>2</v>
      </c>
      <c r="H92" s="148"/>
      <c r="I92" s="148"/>
      <c r="J92" s="103"/>
      <c r="K92" s="125">
        <f t="shared" ref="K92" si="14">IF(J92&gt;80,4,IF(AND(J92&lt;=80,J92&gt;60),3,IF(AND(J92&lt;=60,J92&gt;40),2,IF(AND(J92&lt;=40,J92&gt;20),1,IF(J92&lt;=20,0)))))</f>
        <v>0</v>
      </c>
      <c r="L92" s="125">
        <f t="shared" si="5"/>
        <v>0</v>
      </c>
      <c r="M92" s="148"/>
      <c r="N92" s="147"/>
      <c r="O92" s="148"/>
      <c r="P92" s="148"/>
    </row>
    <row r="93" spans="1:16" ht="15" hidden="1" customHeight="1" x14ac:dyDescent="0.25">
      <c r="A93" s="125">
        <v>91</v>
      </c>
      <c r="B93" s="8" t="s">
        <v>96</v>
      </c>
      <c r="C93" s="8" t="s">
        <v>84</v>
      </c>
      <c r="D93" s="123" t="s">
        <v>59</v>
      </c>
      <c r="E93" s="123" t="s">
        <v>356</v>
      </c>
      <c r="F93" s="111" t="s">
        <v>533</v>
      </c>
      <c r="G93" s="124">
        <v>5</v>
      </c>
      <c r="H93" s="148"/>
      <c r="I93" s="148"/>
      <c r="J93" s="103" t="s">
        <v>125</v>
      </c>
      <c r="K93" s="125">
        <f>IF(EXACT(J93,"A"),4,IF(EXACT(J93,"B"),3,IF(EXACT(J93,"C"),2,IF(EXACT(J93,"D"),1,0))))</f>
        <v>4</v>
      </c>
      <c r="L93" s="125">
        <f t="shared" si="5"/>
        <v>20</v>
      </c>
      <c r="M93" s="148"/>
      <c r="N93" s="147"/>
      <c r="O93" s="148"/>
      <c r="P93" s="148"/>
    </row>
    <row r="94" spans="1:16" ht="15" customHeight="1" x14ac:dyDescent="0.25">
      <c r="A94" s="125">
        <v>92</v>
      </c>
      <c r="B94" s="8" t="s">
        <v>96</v>
      </c>
      <c r="C94" s="8" t="s">
        <v>85</v>
      </c>
      <c r="D94" s="123" t="s">
        <v>58</v>
      </c>
      <c r="E94" s="123" t="s">
        <v>46</v>
      </c>
      <c r="F94" s="111" t="s">
        <v>534</v>
      </c>
      <c r="G94" s="124">
        <v>4</v>
      </c>
      <c r="H94" s="148">
        <v>30</v>
      </c>
      <c r="I94" s="148"/>
      <c r="J94" s="103"/>
      <c r="K94" s="125"/>
      <c r="L94" s="125">
        <f t="shared" si="5"/>
        <v>0</v>
      </c>
      <c r="M94" s="148">
        <f>SUM(L94:L97)</f>
        <v>18</v>
      </c>
      <c r="N94" s="147">
        <f>M94/H94</f>
        <v>0.6</v>
      </c>
      <c r="O94" s="148"/>
      <c r="P94" s="148"/>
    </row>
    <row r="95" spans="1:16" ht="15" hidden="1" customHeight="1" x14ac:dyDescent="0.25">
      <c r="A95" s="125">
        <v>93</v>
      </c>
      <c r="B95" s="8" t="s">
        <v>96</v>
      </c>
      <c r="C95" s="8" t="s">
        <v>85</v>
      </c>
      <c r="D95" s="123" t="s">
        <v>59</v>
      </c>
      <c r="E95" s="123" t="s">
        <v>47</v>
      </c>
      <c r="F95" s="111" t="s">
        <v>535</v>
      </c>
      <c r="G95" s="124">
        <v>10</v>
      </c>
      <c r="H95" s="148"/>
      <c r="I95" s="148"/>
      <c r="J95" s="103">
        <v>37.82</v>
      </c>
      <c r="K95" s="127">
        <f t="shared" ref="K95:K97" si="15">IF(J95&gt;80,4,IF(AND(J95&lt;=80,J95&gt;60),3,IF(AND(J95&lt;=60,J95&gt;40),2,IF(AND(J95&lt;=40,J95&gt;20),1,IF(J95&lt;=20,0)))))</f>
        <v>1</v>
      </c>
      <c r="L95" s="125">
        <f t="shared" si="5"/>
        <v>10</v>
      </c>
      <c r="M95" s="148"/>
      <c r="N95" s="147"/>
      <c r="O95" s="148"/>
      <c r="P95" s="148"/>
    </row>
    <row r="96" spans="1:16" ht="15" hidden="1" customHeight="1" x14ac:dyDescent="0.25">
      <c r="A96" s="125">
        <v>94</v>
      </c>
      <c r="B96" s="8" t="s">
        <v>96</v>
      </c>
      <c r="C96" s="8" t="s">
        <v>85</v>
      </c>
      <c r="D96" s="123" t="s">
        <v>59</v>
      </c>
      <c r="E96" s="123" t="s">
        <v>48</v>
      </c>
      <c r="F96" s="111" t="s">
        <v>536</v>
      </c>
      <c r="G96" s="124">
        <v>8</v>
      </c>
      <c r="H96" s="148"/>
      <c r="I96" s="148"/>
      <c r="J96" s="103">
        <v>2.6</v>
      </c>
      <c r="K96" s="127">
        <f t="shared" si="15"/>
        <v>0</v>
      </c>
      <c r="L96" s="125">
        <f t="shared" si="5"/>
        <v>0</v>
      </c>
      <c r="M96" s="148"/>
      <c r="N96" s="147"/>
      <c r="O96" s="148"/>
      <c r="P96" s="148"/>
    </row>
    <row r="97" spans="1:16" ht="15" hidden="1" customHeight="1" x14ac:dyDescent="0.25">
      <c r="A97" s="125">
        <v>95</v>
      </c>
      <c r="B97" s="8" t="s">
        <v>97</v>
      </c>
      <c r="C97" s="8" t="s">
        <v>85</v>
      </c>
      <c r="D97" s="123" t="s">
        <v>59</v>
      </c>
      <c r="E97" s="123" t="s">
        <v>361</v>
      </c>
      <c r="F97" s="111" t="s">
        <v>537</v>
      </c>
      <c r="G97" s="124">
        <v>8</v>
      </c>
      <c r="H97" s="148"/>
      <c r="I97" s="148"/>
      <c r="J97" s="103">
        <v>31.02</v>
      </c>
      <c r="K97" s="127">
        <f t="shared" si="15"/>
        <v>1</v>
      </c>
      <c r="L97" s="125">
        <f t="shared" si="5"/>
        <v>8</v>
      </c>
      <c r="M97" s="148"/>
      <c r="N97" s="147"/>
      <c r="O97" s="148"/>
      <c r="P97" s="148"/>
    </row>
    <row r="98" spans="1:16" ht="15" customHeight="1" x14ac:dyDescent="0.25">
      <c r="A98" s="125">
        <v>96</v>
      </c>
      <c r="B98" s="8" t="s">
        <v>97</v>
      </c>
      <c r="C98" s="8" t="s">
        <v>86</v>
      </c>
      <c r="D98" s="123" t="s">
        <v>58</v>
      </c>
      <c r="E98" s="123" t="s">
        <v>49</v>
      </c>
      <c r="F98" s="111" t="s">
        <v>538</v>
      </c>
      <c r="G98" s="124">
        <v>4</v>
      </c>
      <c r="H98" s="148">
        <v>20</v>
      </c>
      <c r="I98" s="148"/>
      <c r="J98" s="103"/>
      <c r="K98" s="125">
        <f>IF(EXACT(J98,"A"),4,IF(EXACT(J98,"B"),3,IF(EXACT(J98,"C"),2,IF(EXACT(J98,"D"),1,0))))</f>
        <v>0</v>
      </c>
      <c r="L98" s="125">
        <f t="shared" si="5"/>
        <v>0</v>
      </c>
      <c r="M98" s="148">
        <f>SUM(L98:L101)</f>
        <v>24</v>
      </c>
      <c r="N98" s="147">
        <f>M98/H98</f>
        <v>1.2</v>
      </c>
      <c r="O98" s="148"/>
      <c r="P98" s="148"/>
    </row>
    <row r="99" spans="1:16" ht="15" hidden="1" customHeight="1" x14ac:dyDescent="0.25">
      <c r="A99" s="125">
        <v>97</v>
      </c>
      <c r="B99" s="8" t="s">
        <v>97</v>
      </c>
      <c r="C99" s="8" t="s">
        <v>86</v>
      </c>
      <c r="D99" s="123" t="s">
        <v>59</v>
      </c>
      <c r="E99" s="123" t="s">
        <v>364</v>
      </c>
      <c r="F99" s="111" t="s">
        <v>539</v>
      </c>
      <c r="G99" s="124">
        <v>8</v>
      </c>
      <c r="H99" s="148"/>
      <c r="I99" s="148"/>
      <c r="J99" s="103">
        <v>0</v>
      </c>
      <c r="K99" s="127">
        <f t="shared" ref="K99:K100" si="16">IF(J99&gt;80,4,IF(AND(J99&lt;=80,J99&gt;60),3,IF(AND(J99&lt;=60,J99&gt;40),2,IF(AND(J99&lt;=40,J99&gt;20),1,IF(J99&lt;=20,0)))))</f>
        <v>0</v>
      </c>
      <c r="L99" s="125">
        <f t="shared" si="5"/>
        <v>0</v>
      </c>
      <c r="M99" s="148"/>
      <c r="N99" s="147"/>
      <c r="O99" s="148"/>
      <c r="P99" s="148"/>
    </row>
    <row r="100" spans="1:16" ht="15" hidden="1" customHeight="1" x14ac:dyDescent="0.25">
      <c r="A100" s="125">
        <v>98</v>
      </c>
      <c r="B100" s="8" t="s">
        <v>97</v>
      </c>
      <c r="C100" s="8" t="s">
        <v>86</v>
      </c>
      <c r="D100" s="123" t="s">
        <v>59</v>
      </c>
      <c r="E100" s="123" t="s">
        <v>366</v>
      </c>
      <c r="F100" s="111" t="s">
        <v>540</v>
      </c>
      <c r="G100" s="124">
        <v>6</v>
      </c>
      <c r="H100" s="148"/>
      <c r="I100" s="148"/>
      <c r="J100" s="103">
        <v>35019</v>
      </c>
      <c r="K100" s="127">
        <f t="shared" si="16"/>
        <v>4</v>
      </c>
      <c r="L100" s="125">
        <f t="shared" si="5"/>
        <v>24</v>
      </c>
      <c r="M100" s="148"/>
      <c r="N100" s="147"/>
      <c r="O100" s="148"/>
      <c r="P100" s="148"/>
    </row>
    <row r="101" spans="1:16" ht="15" customHeight="1" x14ac:dyDescent="0.25">
      <c r="A101" s="125">
        <v>99</v>
      </c>
      <c r="B101" s="8" t="s">
        <v>97</v>
      </c>
      <c r="C101" s="8" t="s">
        <v>86</v>
      </c>
      <c r="D101" s="123" t="s">
        <v>58</v>
      </c>
      <c r="E101" s="123" t="s">
        <v>568</v>
      </c>
      <c r="F101" s="111" t="s">
        <v>541</v>
      </c>
      <c r="G101" s="124">
        <v>2</v>
      </c>
      <c r="H101" s="148"/>
      <c r="I101" s="148"/>
      <c r="J101" s="103"/>
      <c r="K101" s="125">
        <f>IF(EXACT(J101,"A"),4,IF(EXACT(J101,"B"),3,IF(EXACT(J101,"C"),2,IF(EXACT(J101,"D"),1,0))))</f>
        <v>0</v>
      </c>
      <c r="L101" s="125">
        <f t="shared" si="5"/>
        <v>0</v>
      </c>
      <c r="M101" s="148"/>
      <c r="N101" s="147"/>
      <c r="O101" s="148"/>
      <c r="P101" s="148"/>
    </row>
    <row r="102" spans="1:16" ht="15" customHeight="1" x14ac:dyDescent="0.25">
      <c r="A102" s="125">
        <v>100</v>
      </c>
      <c r="B102" s="8" t="s">
        <v>97</v>
      </c>
      <c r="C102" s="8" t="s">
        <v>87</v>
      </c>
      <c r="D102" s="123" t="s">
        <v>58</v>
      </c>
      <c r="E102" s="123" t="s">
        <v>50</v>
      </c>
      <c r="F102" s="111" t="s">
        <v>542</v>
      </c>
      <c r="G102" s="124">
        <v>10</v>
      </c>
      <c r="H102" s="148">
        <v>30</v>
      </c>
      <c r="I102" s="148"/>
      <c r="J102" s="103"/>
      <c r="K102" s="125">
        <f>IF(EXACT(J102,"A"),4,IF(EXACT(J102,"B"),3,IF(EXACT(J102,"C"),2,IF(EXACT(J102,"D"),1,0))))</f>
        <v>0</v>
      </c>
      <c r="L102" s="125">
        <f t="shared" si="5"/>
        <v>0</v>
      </c>
      <c r="M102" s="148">
        <f>SUM(L102:L104)</f>
        <v>40</v>
      </c>
      <c r="N102" s="147">
        <f>M102/H102</f>
        <v>1.3333333333333333</v>
      </c>
      <c r="O102" s="148"/>
      <c r="P102" s="148"/>
    </row>
    <row r="103" spans="1:16" ht="15" hidden="1" customHeight="1" x14ac:dyDescent="0.25">
      <c r="A103" s="125">
        <v>101</v>
      </c>
      <c r="B103" s="8" t="s">
        <v>97</v>
      </c>
      <c r="C103" s="8" t="s">
        <v>87</v>
      </c>
      <c r="D103" s="123" t="s">
        <v>59</v>
      </c>
      <c r="E103" s="123" t="s">
        <v>51</v>
      </c>
      <c r="F103" s="111" t="s">
        <v>543</v>
      </c>
      <c r="G103" s="124">
        <v>10</v>
      </c>
      <c r="H103" s="148"/>
      <c r="I103" s="148"/>
      <c r="J103" s="103" t="s">
        <v>125</v>
      </c>
      <c r="K103" s="125">
        <f>IF(EXACT(J103,"A"),4,IF(EXACT(J103,"B"),3,IF(EXACT(J103,"C"),2,IF(EXACT(J103,"D"),1,0))))</f>
        <v>4</v>
      </c>
      <c r="L103" s="125">
        <f t="shared" si="5"/>
        <v>40</v>
      </c>
      <c r="M103" s="148"/>
      <c r="N103" s="147"/>
      <c r="O103" s="148"/>
      <c r="P103" s="148"/>
    </row>
    <row r="104" spans="1:16" ht="15" customHeight="1" x14ac:dyDescent="0.25">
      <c r="A104" s="125">
        <v>102</v>
      </c>
      <c r="B104" s="8" t="s">
        <v>97</v>
      </c>
      <c r="C104" s="8" t="s">
        <v>87</v>
      </c>
      <c r="D104" s="123" t="s">
        <v>58</v>
      </c>
      <c r="E104" s="123" t="s">
        <v>370</v>
      </c>
      <c r="F104" s="111" t="s">
        <v>544</v>
      </c>
      <c r="G104" s="124">
        <v>10</v>
      </c>
      <c r="H104" s="148"/>
      <c r="I104" s="148"/>
      <c r="J104" s="103"/>
      <c r="K104" s="125"/>
      <c r="L104" s="125">
        <f t="shared" si="5"/>
        <v>0</v>
      </c>
      <c r="M104" s="148"/>
      <c r="N104" s="147"/>
      <c r="O104" s="148"/>
      <c r="P104" s="148"/>
    </row>
    <row r="105" spans="1:16" ht="15" customHeight="1" x14ac:dyDescent="0.25">
      <c r="A105" s="125">
        <v>103</v>
      </c>
      <c r="B105" s="8" t="s">
        <v>97</v>
      </c>
      <c r="C105" s="8" t="s">
        <v>88</v>
      </c>
      <c r="D105" s="123" t="s">
        <v>58</v>
      </c>
      <c r="E105" s="123" t="s">
        <v>52</v>
      </c>
      <c r="F105" s="111" t="s">
        <v>545</v>
      </c>
      <c r="G105" s="124">
        <v>5</v>
      </c>
      <c r="H105" s="148">
        <v>50</v>
      </c>
      <c r="I105" s="148">
        <v>100</v>
      </c>
      <c r="J105" s="103"/>
      <c r="K105" s="125"/>
      <c r="L105" s="125">
        <f t="shared" si="5"/>
        <v>0</v>
      </c>
      <c r="M105" s="148">
        <f>SUM(L105:L115)</f>
        <v>108</v>
      </c>
      <c r="N105" s="147">
        <f>M105/H105</f>
        <v>2.16</v>
      </c>
      <c r="O105" s="148">
        <f>SUM(M105:M117)</f>
        <v>108</v>
      </c>
      <c r="P105" s="148">
        <f>O105/I105</f>
        <v>1.08</v>
      </c>
    </row>
    <row r="106" spans="1:16" ht="15" hidden="1" customHeight="1" x14ac:dyDescent="0.25">
      <c r="A106" s="125">
        <v>104</v>
      </c>
      <c r="B106" s="8" t="s">
        <v>97</v>
      </c>
      <c r="C106" s="8" t="s">
        <v>88</v>
      </c>
      <c r="D106" s="123" t="s">
        <v>59</v>
      </c>
      <c r="E106" s="123" t="s">
        <v>53</v>
      </c>
      <c r="F106" s="111" t="s">
        <v>546</v>
      </c>
      <c r="G106" s="124">
        <v>5</v>
      </c>
      <c r="H106" s="148"/>
      <c r="I106" s="148"/>
      <c r="J106" s="103" t="s">
        <v>125</v>
      </c>
      <c r="K106" s="125">
        <f>IF(EXACT(J106,"A"),4,IF(EXACT(J106,"B"),3,IF(EXACT(J106,"C"),2,IF(EXACT(J106,"D"),1,0))))</f>
        <v>4</v>
      </c>
      <c r="L106" s="125">
        <f t="shared" si="5"/>
        <v>20</v>
      </c>
      <c r="M106" s="148"/>
      <c r="N106" s="147"/>
      <c r="O106" s="148"/>
      <c r="P106" s="148"/>
    </row>
    <row r="107" spans="1:16" ht="15" customHeight="1" x14ac:dyDescent="0.25">
      <c r="A107" s="125">
        <v>105</v>
      </c>
      <c r="B107" s="8" t="s">
        <v>97</v>
      </c>
      <c r="C107" s="8" t="s">
        <v>88</v>
      </c>
      <c r="D107" s="123" t="s">
        <v>58</v>
      </c>
      <c r="E107" s="123" t="s">
        <v>54</v>
      </c>
      <c r="F107" s="111" t="s">
        <v>547</v>
      </c>
      <c r="G107" s="124">
        <v>4</v>
      </c>
      <c r="H107" s="148"/>
      <c r="I107" s="148"/>
      <c r="J107" s="103"/>
      <c r="K107" s="125"/>
      <c r="L107" s="125">
        <f t="shared" si="5"/>
        <v>0</v>
      </c>
      <c r="M107" s="148"/>
      <c r="N107" s="147"/>
      <c r="O107" s="148"/>
      <c r="P107" s="148"/>
    </row>
    <row r="108" spans="1:16" ht="15" hidden="1" customHeight="1" x14ac:dyDescent="0.25">
      <c r="A108" s="125">
        <v>106</v>
      </c>
      <c r="B108" s="8" t="s">
        <v>97</v>
      </c>
      <c r="C108" s="8" t="s">
        <v>88</v>
      </c>
      <c r="D108" s="123" t="s">
        <v>59</v>
      </c>
      <c r="E108" s="123" t="s">
        <v>55</v>
      </c>
      <c r="F108" s="111" t="s">
        <v>548</v>
      </c>
      <c r="G108" s="124">
        <v>4</v>
      </c>
      <c r="H108" s="148"/>
      <c r="I108" s="148"/>
      <c r="J108" s="103" t="s">
        <v>125</v>
      </c>
      <c r="K108" s="125">
        <f t="shared" ref="K108:K111" si="17">IF(EXACT(J108,"A"),4,IF(EXACT(J108,"B"),3,IF(EXACT(J108,"C"),2,IF(EXACT(J108,"D"),1,0))))</f>
        <v>4</v>
      </c>
      <c r="L108" s="125">
        <f t="shared" si="5"/>
        <v>16</v>
      </c>
      <c r="M108" s="148"/>
      <c r="N108" s="147"/>
      <c r="O108" s="148"/>
      <c r="P108" s="148"/>
    </row>
    <row r="109" spans="1:16" ht="15" hidden="1" customHeight="1" x14ac:dyDescent="0.25">
      <c r="A109" s="125">
        <v>107</v>
      </c>
      <c r="B109" s="8" t="s">
        <v>97</v>
      </c>
      <c r="C109" s="8" t="s">
        <v>88</v>
      </c>
      <c r="D109" s="123" t="s">
        <v>59</v>
      </c>
      <c r="E109" s="123" t="s">
        <v>376</v>
      </c>
      <c r="F109" s="111" t="s">
        <v>549</v>
      </c>
      <c r="G109" s="124">
        <v>4</v>
      </c>
      <c r="H109" s="148"/>
      <c r="I109" s="148"/>
      <c r="J109" s="103" t="s">
        <v>125</v>
      </c>
      <c r="K109" s="125">
        <f t="shared" si="17"/>
        <v>4</v>
      </c>
      <c r="L109" s="125">
        <f t="shared" si="5"/>
        <v>16</v>
      </c>
      <c r="M109" s="148"/>
      <c r="N109" s="147"/>
      <c r="O109" s="148"/>
      <c r="P109" s="148"/>
    </row>
    <row r="110" spans="1:16" ht="15" hidden="1" customHeight="1" x14ac:dyDescent="0.25">
      <c r="A110" s="125">
        <v>108</v>
      </c>
      <c r="B110" s="8" t="s">
        <v>97</v>
      </c>
      <c r="C110" s="8" t="s">
        <v>88</v>
      </c>
      <c r="D110" s="123" t="s">
        <v>59</v>
      </c>
      <c r="E110" s="123" t="s">
        <v>378</v>
      </c>
      <c r="F110" s="111" t="s">
        <v>550</v>
      </c>
      <c r="G110" s="123">
        <v>5</v>
      </c>
      <c r="H110" s="148"/>
      <c r="I110" s="148"/>
      <c r="J110" s="103" t="s">
        <v>125</v>
      </c>
      <c r="K110" s="125">
        <f t="shared" si="17"/>
        <v>4</v>
      </c>
      <c r="L110" s="125">
        <f t="shared" si="5"/>
        <v>20</v>
      </c>
      <c r="M110" s="148"/>
      <c r="N110" s="147"/>
      <c r="O110" s="148"/>
      <c r="P110" s="148"/>
    </row>
    <row r="111" spans="1:16" ht="15" hidden="1" customHeight="1" x14ac:dyDescent="0.25">
      <c r="A111" s="125">
        <v>109</v>
      </c>
      <c r="B111" s="8" t="s">
        <v>97</v>
      </c>
      <c r="C111" s="8" t="s">
        <v>88</v>
      </c>
      <c r="D111" s="123" t="s">
        <v>59</v>
      </c>
      <c r="E111" s="123" t="s">
        <v>380</v>
      </c>
      <c r="F111" s="111" t="s">
        <v>551</v>
      </c>
      <c r="G111" s="123">
        <v>4</v>
      </c>
      <c r="H111" s="148"/>
      <c r="I111" s="148"/>
      <c r="J111" s="103" t="s">
        <v>125</v>
      </c>
      <c r="K111" s="125">
        <f t="shared" si="17"/>
        <v>4</v>
      </c>
      <c r="L111" s="125">
        <f t="shared" si="5"/>
        <v>16</v>
      </c>
      <c r="M111" s="148"/>
      <c r="N111" s="147"/>
      <c r="O111" s="148"/>
      <c r="P111" s="148"/>
    </row>
    <row r="112" spans="1:16" ht="15" customHeight="1" x14ac:dyDescent="0.25">
      <c r="A112" s="125">
        <v>110</v>
      </c>
      <c r="B112" s="8" t="s">
        <v>97</v>
      </c>
      <c r="C112" s="8" t="s">
        <v>88</v>
      </c>
      <c r="D112" s="123" t="s">
        <v>58</v>
      </c>
      <c r="E112" s="123" t="s">
        <v>382</v>
      </c>
      <c r="F112" s="111" t="s">
        <v>552</v>
      </c>
      <c r="G112" s="123">
        <v>5</v>
      </c>
      <c r="H112" s="148"/>
      <c r="I112" s="148"/>
      <c r="J112" s="103"/>
      <c r="K112" s="125"/>
      <c r="L112" s="125">
        <f t="shared" si="5"/>
        <v>0</v>
      </c>
      <c r="M112" s="148"/>
      <c r="N112" s="147"/>
      <c r="O112" s="148"/>
      <c r="P112" s="148"/>
    </row>
    <row r="113" spans="1:18" ht="15" customHeight="1" x14ac:dyDescent="0.25">
      <c r="A113" s="125">
        <v>111</v>
      </c>
      <c r="B113" s="8" t="s">
        <v>97</v>
      </c>
      <c r="C113" s="8" t="s">
        <v>88</v>
      </c>
      <c r="D113" s="123" t="s">
        <v>58</v>
      </c>
      <c r="E113" s="123" t="s">
        <v>384</v>
      </c>
      <c r="F113" s="111" t="s">
        <v>553</v>
      </c>
      <c r="G113" s="123">
        <v>4</v>
      </c>
      <c r="H113" s="148"/>
      <c r="I113" s="148"/>
      <c r="J113" s="103"/>
      <c r="K113" s="125"/>
      <c r="L113" s="125">
        <f t="shared" si="5"/>
        <v>0</v>
      </c>
      <c r="M113" s="148"/>
      <c r="N113" s="147"/>
      <c r="O113" s="148"/>
      <c r="P113" s="148"/>
    </row>
    <row r="114" spans="1:18" ht="15" hidden="1" customHeight="1" x14ac:dyDescent="0.25">
      <c r="A114" s="125">
        <v>112</v>
      </c>
      <c r="B114" s="8" t="s">
        <v>97</v>
      </c>
      <c r="C114" s="8" t="s">
        <v>88</v>
      </c>
      <c r="D114" s="123" t="s">
        <v>59</v>
      </c>
      <c r="E114" s="123" t="s">
        <v>386</v>
      </c>
      <c r="F114" s="111" t="s">
        <v>554</v>
      </c>
      <c r="G114" s="123">
        <v>5</v>
      </c>
      <c r="H114" s="148"/>
      <c r="I114" s="148"/>
      <c r="J114" s="103" t="s">
        <v>125</v>
      </c>
      <c r="K114" s="125">
        <f>IF(EXACT(J114,"A"),4,IF(EXACT(J114,"B"),3,IF(EXACT(J114,"C"),2,IF(EXACT(J114,"D"),1,0))))</f>
        <v>4</v>
      </c>
      <c r="L114" s="125">
        <f t="shared" si="5"/>
        <v>20</v>
      </c>
      <c r="M114" s="148"/>
      <c r="N114" s="147"/>
      <c r="O114" s="148"/>
      <c r="P114" s="148"/>
    </row>
    <row r="115" spans="1:18" ht="15" customHeight="1" x14ac:dyDescent="0.25">
      <c r="A115" s="125">
        <v>113</v>
      </c>
      <c r="B115" s="8" t="s">
        <v>97</v>
      </c>
      <c r="C115" s="8" t="s">
        <v>88</v>
      </c>
      <c r="D115" s="123" t="s">
        <v>58</v>
      </c>
      <c r="E115" s="123" t="s">
        <v>388</v>
      </c>
      <c r="F115" s="111" t="s">
        <v>555</v>
      </c>
      <c r="G115" s="123">
        <v>5</v>
      </c>
      <c r="H115" s="148"/>
      <c r="I115" s="148"/>
      <c r="J115" s="103"/>
      <c r="K115" s="125"/>
      <c r="L115" s="125">
        <f t="shared" si="5"/>
        <v>0</v>
      </c>
      <c r="M115" s="148"/>
      <c r="N115" s="147"/>
      <c r="O115" s="148"/>
      <c r="P115" s="148"/>
    </row>
    <row r="116" spans="1:18" ht="15" customHeight="1" x14ac:dyDescent="0.25">
      <c r="A116" s="125">
        <v>114</v>
      </c>
      <c r="B116" s="8" t="s">
        <v>97</v>
      </c>
      <c r="C116" s="8" t="s">
        <v>89</v>
      </c>
      <c r="D116" s="11" t="s">
        <v>58</v>
      </c>
      <c r="E116" s="11" t="s">
        <v>56</v>
      </c>
      <c r="F116" s="20" t="s">
        <v>556</v>
      </c>
      <c r="G116" s="125">
        <v>30</v>
      </c>
      <c r="H116" s="52">
        <v>30</v>
      </c>
      <c r="I116" s="148"/>
      <c r="J116" s="103"/>
      <c r="K116" s="125"/>
      <c r="L116" s="125">
        <f t="shared" si="5"/>
        <v>0</v>
      </c>
      <c r="M116" s="52">
        <f>L116</f>
        <v>0</v>
      </c>
      <c r="N116" s="129">
        <f>M116/H116</f>
        <v>0</v>
      </c>
      <c r="O116" s="148"/>
      <c r="P116" s="148"/>
    </row>
    <row r="117" spans="1:18" ht="15" customHeight="1" x14ac:dyDescent="0.25">
      <c r="A117" s="125">
        <v>115</v>
      </c>
      <c r="B117" s="8" t="s">
        <v>97</v>
      </c>
      <c r="C117" s="8" t="s">
        <v>90</v>
      </c>
      <c r="D117" s="11" t="s">
        <v>58</v>
      </c>
      <c r="E117" s="11" t="s">
        <v>57</v>
      </c>
      <c r="F117" s="20" t="s">
        <v>557</v>
      </c>
      <c r="G117" s="125">
        <v>20</v>
      </c>
      <c r="H117" s="52">
        <v>20</v>
      </c>
      <c r="I117" s="148"/>
      <c r="J117" s="103"/>
      <c r="K117" s="125"/>
      <c r="L117" s="125">
        <f t="shared" si="5"/>
        <v>0</v>
      </c>
      <c r="M117" s="52">
        <f>L117</f>
        <v>0</v>
      </c>
      <c r="N117" s="129">
        <f>M117/H117</f>
        <v>0</v>
      </c>
      <c r="O117" s="148"/>
      <c r="P117" s="148"/>
    </row>
    <row r="118" spans="1:18" x14ac:dyDescent="0.25">
      <c r="L118" s="43"/>
      <c r="M118" s="53"/>
      <c r="N118" s="130"/>
    </row>
    <row r="119" spans="1:18" x14ac:dyDescent="0.25">
      <c r="L119" s="43"/>
      <c r="M119" s="43"/>
      <c r="N119" s="130"/>
    </row>
    <row r="127" spans="1:18" ht="15.75" thickBot="1" x14ac:dyDescent="0.3"/>
    <row r="128" spans="1:18" ht="23.25" thickBot="1" x14ac:dyDescent="0.3">
      <c r="J128" s="152" t="s">
        <v>222</v>
      </c>
      <c r="K128" s="153"/>
      <c r="L128" s="153"/>
      <c r="M128" s="153"/>
      <c r="N128" s="153"/>
      <c r="O128" s="153"/>
      <c r="P128" s="153"/>
      <c r="Q128" s="153"/>
      <c r="R128" s="154"/>
    </row>
    <row r="130" spans="4:18" ht="15.75" thickBot="1" x14ac:dyDescent="0.3"/>
    <row r="131" spans="4:18" ht="19.5" thickBot="1" x14ac:dyDescent="0.35">
      <c r="F131" s="121" t="s">
        <v>220</v>
      </c>
      <c r="G131" t="s">
        <v>221</v>
      </c>
      <c r="J131" s="149" t="s">
        <v>229</v>
      </c>
      <c r="K131" s="150"/>
      <c r="L131" s="150"/>
      <c r="M131" s="150"/>
      <c r="N131" s="150"/>
      <c r="O131" s="150"/>
      <c r="P131" s="150"/>
      <c r="Q131" s="150"/>
      <c r="R131" s="151"/>
    </row>
    <row r="132" spans="4:18" x14ac:dyDescent="0.25">
      <c r="F132" s="88" t="s">
        <v>91</v>
      </c>
      <c r="G132" s="90">
        <v>2.7777777777777777</v>
      </c>
    </row>
    <row r="133" spans="4:18" x14ac:dyDescent="0.25">
      <c r="F133" s="88" t="s">
        <v>92</v>
      </c>
      <c r="G133" s="90">
        <v>1.4545454545454546</v>
      </c>
    </row>
    <row r="134" spans="4:18" x14ac:dyDescent="0.25">
      <c r="F134" s="88" t="s">
        <v>93</v>
      </c>
      <c r="G134" s="90">
        <v>1.5</v>
      </c>
    </row>
    <row r="135" spans="4:18" x14ac:dyDescent="0.25">
      <c r="F135" s="88" t="s">
        <v>94</v>
      </c>
      <c r="G135" s="90">
        <v>1.6666666666666667</v>
      </c>
    </row>
    <row r="136" spans="4:18" x14ac:dyDescent="0.25">
      <c r="F136" s="88" t="s">
        <v>95</v>
      </c>
      <c r="G136" s="90" t="e">
        <v>#VALUE!</v>
      </c>
    </row>
    <row r="137" spans="4:18" x14ac:dyDescent="0.25">
      <c r="F137" s="88" t="s">
        <v>96</v>
      </c>
      <c r="G137" s="90">
        <v>0.5714285714285714</v>
      </c>
    </row>
    <row r="138" spans="4:18" x14ac:dyDescent="0.25">
      <c r="F138" s="88" t="s">
        <v>97</v>
      </c>
      <c r="G138" s="104">
        <v>2.5454545454545454</v>
      </c>
    </row>
    <row r="139" spans="4:18" x14ac:dyDescent="0.25">
      <c r="D139" s="1"/>
      <c r="E139" s="1"/>
      <c r="F139" s="88" t="s">
        <v>216</v>
      </c>
      <c r="G139" s="89" t="e">
        <v>#VALUE!</v>
      </c>
    </row>
    <row r="140" spans="4:18" x14ac:dyDescent="0.25">
      <c r="D140" s="1"/>
      <c r="E140" s="1"/>
    </row>
    <row r="141" spans="4:18" x14ac:dyDescent="0.25">
      <c r="D141" s="1"/>
      <c r="E141" s="1"/>
    </row>
    <row r="142" spans="4:18" x14ac:dyDescent="0.25">
      <c r="D142" s="1"/>
      <c r="E142" s="1"/>
    </row>
    <row r="151" spans="6:18" ht="15.75" thickBot="1" x14ac:dyDescent="0.3"/>
    <row r="152" spans="6:18" ht="19.5" thickBot="1" x14ac:dyDescent="0.35">
      <c r="F152" s="121" t="s">
        <v>220</v>
      </c>
      <c r="G152" t="s">
        <v>221</v>
      </c>
      <c r="J152" s="149" t="s">
        <v>230</v>
      </c>
      <c r="K152" s="150"/>
      <c r="L152" s="150"/>
      <c r="M152" s="150"/>
      <c r="N152" s="150"/>
      <c r="O152" s="150"/>
      <c r="P152" s="150"/>
      <c r="Q152" s="150"/>
      <c r="R152" s="151"/>
    </row>
    <row r="153" spans="6:18" x14ac:dyDescent="0.25">
      <c r="F153" s="88" t="s">
        <v>60</v>
      </c>
      <c r="G153" s="90">
        <v>3</v>
      </c>
    </row>
    <row r="154" spans="6:18" x14ac:dyDescent="0.25">
      <c r="F154" s="88" t="s">
        <v>61</v>
      </c>
      <c r="G154" s="90">
        <v>2</v>
      </c>
    </row>
    <row r="155" spans="6:18" x14ac:dyDescent="0.25">
      <c r="F155" s="88" t="s">
        <v>62</v>
      </c>
      <c r="G155" s="90">
        <v>2.3333333333333335</v>
      </c>
    </row>
    <row r="156" spans="6:18" x14ac:dyDescent="0.25">
      <c r="F156" s="88" t="s">
        <v>63</v>
      </c>
      <c r="G156" s="90">
        <v>4</v>
      </c>
    </row>
    <row r="157" spans="6:18" x14ac:dyDescent="0.25">
      <c r="F157" s="88" t="s">
        <v>64</v>
      </c>
      <c r="G157" s="90">
        <v>1.5</v>
      </c>
    </row>
    <row r="158" spans="6:18" x14ac:dyDescent="0.25">
      <c r="F158" s="88" t="s">
        <v>431</v>
      </c>
      <c r="G158" s="90">
        <v>4</v>
      </c>
    </row>
    <row r="159" spans="6:18" x14ac:dyDescent="0.25">
      <c r="F159" s="88" t="s">
        <v>432</v>
      </c>
      <c r="G159" s="90">
        <v>4</v>
      </c>
    </row>
    <row r="160" spans="6:18" x14ac:dyDescent="0.25">
      <c r="F160" s="88" t="s">
        <v>66</v>
      </c>
      <c r="G160" s="90">
        <v>1.3333333333333333</v>
      </c>
    </row>
    <row r="161" spans="6:7" x14ac:dyDescent="0.25">
      <c r="F161" s="88" t="s">
        <v>67</v>
      </c>
      <c r="G161" s="90">
        <v>0.5</v>
      </c>
    </row>
    <row r="162" spans="6:7" x14ac:dyDescent="0.25">
      <c r="F162" s="88" t="s">
        <v>68</v>
      </c>
      <c r="G162" s="90">
        <v>0</v>
      </c>
    </row>
    <row r="163" spans="6:7" x14ac:dyDescent="0.25">
      <c r="F163" s="88" t="s">
        <v>69</v>
      </c>
      <c r="G163" s="90"/>
    </row>
    <row r="164" spans="6:7" x14ac:dyDescent="0.25">
      <c r="F164" s="88" t="s">
        <v>433</v>
      </c>
      <c r="G164" s="90">
        <v>1.8333333333333333</v>
      </c>
    </row>
    <row r="165" spans="6:7" x14ac:dyDescent="0.25">
      <c r="F165" s="88" t="s">
        <v>434</v>
      </c>
      <c r="G165" s="90">
        <v>1.3333333333333333</v>
      </c>
    </row>
    <row r="166" spans="6:7" x14ac:dyDescent="0.25">
      <c r="F166" s="88" t="s">
        <v>435</v>
      </c>
      <c r="G166" s="90">
        <v>2.5</v>
      </c>
    </row>
    <row r="167" spans="6:7" x14ac:dyDescent="0.25">
      <c r="F167" s="88" t="s">
        <v>436</v>
      </c>
      <c r="G167" s="90">
        <v>1.25</v>
      </c>
    </row>
    <row r="168" spans="6:7" x14ac:dyDescent="0.25">
      <c r="F168" s="88" t="s">
        <v>437</v>
      </c>
      <c r="G168" s="90">
        <v>0</v>
      </c>
    </row>
    <row r="169" spans="6:7" x14ac:dyDescent="0.25">
      <c r="F169" s="88" t="s">
        <v>438</v>
      </c>
      <c r="G169" s="90">
        <v>1.5</v>
      </c>
    </row>
    <row r="170" spans="6:7" x14ac:dyDescent="0.25">
      <c r="F170" s="88" t="s">
        <v>439</v>
      </c>
      <c r="G170" s="90">
        <v>2</v>
      </c>
    </row>
    <row r="171" spans="6:7" x14ac:dyDescent="0.25">
      <c r="F171" s="88" t="s">
        <v>75</v>
      </c>
      <c r="G171" s="90">
        <v>1.3333333333333333</v>
      </c>
    </row>
    <row r="172" spans="6:7" x14ac:dyDescent="0.25">
      <c r="F172" s="88" t="s">
        <v>76</v>
      </c>
      <c r="G172" s="90">
        <v>1.3333333333333333</v>
      </c>
    </row>
    <row r="173" spans="6:7" x14ac:dyDescent="0.25">
      <c r="F173" s="88" t="s">
        <v>77</v>
      </c>
      <c r="G173" s="90" t="e">
        <v>#VALUE!</v>
      </c>
    </row>
    <row r="174" spans="6:7" x14ac:dyDescent="0.25">
      <c r="F174" s="88" t="s">
        <v>78</v>
      </c>
      <c r="G174" s="90">
        <v>0</v>
      </c>
    </row>
    <row r="175" spans="6:7" x14ac:dyDescent="0.25">
      <c r="F175" s="88" t="s">
        <v>79</v>
      </c>
      <c r="G175" s="90">
        <v>2.6666666666666665</v>
      </c>
    </row>
    <row r="176" spans="6:7" ht="15.75" thickBot="1" x14ac:dyDescent="0.3">
      <c r="F176" s="88" t="s">
        <v>80</v>
      </c>
      <c r="G176" s="90">
        <v>0</v>
      </c>
    </row>
    <row r="177" spans="6:18" ht="19.5" thickBot="1" x14ac:dyDescent="0.35">
      <c r="F177" s="88" t="s">
        <v>81</v>
      </c>
      <c r="G177" s="90">
        <v>0</v>
      </c>
      <c r="J177" s="149" t="s">
        <v>232</v>
      </c>
      <c r="K177" s="150"/>
      <c r="L177" s="150"/>
      <c r="M177" s="150"/>
      <c r="N177" s="150"/>
      <c r="O177" s="150"/>
      <c r="P177" s="150"/>
      <c r="Q177" s="150"/>
      <c r="R177" s="151"/>
    </row>
    <row r="178" spans="6:18" x14ac:dyDescent="0.25">
      <c r="F178" s="88" t="s">
        <v>82</v>
      </c>
      <c r="G178" s="90">
        <v>0</v>
      </c>
    </row>
    <row r="179" spans="6:18" x14ac:dyDescent="0.25">
      <c r="F179" s="88" t="s">
        <v>83</v>
      </c>
      <c r="G179" s="90">
        <v>0</v>
      </c>
    </row>
    <row r="180" spans="6:18" x14ac:dyDescent="0.25">
      <c r="F180" s="88" t="s">
        <v>84</v>
      </c>
      <c r="G180" s="90">
        <v>2</v>
      </c>
    </row>
    <row r="181" spans="6:18" x14ac:dyDescent="0.25">
      <c r="F181" s="88" t="s">
        <v>85</v>
      </c>
      <c r="G181" s="90">
        <v>0</v>
      </c>
    </row>
    <row r="182" spans="6:18" x14ac:dyDescent="0.25">
      <c r="F182" s="88" t="s">
        <v>86</v>
      </c>
      <c r="G182" s="90">
        <v>0</v>
      </c>
    </row>
    <row r="183" spans="6:18" x14ac:dyDescent="0.25">
      <c r="F183" s="88" t="s">
        <v>87</v>
      </c>
      <c r="G183" s="90">
        <v>2</v>
      </c>
    </row>
    <row r="184" spans="6:18" x14ac:dyDescent="0.25">
      <c r="F184" s="88" t="s">
        <v>88</v>
      </c>
      <c r="G184" s="90">
        <v>4</v>
      </c>
    </row>
    <row r="185" spans="6:18" x14ac:dyDescent="0.25">
      <c r="F185" s="88" t="s">
        <v>89</v>
      </c>
      <c r="G185" s="90"/>
    </row>
    <row r="186" spans="6:18" x14ac:dyDescent="0.25">
      <c r="F186" s="88" t="s">
        <v>90</v>
      </c>
      <c r="G186" s="90"/>
    </row>
    <row r="187" spans="6:18" x14ac:dyDescent="0.25">
      <c r="F187" s="88" t="s">
        <v>216</v>
      </c>
      <c r="G187" s="89" t="e">
        <v>#VALUE!</v>
      </c>
    </row>
    <row r="188" spans="6:18" x14ac:dyDescent="0.25">
      <c r="F188" s="88"/>
      <c r="G188" s="89"/>
    </row>
    <row r="189" spans="6:18" x14ac:dyDescent="0.25">
      <c r="F189" s="88"/>
      <c r="G189" s="89"/>
    </row>
    <row r="190" spans="6:18" x14ac:dyDescent="0.25">
      <c r="F190" s="121" t="s">
        <v>220</v>
      </c>
      <c r="G190" t="s">
        <v>221</v>
      </c>
    </row>
    <row r="191" spans="6:18" x14ac:dyDescent="0.25">
      <c r="F191" s="88" t="s">
        <v>58</v>
      </c>
      <c r="G191" s="89">
        <v>0</v>
      </c>
    </row>
    <row r="192" spans="6:18" x14ac:dyDescent="0.25">
      <c r="F192" s="88" t="s">
        <v>59</v>
      </c>
      <c r="G192" s="90" t="e">
        <v>#VALUE!</v>
      </c>
    </row>
    <row r="193" spans="6:18" x14ac:dyDescent="0.25">
      <c r="F193" s="88" t="s">
        <v>216</v>
      </c>
      <c r="G193" s="89" t="e">
        <v>#VALUE!</v>
      </c>
    </row>
    <row r="196" spans="6:18" ht="15.75" thickBot="1" x14ac:dyDescent="0.3">
      <c r="F196" s="121" t="s">
        <v>220</v>
      </c>
      <c r="G196" t="s">
        <v>221</v>
      </c>
    </row>
    <row r="197" spans="6:18" ht="19.5" thickBot="1" x14ac:dyDescent="0.35">
      <c r="F197" s="88" t="s">
        <v>3</v>
      </c>
      <c r="G197" s="89"/>
      <c r="J197" s="149" t="s">
        <v>231</v>
      </c>
      <c r="K197" s="150"/>
      <c r="L197" s="150"/>
      <c r="M197" s="150"/>
      <c r="N197" s="150"/>
      <c r="O197" s="150"/>
      <c r="P197" s="150"/>
      <c r="Q197" s="150"/>
      <c r="R197" s="151"/>
    </row>
    <row r="198" spans="6:18" x14ac:dyDescent="0.25">
      <c r="F198" s="88" t="s">
        <v>234</v>
      </c>
      <c r="G198" s="89">
        <v>3</v>
      </c>
    </row>
    <row r="199" spans="6:18" x14ac:dyDescent="0.25">
      <c r="F199" s="88" t="s">
        <v>236</v>
      </c>
      <c r="G199" s="89">
        <v>3</v>
      </c>
    </row>
    <row r="200" spans="6:18" x14ac:dyDescent="0.25">
      <c r="F200" s="88" t="s">
        <v>4</v>
      </c>
      <c r="G200" s="89">
        <v>0</v>
      </c>
    </row>
    <row r="201" spans="6:18" x14ac:dyDescent="0.25">
      <c r="F201" s="88" t="s">
        <v>5</v>
      </c>
      <c r="G201" s="89">
        <v>4</v>
      </c>
    </row>
    <row r="202" spans="6:18" x14ac:dyDescent="0.25">
      <c r="F202" s="88" t="s">
        <v>6</v>
      </c>
      <c r="G202" s="89"/>
    </row>
    <row r="203" spans="6:18" x14ac:dyDescent="0.25">
      <c r="F203" s="88" t="s">
        <v>7</v>
      </c>
      <c r="G203" s="89">
        <v>4</v>
      </c>
    </row>
    <row r="204" spans="6:18" x14ac:dyDescent="0.25">
      <c r="F204" s="88" t="s">
        <v>242</v>
      </c>
      <c r="G204" s="89">
        <v>3</v>
      </c>
    </row>
    <row r="205" spans="6:18" x14ac:dyDescent="0.25">
      <c r="F205" s="88" t="s">
        <v>244</v>
      </c>
      <c r="G205" s="89">
        <v>0</v>
      </c>
    </row>
    <row r="206" spans="6:18" x14ac:dyDescent="0.25">
      <c r="F206" s="88" t="s">
        <v>8</v>
      </c>
      <c r="G206" s="89">
        <v>4</v>
      </c>
    </row>
    <row r="207" spans="6:18" x14ac:dyDescent="0.25">
      <c r="F207" s="88" t="s">
        <v>247</v>
      </c>
      <c r="G207" s="89">
        <v>4</v>
      </c>
    </row>
    <row r="208" spans="6:18" x14ac:dyDescent="0.25">
      <c r="F208" s="88" t="s">
        <v>9</v>
      </c>
      <c r="G208" s="89">
        <v>0</v>
      </c>
    </row>
    <row r="209" spans="6:7" x14ac:dyDescent="0.25">
      <c r="F209" s="88" t="s">
        <v>10</v>
      </c>
      <c r="G209" s="89">
        <v>3</v>
      </c>
    </row>
    <row r="210" spans="6:7" x14ac:dyDescent="0.25">
      <c r="F210" s="88" t="s">
        <v>11</v>
      </c>
      <c r="G210" s="89"/>
    </row>
    <row r="211" spans="6:7" x14ac:dyDescent="0.25">
      <c r="F211" s="88" t="s">
        <v>252</v>
      </c>
      <c r="G211" s="89">
        <v>4</v>
      </c>
    </row>
    <row r="212" spans="6:7" x14ac:dyDescent="0.25">
      <c r="F212" s="88" t="s">
        <v>12</v>
      </c>
      <c r="G212" s="89"/>
    </row>
    <row r="213" spans="6:7" x14ac:dyDescent="0.25">
      <c r="F213" s="88" t="s">
        <v>255</v>
      </c>
      <c r="G213" s="89"/>
    </row>
    <row r="214" spans="6:7" x14ac:dyDescent="0.25">
      <c r="F214" s="88" t="s">
        <v>257</v>
      </c>
      <c r="G214" s="89">
        <v>4</v>
      </c>
    </row>
    <row r="215" spans="6:7" x14ac:dyDescent="0.25">
      <c r="F215" s="88" t="s">
        <v>13</v>
      </c>
      <c r="G215" s="89"/>
    </row>
    <row r="216" spans="6:7" x14ac:dyDescent="0.25">
      <c r="F216" s="88" t="s">
        <v>14</v>
      </c>
      <c r="G216" s="89">
        <v>3</v>
      </c>
    </row>
    <row r="217" spans="6:7" x14ac:dyDescent="0.25">
      <c r="F217" s="88" t="s">
        <v>263</v>
      </c>
      <c r="G217" s="89">
        <v>0</v>
      </c>
    </row>
    <row r="218" spans="6:7" x14ac:dyDescent="0.25">
      <c r="F218" s="88" t="s">
        <v>558</v>
      </c>
      <c r="G218" s="89">
        <v>1</v>
      </c>
    </row>
    <row r="219" spans="6:7" x14ac:dyDescent="0.25">
      <c r="F219" s="88" t="s">
        <v>15</v>
      </c>
      <c r="G219" s="89">
        <v>1</v>
      </c>
    </row>
    <row r="220" spans="6:7" x14ac:dyDescent="0.25">
      <c r="F220" s="88" t="s">
        <v>266</v>
      </c>
      <c r="G220" s="89">
        <v>0</v>
      </c>
    </row>
    <row r="221" spans="6:7" x14ac:dyDescent="0.25">
      <c r="F221" s="88" t="s">
        <v>268</v>
      </c>
      <c r="G221" s="89"/>
    </row>
    <row r="222" spans="6:7" x14ac:dyDescent="0.25">
      <c r="F222" s="88" t="s">
        <v>559</v>
      </c>
      <c r="G222" s="89"/>
    </row>
    <row r="223" spans="6:7" x14ac:dyDescent="0.25">
      <c r="F223" s="88" t="s">
        <v>16</v>
      </c>
      <c r="G223" s="89"/>
    </row>
    <row r="224" spans="6:7" x14ac:dyDescent="0.25">
      <c r="F224" s="88" t="s">
        <v>17</v>
      </c>
      <c r="G224" s="89">
        <v>0</v>
      </c>
    </row>
    <row r="225" spans="6:7" x14ac:dyDescent="0.25">
      <c r="F225" s="88" t="s">
        <v>272</v>
      </c>
      <c r="G225" s="89">
        <v>0</v>
      </c>
    </row>
    <row r="226" spans="6:7" x14ac:dyDescent="0.25">
      <c r="F226" s="88" t="s">
        <v>18</v>
      </c>
      <c r="G226" s="89"/>
    </row>
    <row r="227" spans="6:7" x14ac:dyDescent="0.25">
      <c r="F227" s="88" t="s">
        <v>19</v>
      </c>
      <c r="G227" s="89">
        <v>0</v>
      </c>
    </row>
    <row r="228" spans="6:7" x14ac:dyDescent="0.25">
      <c r="F228" s="88" t="s">
        <v>276</v>
      </c>
      <c r="G228" s="89">
        <v>1</v>
      </c>
    </row>
    <row r="229" spans="6:7" x14ac:dyDescent="0.25">
      <c r="F229" s="88" t="s">
        <v>278</v>
      </c>
      <c r="G229" s="89">
        <v>0</v>
      </c>
    </row>
    <row r="230" spans="6:7" x14ac:dyDescent="0.25">
      <c r="F230" s="88" t="s">
        <v>560</v>
      </c>
      <c r="G230" s="89">
        <v>2</v>
      </c>
    </row>
    <row r="231" spans="6:7" x14ac:dyDescent="0.25">
      <c r="F231" s="88" t="s">
        <v>561</v>
      </c>
      <c r="G231" s="89">
        <v>4</v>
      </c>
    </row>
    <row r="232" spans="6:7" x14ac:dyDescent="0.25">
      <c r="F232" s="88" t="s">
        <v>562</v>
      </c>
      <c r="G232" s="89">
        <v>4</v>
      </c>
    </row>
    <row r="233" spans="6:7" x14ac:dyDescent="0.25">
      <c r="F233" s="88" t="s">
        <v>20</v>
      </c>
      <c r="G233" s="89"/>
    </row>
    <row r="234" spans="6:7" x14ac:dyDescent="0.25">
      <c r="F234" s="88" t="s">
        <v>21</v>
      </c>
      <c r="G234" s="89">
        <v>4</v>
      </c>
    </row>
    <row r="235" spans="6:7" x14ac:dyDescent="0.25">
      <c r="F235" s="88" t="s">
        <v>282</v>
      </c>
      <c r="G235" s="89">
        <v>0</v>
      </c>
    </row>
    <row r="236" spans="6:7" x14ac:dyDescent="0.25">
      <c r="F236" s="88" t="s">
        <v>22</v>
      </c>
      <c r="G236" s="89">
        <v>0</v>
      </c>
    </row>
    <row r="237" spans="6:7" x14ac:dyDescent="0.25">
      <c r="F237" s="88" t="s">
        <v>23</v>
      </c>
      <c r="G237" s="89">
        <v>4</v>
      </c>
    </row>
    <row r="238" spans="6:7" x14ac:dyDescent="0.25">
      <c r="F238" s="88" t="s">
        <v>563</v>
      </c>
      <c r="G238" s="89">
        <v>1</v>
      </c>
    </row>
    <row r="239" spans="6:7" x14ac:dyDescent="0.25">
      <c r="F239" s="88" t="s">
        <v>24</v>
      </c>
      <c r="G239" s="89">
        <v>4</v>
      </c>
    </row>
    <row r="240" spans="6:7" x14ac:dyDescent="0.25">
      <c r="F240" s="88" t="s">
        <v>25</v>
      </c>
      <c r="G240" s="89">
        <v>4</v>
      </c>
    </row>
    <row r="241" spans="6:7" x14ac:dyDescent="0.25">
      <c r="F241" s="88" t="s">
        <v>26</v>
      </c>
      <c r="G241" s="89">
        <v>0</v>
      </c>
    </row>
    <row r="242" spans="6:7" x14ac:dyDescent="0.25">
      <c r="F242" s="88" t="s">
        <v>291</v>
      </c>
      <c r="G242" s="89">
        <v>0</v>
      </c>
    </row>
    <row r="243" spans="6:7" x14ac:dyDescent="0.25">
      <c r="F243" s="88" t="s">
        <v>293</v>
      </c>
      <c r="G243" s="89"/>
    </row>
    <row r="244" spans="6:7" x14ac:dyDescent="0.25">
      <c r="F244" s="88" t="s">
        <v>295</v>
      </c>
      <c r="G244" s="89">
        <v>0</v>
      </c>
    </row>
    <row r="245" spans="6:7" x14ac:dyDescent="0.25">
      <c r="F245" s="88" t="s">
        <v>564</v>
      </c>
      <c r="G245" s="89">
        <v>1</v>
      </c>
    </row>
    <row r="246" spans="6:7" x14ac:dyDescent="0.25">
      <c r="F246" s="88" t="s">
        <v>565</v>
      </c>
      <c r="G246" s="89">
        <v>0</v>
      </c>
    </row>
    <row r="247" spans="6:7" x14ac:dyDescent="0.25">
      <c r="F247" s="88" t="s">
        <v>566</v>
      </c>
      <c r="G247" s="89">
        <v>1</v>
      </c>
    </row>
    <row r="248" spans="6:7" x14ac:dyDescent="0.25">
      <c r="F248" s="88" t="s">
        <v>27</v>
      </c>
      <c r="G248" s="89">
        <v>0</v>
      </c>
    </row>
    <row r="249" spans="6:7" x14ac:dyDescent="0.25">
      <c r="F249" s="88" t="s">
        <v>298</v>
      </c>
      <c r="G249" s="89"/>
    </row>
    <row r="250" spans="6:7" x14ac:dyDescent="0.25">
      <c r="F250" s="88" t="s">
        <v>300</v>
      </c>
      <c r="G250" s="89"/>
    </row>
    <row r="251" spans="6:7" x14ac:dyDescent="0.25">
      <c r="F251" s="88" t="s">
        <v>302</v>
      </c>
      <c r="G251" s="89">
        <v>0</v>
      </c>
    </row>
    <row r="252" spans="6:7" x14ac:dyDescent="0.25">
      <c r="F252" s="88" t="s">
        <v>304</v>
      </c>
      <c r="G252" s="89">
        <v>3</v>
      </c>
    </row>
    <row r="253" spans="6:7" x14ac:dyDescent="0.25">
      <c r="F253" s="88" t="s">
        <v>306</v>
      </c>
      <c r="G253" s="89"/>
    </row>
    <row r="254" spans="6:7" x14ac:dyDescent="0.25">
      <c r="F254" s="88" t="s">
        <v>308</v>
      </c>
      <c r="G254" s="89">
        <v>0</v>
      </c>
    </row>
    <row r="255" spans="6:7" x14ac:dyDescent="0.25">
      <c r="F255" s="88" t="s">
        <v>310</v>
      </c>
      <c r="G255" s="89">
        <v>4</v>
      </c>
    </row>
    <row r="256" spans="6:7" x14ac:dyDescent="0.25">
      <c r="F256" s="88" t="s">
        <v>28</v>
      </c>
      <c r="G256" s="89">
        <v>0</v>
      </c>
    </row>
    <row r="257" spans="6:7" x14ac:dyDescent="0.25">
      <c r="F257" s="88" t="s">
        <v>29</v>
      </c>
      <c r="G257" s="89"/>
    </row>
    <row r="258" spans="6:7" x14ac:dyDescent="0.25">
      <c r="F258" s="88" t="s">
        <v>314</v>
      </c>
      <c r="G258" s="89">
        <v>0</v>
      </c>
    </row>
    <row r="259" spans="6:7" x14ac:dyDescent="0.25">
      <c r="F259" s="88" t="s">
        <v>316</v>
      </c>
      <c r="G259" s="89">
        <v>4</v>
      </c>
    </row>
    <row r="260" spans="6:7" x14ac:dyDescent="0.25">
      <c r="F260" s="88" t="s">
        <v>30</v>
      </c>
      <c r="G260" s="89">
        <v>0</v>
      </c>
    </row>
    <row r="261" spans="6:7" x14ac:dyDescent="0.25">
      <c r="F261" s="88" t="s">
        <v>319</v>
      </c>
      <c r="G261" s="89">
        <v>4</v>
      </c>
    </row>
    <row r="262" spans="6:7" x14ac:dyDescent="0.25">
      <c r="F262" s="88" t="s">
        <v>321</v>
      </c>
      <c r="G262" s="89"/>
    </row>
    <row r="263" spans="6:7" x14ac:dyDescent="0.25">
      <c r="F263" s="88" t="s">
        <v>323</v>
      </c>
      <c r="G263" s="89">
        <v>0</v>
      </c>
    </row>
    <row r="264" spans="6:7" x14ac:dyDescent="0.25">
      <c r="F264" s="88" t="s">
        <v>31</v>
      </c>
      <c r="G264" s="89">
        <v>0</v>
      </c>
    </row>
    <row r="265" spans="6:7" x14ac:dyDescent="0.25">
      <c r="F265" s="88" t="s">
        <v>32</v>
      </c>
      <c r="G265" s="89">
        <v>0</v>
      </c>
    </row>
    <row r="266" spans="6:7" x14ac:dyDescent="0.25">
      <c r="F266" s="88" t="s">
        <v>327</v>
      </c>
      <c r="G266" s="89" t="e">
        <v>#VALUE!</v>
      </c>
    </row>
    <row r="267" spans="6:7" x14ac:dyDescent="0.25">
      <c r="F267" s="88" t="s">
        <v>329</v>
      </c>
      <c r="G267" s="89">
        <v>4</v>
      </c>
    </row>
    <row r="268" spans="6:7" x14ac:dyDescent="0.25">
      <c r="F268" s="88" t="s">
        <v>567</v>
      </c>
      <c r="G268" s="89">
        <v>4</v>
      </c>
    </row>
    <row r="269" spans="6:7" x14ac:dyDescent="0.25">
      <c r="F269" s="88" t="s">
        <v>33</v>
      </c>
      <c r="G269" s="89">
        <v>0</v>
      </c>
    </row>
    <row r="270" spans="6:7" x14ac:dyDescent="0.25">
      <c r="F270" s="88" t="s">
        <v>332</v>
      </c>
      <c r="G270" s="89">
        <v>0</v>
      </c>
    </row>
    <row r="271" spans="6:7" x14ac:dyDescent="0.25">
      <c r="F271" s="88" t="s">
        <v>34</v>
      </c>
      <c r="G271" s="89">
        <v>0</v>
      </c>
    </row>
    <row r="272" spans="6:7" x14ac:dyDescent="0.25">
      <c r="F272" s="88" t="s">
        <v>35</v>
      </c>
      <c r="G272" s="89"/>
    </row>
    <row r="273" spans="6:7" x14ac:dyDescent="0.25">
      <c r="F273" s="88" t="s">
        <v>36</v>
      </c>
      <c r="G273" s="89">
        <v>4</v>
      </c>
    </row>
    <row r="274" spans="6:7" x14ac:dyDescent="0.25">
      <c r="F274" s="88" t="s">
        <v>37</v>
      </c>
      <c r="G274" s="89">
        <v>4</v>
      </c>
    </row>
    <row r="275" spans="6:7" x14ac:dyDescent="0.25">
      <c r="F275" s="88" t="s">
        <v>38</v>
      </c>
      <c r="G275" s="89">
        <v>0</v>
      </c>
    </row>
    <row r="276" spans="6:7" x14ac:dyDescent="0.25">
      <c r="F276" s="88" t="s">
        <v>39</v>
      </c>
      <c r="G276" s="89"/>
    </row>
    <row r="277" spans="6:7" x14ac:dyDescent="0.25">
      <c r="F277" s="88" t="s">
        <v>342</v>
      </c>
      <c r="G277" s="89"/>
    </row>
    <row r="278" spans="6:7" x14ac:dyDescent="0.25">
      <c r="F278" s="88" t="s">
        <v>40</v>
      </c>
      <c r="G278" s="89"/>
    </row>
    <row r="279" spans="6:7" x14ac:dyDescent="0.25">
      <c r="F279" s="88" t="s">
        <v>41</v>
      </c>
      <c r="G279" s="89"/>
    </row>
    <row r="280" spans="6:7" x14ac:dyDescent="0.25">
      <c r="F280" s="88" t="s">
        <v>346</v>
      </c>
      <c r="G280" s="89">
        <v>0</v>
      </c>
    </row>
    <row r="281" spans="6:7" x14ac:dyDescent="0.25">
      <c r="F281" s="88" t="s">
        <v>42</v>
      </c>
      <c r="G281" s="89"/>
    </row>
    <row r="282" spans="6:7" x14ac:dyDescent="0.25">
      <c r="F282" s="88" t="s">
        <v>349</v>
      </c>
      <c r="G282" s="89">
        <v>0</v>
      </c>
    </row>
    <row r="283" spans="6:7" x14ac:dyDescent="0.25">
      <c r="F283" s="88" t="s">
        <v>43</v>
      </c>
      <c r="G283" s="89">
        <v>0</v>
      </c>
    </row>
    <row r="284" spans="6:7" x14ac:dyDescent="0.25">
      <c r="F284" s="88" t="s">
        <v>352</v>
      </c>
      <c r="G284" s="89">
        <v>0</v>
      </c>
    </row>
    <row r="285" spans="6:7" x14ac:dyDescent="0.25">
      <c r="F285" s="88" t="s">
        <v>44</v>
      </c>
      <c r="G285" s="89"/>
    </row>
    <row r="286" spans="6:7" x14ac:dyDescent="0.25">
      <c r="F286" s="88" t="s">
        <v>45</v>
      </c>
      <c r="G286" s="89">
        <v>0</v>
      </c>
    </row>
    <row r="287" spans="6:7" x14ac:dyDescent="0.25">
      <c r="F287" s="88" t="s">
        <v>356</v>
      </c>
      <c r="G287" s="89">
        <v>4</v>
      </c>
    </row>
    <row r="288" spans="6:7" x14ac:dyDescent="0.25">
      <c r="F288" s="88" t="s">
        <v>46</v>
      </c>
      <c r="G288" s="89"/>
    </row>
    <row r="289" spans="6:7" x14ac:dyDescent="0.25">
      <c r="F289" s="88" t="s">
        <v>47</v>
      </c>
      <c r="G289" s="89"/>
    </row>
    <row r="290" spans="6:7" x14ac:dyDescent="0.25">
      <c r="F290" s="88" t="s">
        <v>48</v>
      </c>
      <c r="G290" s="89">
        <v>0</v>
      </c>
    </row>
    <row r="291" spans="6:7" x14ac:dyDescent="0.25">
      <c r="F291" s="88" t="s">
        <v>361</v>
      </c>
      <c r="G291" s="89"/>
    </row>
    <row r="292" spans="6:7" x14ac:dyDescent="0.25">
      <c r="F292" s="88" t="s">
        <v>49</v>
      </c>
      <c r="G292" s="89">
        <v>0</v>
      </c>
    </row>
    <row r="293" spans="6:7" x14ac:dyDescent="0.25">
      <c r="F293" s="88" t="s">
        <v>364</v>
      </c>
      <c r="G293" s="89"/>
    </row>
    <row r="294" spans="6:7" x14ac:dyDescent="0.25">
      <c r="F294" s="88" t="s">
        <v>366</v>
      </c>
      <c r="G294" s="89">
        <v>0</v>
      </c>
    </row>
    <row r="295" spans="6:7" x14ac:dyDescent="0.25">
      <c r="F295" s="88" t="s">
        <v>568</v>
      </c>
      <c r="G295" s="89">
        <v>0</v>
      </c>
    </row>
    <row r="296" spans="6:7" x14ac:dyDescent="0.25">
      <c r="F296" s="88" t="s">
        <v>50</v>
      </c>
      <c r="G296" s="89">
        <v>0</v>
      </c>
    </row>
    <row r="297" spans="6:7" x14ac:dyDescent="0.25">
      <c r="F297" s="88" t="s">
        <v>51</v>
      </c>
      <c r="G297" s="89">
        <v>4</v>
      </c>
    </row>
    <row r="298" spans="6:7" x14ac:dyDescent="0.25">
      <c r="F298" s="88" t="s">
        <v>370</v>
      </c>
      <c r="G298" s="89"/>
    </row>
    <row r="299" spans="6:7" x14ac:dyDescent="0.25">
      <c r="F299" s="88" t="s">
        <v>52</v>
      </c>
      <c r="G299" s="89"/>
    </row>
    <row r="300" spans="6:7" x14ac:dyDescent="0.25">
      <c r="F300" s="88" t="s">
        <v>386</v>
      </c>
      <c r="G300" s="89">
        <v>4</v>
      </c>
    </row>
    <row r="301" spans="6:7" x14ac:dyDescent="0.25">
      <c r="F301" s="88" t="s">
        <v>388</v>
      </c>
      <c r="G301" s="89"/>
    </row>
    <row r="302" spans="6:7" x14ac:dyDescent="0.25">
      <c r="F302" s="88" t="s">
        <v>53</v>
      </c>
      <c r="G302" s="89">
        <v>4</v>
      </c>
    </row>
    <row r="303" spans="6:7" x14ac:dyDescent="0.25">
      <c r="F303" s="88" t="s">
        <v>54</v>
      </c>
      <c r="G303" s="89"/>
    </row>
    <row r="304" spans="6:7" x14ac:dyDescent="0.25">
      <c r="F304" s="88" t="s">
        <v>55</v>
      </c>
      <c r="G304" s="89">
        <v>4</v>
      </c>
    </row>
    <row r="305" spans="6:7" x14ac:dyDescent="0.25">
      <c r="F305" s="88" t="s">
        <v>376</v>
      </c>
      <c r="G305" s="89">
        <v>4</v>
      </c>
    </row>
    <row r="306" spans="6:7" x14ac:dyDescent="0.25">
      <c r="F306" s="88" t="s">
        <v>378</v>
      </c>
      <c r="G306" s="89">
        <v>4</v>
      </c>
    </row>
    <row r="307" spans="6:7" x14ac:dyDescent="0.25">
      <c r="F307" s="88" t="s">
        <v>380</v>
      </c>
      <c r="G307" s="89">
        <v>4</v>
      </c>
    </row>
    <row r="308" spans="6:7" x14ac:dyDescent="0.25">
      <c r="F308" s="88" t="s">
        <v>382</v>
      </c>
      <c r="G308" s="89"/>
    </row>
    <row r="309" spans="6:7" x14ac:dyDescent="0.25">
      <c r="F309" s="88" t="s">
        <v>384</v>
      </c>
      <c r="G309" s="89"/>
    </row>
    <row r="310" spans="6:7" x14ac:dyDescent="0.25">
      <c r="F310" s="88" t="s">
        <v>56</v>
      </c>
      <c r="G310" s="89"/>
    </row>
    <row r="311" spans="6:7" x14ac:dyDescent="0.25">
      <c r="F311" s="88" t="s">
        <v>57</v>
      </c>
      <c r="G311" s="89"/>
    </row>
    <row r="312" spans="6:7" x14ac:dyDescent="0.25">
      <c r="F312" s="88" t="s">
        <v>216</v>
      </c>
      <c r="G312" s="89" t="e">
        <v>#VALUE!</v>
      </c>
    </row>
  </sheetData>
  <autoFilter ref="A2:S117">
    <filterColumn colId="3">
      <filters>
        <filter val="QlM"/>
      </filters>
    </filterColumn>
  </autoFilter>
  <mergeCells count="119">
    <mergeCell ref="M91:M93"/>
    <mergeCell ref="M62:M65"/>
    <mergeCell ref="M66:M69"/>
    <mergeCell ref="M70:M74"/>
    <mergeCell ref="J131:R131"/>
    <mergeCell ref="J152:R152"/>
    <mergeCell ref="J177:R177"/>
    <mergeCell ref="J197:R197"/>
    <mergeCell ref="H6:H7"/>
    <mergeCell ref="H16:H17"/>
    <mergeCell ref="H8:H11"/>
    <mergeCell ref="H12:H13"/>
    <mergeCell ref="H14:H15"/>
    <mergeCell ref="I3:I13"/>
    <mergeCell ref="M6:M7"/>
    <mergeCell ref="M16:M17"/>
    <mergeCell ref="N6:N7"/>
    <mergeCell ref="N16:N17"/>
    <mergeCell ref="P3:P13"/>
    <mergeCell ref="J128:R128"/>
    <mergeCell ref="M84:M86"/>
    <mergeCell ref="N3:N5"/>
    <mergeCell ref="O3:O13"/>
    <mergeCell ref="N8:N11"/>
    <mergeCell ref="N12:N13"/>
    <mergeCell ref="H33:H38"/>
    <mergeCell ref="I33:I61"/>
    <mergeCell ref="H39:H41"/>
    <mergeCell ref="H42:H44"/>
    <mergeCell ref="H45:H53"/>
    <mergeCell ref="H54:H55"/>
    <mergeCell ref="H56:H59"/>
    <mergeCell ref="H60:H61"/>
    <mergeCell ref="M56:M59"/>
    <mergeCell ref="M60:M61"/>
    <mergeCell ref="M3:M5"/>
    <mergeCell ref="M8:M11"/>
    <mergeCell ref="M12:M13"/>
    <mergeCell ref="M14:M15"/>
    <mergeCell ref="I14:I32"/>
    <mergeCell ref="H18:H20"/>
    <mergeCell ref="H21:H24"/>
    <mergeCell ref="H25:H28"/>
    <mergeCell ref="H29:H31"/>
    <mergeCell ref="H3:H5"/>
    <mergeCell ref="M75:M76"/>
    <mergeCell ref="H105:H115"/>
    <mergeCell ref="I105:I117"/>
    <mergeCell ref="H62:H65"/>
    <mergeCell ref="I62:I76"/>
    <mergeCell ref="H66:H69"/>
    <mergeCell ref="H70:H74"/>
    <mergeCell ref="H75:H76"/>
    <mergeCell ref="H77:H80"/>
    <mergeCell ref="I77:I88"/>
    <mergeCell ref="H81:H83"/>
    <mergeCell ref="H87:H88"/>
    <mergeCell ref="H84:H86"/>
    <mergeCell ref="H91:H93"/>
    <mergeCell ref="H89:H90"/>
    <mergeCell ref="I89:I104"/>
    <mergeCell ref="H94:H97"/>
    <mergeCell ref="H98:H101"/>
    <mergeCell ref="H102:H104"/>
    <mergeCell ref="M77:M80"/>
    <mergeCell ref="M81:M83"/>
    <mergeCell ref="M87:M88"/>
    <mergeCell ref="M89:M90"/>
    <mergeCell ref="M94:M97"/>
    <mergeCell ref="M18:M20"/>
    <mergeCell ref="M21:M24"/>
    <mergeCell ref="M25:M28"/>
    <mergeCell ref="M29:M31"/>
    <mergeCell ref="M33:M38"/>
    <mergeCell ref="M39:M41"/>
    <mergeCell ref="M42:M44"/>
    <mergeCell ref="M45:M53"/>
    <mergeCell ref="M54:M55"/>
    <mergeCell ref="M98:M101"/>
    <mergeCell ref="M102:M104"/>
    <mergeCell ref="M105:M115"/>
    <mergeCell ref="N18:N20"/>
    <mergeCell ref="N21:N24"/>
    <mergeCell ref="N25:N28"/>
    <mergeCell ref="N29:N31"/>
    <mergeCell ref="N33:N38"/>
    <mergeCell ref="N39:N41"/>
    <mergeCell ref="N42:N44"/>
    <mergeCell ref="N45:N53"/>
    <mergeCell ref="N54:N55"/>
    <mergeCell ref="N56:N59"/>
    <mergeCell ref="N60:N61"/>
    <mergeCell ref="N62:N65"/>
    <mergeCell ref="N66:N69"/>
    <mergeCell ref="N70:N74"/>
    <mergeCell ref="N75:N76"/>
    <mergeCell ref="N77:N80"/>
    <mergeCell ref="N81:N83"/>
    <mergeCell ref="N87:N88"/>
    <mergeCell ref="N89:N90"/>
    <mergeCell ref="N94:N97"/>
    <mergeCell ref="N98:N101"/>
    <mergeCell ref="N102:N104"/>
    <mergeCell ref="N105:N115"/>
    <mergeCell ref="P14:P32"/>
    <mergeCell ref="P33:P61"/>
    <mergeCell ref="P62:P76"/>
    <mergeCell ref="P77:P88"/>
    <mergeCell ref="P89:P104"/>
    <mergeCell ref="P105:P117"/>
    <mergeCell ref="O14:O32"/>
    <mergeCell ref="O33:O61"/>
    <mergeCell ref="O62:O76"/>
    <mergeCell ref="O77:O88"/>
    <mergeCell ref="O89:O104"/>
    <mergeCell ref="O105:O117"/>
    <mergeCell ref="N84:N86"/>
    <mergeCell ref="N91:N93"/>
    <mergeCell ref="N14:N15"/>
  </mergeCells>
  <pageMargins left="0.7" right="0.7" top="0.75" bottom="0.75" header="0.3" footer="0.3"/>
  <pageSetup paperSize="9" orientation="portrait"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view="pageBreakPreview" topLeftCell="A73" zoomScaleNormal="100" zoomScaleSheetLayoutView="100" zoomScalePageLayoutView="80" workbookViewId="0">
      <selection activeCell="D80" sqref="D80:E80"/>
    </sheetView>
  </sheetViews>
  <sheetFormatPr defaultColWidth="9.140625" defaultRowHeight="18" x14ac:dyDescent="0.25"/>
  <cols>
    <col min="1" max="1" width="6" style="63" bestFit="1" customWidth="1"/>
    <col min="2" max="2" width="62.28515625" style="64" bestFit="1" customWidth="1"/>
    <col min="3" max="3" width="17.7109375" style="63" customWidth="1"/>
    <col min="4" max="4" width="19.7109375" style="63" customWidth="1"/>
    <col min="5" max="5" width="17.28515625" style="63" customWidth="1"/>
    <col min="6" max="6" width="1.5703125" style="64" customWidth="1"/>
    <col min="7" max="7" width="20.28515625" style="64" hidden="1" customWidth="1"/>
    <col min="8" max="8" width="0" style="64" hidden="1" customWidth="1"/>
    <col min="9" max="9" width="14.42578125" style="64" hidden="1" customWidth="1"/>
    <col min="10" max="16384" width="9.140625" style="64"/>
  </cols>
  <sheetData>
    <row r="1" spans="1:9" ht="34.5" customHeight="1" x14ac:dyDescent="0.25">
      <c r="A1" s="209" t="s">
        <v>218</v>
      </c>
      <c r="B1" s="209"/>
      <c r="C1" s="209"/>
      <c r="D1" s="209"/>
      <c r="E1" s="209"/>
    </row>
    <row r="2" spans="1:9" ht="20.100000000000001" customHeight="1" x14ac:dyDescent="0.25">
      <c r="A2" s="204" t="s">
        <v>203</v>
      </c>
      <c r="B2" s="204"/>
      <c r="C2" s="204" t="str">
        <f>'University 115m'!$J$2</f>
        <v>Institute
Name</v>
      </c>
      <c r="D2" s="204"/>
      <c r="E2" s="204"/>
    </row>
    <row r="3" spans="1:9" ht="20.100000000000001" customHeight="1" x14ac:dyDescent="0.25">
      <c r="A3" s="204" t="s">
        <v>204</v>
      </c>
      <c r="B3" s="204"/>
      <c r="C3" s="204" t="str">
        <f>'University 115m'!K$1</f>
        <v>University</v>
      </c>
      <c r="D3" s="204"/>
      <c r="E3" s="204"/>
    </row>
    <row r="4" spans="1:9" ht="20.100000000000001" customHeight="1" x14ac:dyDescent="0.25">
      <c r="A4" s="205" t="s">
        <v>205</v>
      </c>
      <c r="B4" s="205"/>
      <c r="C4" s="206"/>
      <c r="D4" s="206"/>
      <c r="E4" s="206"/>
    </row>
    <row r="5" spans="1:9" s="63" customFormat="1" ht="96" customHeight="1" x14ac:dyDescent="0.25">
      <c r="A5" s="81" t="s">
        <v>163</v>
      </c>
      <c r="B5" s="81" t="s">
        <v>108</v>
      </c>
      <c r="C5" s="82" t="s">
        <v>130</v>
      </c>
      <c r="D5" s="82" t="s">
        <v>160</v>
      </c>
      <c r="E5" s="82" t="s">
        <v>214</v>
      </c>
      <c r="G5" s="83" t="s">
        <v>153</v>
      </c>
      <c r="H5" s="83" t="s">
        <v>154</v>
      </c>
      <c r="I5" s="84" t="s">
        <v>138</v>
      </c>
    </row>
    <row r="6" spans="1:9" s="85" customFormat="1" ht="50.1" customHeight="1" x14ac:dyDescent="0.25">
      <c r="A6" s="73">
        <v>1</v>
      </c>
      <c r="B6" s="74" t="s">
        <v>131</v>
      </c>
      <c r="C6" s="73">
        <v>150</v>
      </c>
      <c r="D6" s="73">
        <f>SUM('University 115m'!O3:O13)</f>
        <v>340</v>
      </c>
      <c r="E6" s="75">
        <f>D6/C6</f>
        <v>2.2666666666666666</v>
      </c>
      <c r="G6" s="73" t="s">
        <v>139</v>
      </c>
      <c r="H6" s="73" t="s">
        <v>140</v>
      </c>
      <c r="I6" s="73" t="s">
        <v>141</v>
      </c>
    </row>
    <row r="7" spans="1:9" s="85" customFormat="1" ht="50.1" customHeight="1" x14ac:dyDescent="0.25">
      <c r="A7" s="73">
        <v>2</v>
      </c>
      <c r="B7" s="74" t="s">
        <v>132</v>
      </c>
      <c r="C7" s="73">
        <v>300</v>
      </c>
      <c r="D7" s="73">
        <f>SUM('University 115m'!O14:O32)</f>
        <v>317</v>
      </c>
      <c r="E7" s="75">
        <f t="shared" ref="E7:E12" si="0">D7/C7</f>
        <v>1.0566666666666666</v>
      </c>
      <c r="G7" s="73" t="s">
        <v>142</v>
      </c>
      <c r="H7" s="73" t="s">
        <v>149</v>
      </c>
      <c r="I7" s="73" t="s">
        <v>141</v>
      </c>
    </row>
    <row r="8" spans="1:9" s="85" customFormat="1" ht="50.1" customHeight="1" x14ac:dyDescent="0.25">
      <c r="A8" s="73">
        <v>3</v>
      </c>
      <c r="B8" s="74" t="s">
        <v>133</v>
      </c>
      <c r="C8" s="73">
        <v>150</v>
      </c>
      <c r="D8" s="73">
        <f>SUM('University 115m'!O32:O54)</f>
        <v>378</v>
      </c>
      <c r="E8" s="75">
        <f t="shared" si="0"/>
        <v>2.52</v>
      </c>
      <c r="G8" s="73" t="s">
        <v>143</v>
      </c>
      <c r="H8" s="73" t="s">
        <v>125</v>
      </c>
      <c r="I8" s="73" t="s">
        <v>141</v>
      </c>
    </row>
    <row r="9" spans="1:9" s="85" customFormat="1" ht="50.1" customHeight="1" x14ac:dyDescent="0.25">
      <c r="A9" s="73">
        <v>4</v>
      </c>
      <c r="B9" s="74" t="s">
        <v>134</v>
      </c>
      <c r="C9" s="73">
        <v>100</v>
      </c>
      <c r="D9" s="73">
        <f>SUM('University 115m'!O62:O76)</f>
        <v>134</v>
      </c>
      <c r="E9" s="75">
        <f t="shared" si="0"/>
        <v>1.34</v>
      </c>
      <c r="G9" s="73" t="s">
        <v>144</v>
      </c>
      <c r="H9" s="73" t="s">
        <v>150</v>
      </c>
      <c r="I9" s="73" t="s">
        <v>141</v>
      </c>
    </row>
    <row r="10" spans="1:9" s="85" customFormat="1" ht="50.1" customHeight="1" x14ac:dyDescent="0.25">
      <c r="A10" s="73">
        <v>5</v>
      </c>
      <c r="B10" s="74" t="s">
        <v>135</v>
      </c>
      <c r="C10" s="73">
        <v>100</v>
      </c>
      <c r="D10" s="73">
        <f>SUM('University 115m'!O69:O81)</f>
        <v>165</v>
      </c>
      <c r="E10" s="75">
        <f t="shared" si="0"/>
        <v>1.65</v>
      </c>
      <c r="G10" s="73" t="s">
        <v>145</v>
      </c>
      <c r="H10" s="73" t="s">
        <v>151</v>
      </c>
      <c r="I10" s="73" t="s">
        <v>141</v>
      </c>
    </row>
    <row r="11" spans="1:9" s="85" customFormat="1" ht="50.1" customHeight="1" x14ac:dyDescent="0.25">
      <c r="A11" s="73">
        <v>6</v>
      </c>
      <c r="B11" s="74" t="s">
        <v>136</v>
      </c>
      <c r="C11" s="73">
        <v>100</v>
      </c>
      <c r="D11" s="73">
        <f>SUM('University 115m'!O82:O96)</f>
        <v>102</v>
      </c>
      <c r="E11" s="75">
        <f t="shared" si="0"/>
        <v>1.02</v>
      </c>
      <c r="G11" s="73" t="s">
        <v>146</v>
      </c>
      <c r="H11" s="73" t="s">
        <v>126</v>
      </c>
      <c r="I11" s="73" t="s">
        <v>141</v>
      </c>
    </row>
    <row r="12" spans="1:9" s="85" customFormat="1" ht="50.1" customHeight="1" x14ac:dyDescent="0.25">
      <c r="A12" s="73">
        <v>7</v>
      </c>
      <c r="B12" s="74" t="s">
        <v>137</v>
      </c>
      <c r="C12" s="73">
        <v>100</v>
      </c>
      <c r="D12" s="73">
        <f>SUM('University 115m'!O97:O109)</f>
        <v>108</v>
      </c>
      <c r="E12" s="75">
        <f t="shared" si="0"/>
        <v>1.08</v>
      </c>
      <c r="G12" s="73" t="s">
        <v>148</v>
      </c>
      <c r="H12" s="73" t="s">
        <v>128</v>
      </c>
      <c r="I12" s="73" t="s">
        <v>141</v>
      </c>
    </row>
    <row r="13" spans="1:9" ht="66" customHeight="1" x14ac:dyDescent="0.25">
      <c r="A13" s="196" t="s">
        <v>215</v>
      </c>
      <c r="B13" s="196"/>
      <c r="C13" s="76">
        <f>SUM(C6:C12)</f>
        <v>1000</v>
      </c>
      <c r="D13" s="76">
        <f>SUM(D6:D12)</f>
        <v>1544</v>
      </c>
      <c r="E13" s="75">
        <f>D13/C13</f>
        <v>1.544</v>
      </c>
      <c r="G13" s="60" t="s">
        <v>147</v>
      </c>
      <c r="H13" s="60" t="s">
        <v>127</v>
      </c>
      <c r="I13" s="60" t="s">
        <v>152</v>
      </c>
    </row>
    <row r="14" spans="1:9" s="78" customFormat="1" ht="24.95" customHeight="1" thickBot="1" x14ac:dyDescent="0.3">
      <c r="A14" s="77"/>
      <c r="C14" s="77"/>
      <c r="D14" s="77"/>
      <c r="E14" s="79"/>
    </row>
    <row r="15" spans="1:9" ht="73.5" customHeight="1" thickBot="1" x14ac:dyDescent="0.3">
      <c r="A15" s="197">
        <f>D13/C13</f>
        <v>1.544</v>
      </c>
      <c r="B15" s="198"/>
      <c r="C15" s="198"/>
      <c r="D15" s="198"/>
      <c r="E15" s="199"/>
    </row>
    <row r="16" spans="1:9" ht="18.75" thickBot="1" x14ac:dyDescent="0.3">
      <c r="D16" s="80"/>
      <c r="E16" s="77"/>
    </row>
    <row r="17" spans="1:5" ht="33.75" customHeight="1" thickBot="1" x14ac:dyDescent="0.3">
      <c r="A17" s="200" t="str">
        <f>IF(AND($A$15&lt;=4,$A$15&gt;=3.51),"A++",IF(AND($A$15&lt;=3.5,$A$15&gt;=3.26),"A+",IF(AND($A$15&lt;=3.25,$A$15&gt;3.01),"A",IF(AND($A$15&lt;=3,$A$15&gt;=2.76),"B++",IF(AND($A$15&lt;=2.75,$A$15&gt;=2.51),"B+",IF(AND($A$15&lt;=2.5,$A$15&gt;=2.01),"B",IF(AND($A$15&lt;=2,$A$15&gt;=1.51),"C","D")))))))</f>
        <v>C</v>
      </c>
      <c r="B17" s="201"/>
      <c r="C17" s="201"/>
      <c r="D17" s="201"/>
      <c r="E17" s="202"/>
    </row>
    <row r="18" spans="1:5" x14ac:dyDescent="0.25">
      <c r="D18" s="80"/>
      <c r="E18" s="77"/>
    </row>
    <row r="19" spans="1:5" ht="22.5" customHeight="1" x14ac:dyDescent="0.25">
      <c r="A19" s="203" t="s">
        <v>219</v>
      </c>
      <c r="B19" s="203"/>
      <c r="C19" s="203"/>
      <c r="D19" s="203"/>
      <c r="E19" s="203"/>
    </row>
    <row r="20" spans="1:5" ht="22.5" customHeight="1" x14ac:dyDescent="0.25">
      <c r="A20" s="204" t="s">
        <v>203</v>
      </c>
      <c r="B20" s="204"/>
      <c r="C20" s="204" t="str">
        <f>'University 115m'!$J$2</f>
        <v>Institute
Name</v>
      </c>
      <c r="D20" s="204"/>
      <c r="E20" s="204"/>
    </row>
    <row r="21" spans="1:5" ht="22.5" customHeight="1" x14ac:dyDescent="0.25">
      <c r="A21" s="204" t="s">
        <v>204</v>
      </c>
      <c r="B21" s="204"/>
      <c r="C21" s="204" t="str">
        <f>'University 115m'!$K$1</f>
        <v>University</v>
      </c>
      <c r="D21" s="204"/>
      <c r="E21" s="204"/>
    </row>
    <row r="22" spans="1:5" ht="22.5" customHeight="1" x14ac:dyDescent="0.25">
      <c r="A22" s="205" t="s">
        <v>205</v>
      </c>
      <c r="B22" s="205"/>
      <c r="C22" s="206"/>
      <c r="D22" s="206"/>
      <c r="E22" s="206"/>
    </row>
    <row r="23" spans="1:5" s="63" customFormat="1" ht="72" x14ac:dyDescent="0.25">
      <c r="A23" s="58" t="s">
        <v>163</v>
      </c>
      <c r="B23" s="58" t="s">
        <v>155</v>
      </c>
      <c r="C23" s="59" t="s">
        <v>207</v>
      </c>
      <c r="D23" s="207" t="s">
        <v>208</v>
      </c>
      <c r="E23" s="208"/>
    </row>
    <row r="24" spans="1:5" s="63" customFormat="1" ht="27.95" customHeight="1" x14ac:dyDescent="0.25">
      <c r="A24" s="170" t="s">
        <v>161</v>
      </c>
      <c r="B24" s="170"/>
      <c r="C24" s="170"/>
      <c r="D24" s="170"/>
      <c r="E24" s="170"/>
    </row>
    <row r="25" spans="1:5" ht="27" customHeight="1" x14ac:dyDescent="0.25">
      <c r="A25" s="60">
        <v>1.1000000000000001</v>
      </c>
      <c r="B25" s="86" t="s">
        <v>201</v>
      </c>
      <c r="C25" s="60">
        <v>50</v>
      </c>
      <c r="D25" s="165">
        <f>SUM('University 115m'!M3:M5)</f>
        <v>90</v>
      </c>
      <c r="E25" s="166"/>
    </row>
    <row r="26" spans="1:5" ht="27" customHeight="1" x14ac:dyDescent="0.25">
      <c r="A26" s="60">
        <v>1.2</v>
      </c>
      <c r="B26" s="86" t="s">
        <v>198</v>
      </c>
      <c r="C26" s="60">
        <v>50</v>
      </c>
      <c r="D26" s="165">
        <f>SUM('University 115m'!M6:M7)</f>
        <v>80</v>
      </c>
      <c r="E26" s="166"/>
    </row>
    <row r="27" spans="1:5" ht="27" customHeight="1" x14ac:dyDescent="0.25">
      <c r="A27" s="60">
        <v>1.3</v>
      </c>
      <c r="B27" s="86" t="s">
        <v>199</v>
      </c>
      <c r="C27" s="60">
        <v>30</v>
      </c>
      <c r="D27" s="165">
        <f>SUM('University 115m'!M8:M11)</f>
        <v>90</v>
      </c>
      <c r="E27" s="166"/>
    </row>
    <row r="28" spans="1:5" ht="27" customHeight="1" x14ac:dyDescent="0.25">
      <c r="A28" s="60">
        <v>1.4</v>
      </c>
      <c r="B28" s="86" t="s">
        <v>200</v>
      </c>
      <c r="C28" s="60">
        <v>20</v>
      </c>
      <c r="D28" s="165">
        <f>SUM('University 115m'!M12:M13)</f>
        <v>80</v>
      </c>
      <c r="E28" s="166"/>
    </row>
    <row r="29" spans="1:5" ht="30" customHeight="1" thickBot="1" x14ac:dyDescent="0.3">
      <c r="A29" s="171" t="s">
        <v>215</v>
      </c>
      <c r="B29" s="172"/>
      <c r="C29" s="62">
        <f>SUM(C25:C28)</f>
        <v>150</v>
      </c>
      <c r="D29" s="190">
        <f>SUM(D25:D28)</f>
        <v>340</v>
      </c>
      <c r="E29" s="191"/>
    </row>
    <row r="30" spans="1:5" ht="27.95" hidden="1" customHeight="1" thickBot="1" x14ac:dyDescent="0.3">
      <c r="D30" s="65" t="s">
        <v>110</v>
      </c>
      <c r="E30" s="66" t="str">
        <f>IF(AND($E$29&lt;=4,$E$29&gt;=3.51),"A++",IF(AND($E$29&lt;=3.5,$E$29&gt;=3.26),"A+",IF(AND($E$29&lt;=3.25,$E$29&gt;3.01),"A",IF(AND($E$29&lt;=3,$E$29&gt;=2.76),"B++",IF(AND($E$29&lt;=2.75,$E$29&gt;=2.51),"B+",IF(AND($E$29&lt;=2.5,$E$29&gt;=2.01),"B",IF(AND($E$29&lt;=2,$E$29&gt;=1.51),"C","D")))))))</f>
        <v>D</v>
      </c>
    </row>
    <row r="31" spans="1:5" ht="30.75" customHeight="1" thickBot="1" x14ac:dyDescent="0.3">
      <c r="A31" s="192">
        <f>80/70</f>
        <v>1.1428571428571428</v>
      </c>
      <c r="B31" s="193"/>
      <c r="C31" s="193"/>
      <c r="D31" s="193"/>
      <c r="E31" s="194"/>
    </row>
    <row r="32" spans="1:5" ht="27.95" customHeight="1" x14ac:dyDescent="0.25">
      <c r="A32" s="195" t="s">
        <v>162</v>
      </c>
      <c r="B32" s="195"/>
      <c r="C32" s="195"/>
      <c r="D32" s="195"/>
      <c r="E32" s="195"/>
    </row>
    <row r="33" spans="1:5" ht="27" customHeight="1" x14ac:dyDescent="0.25">
      <c r="A33" s="60">
        <v>2.1</v>
      </c>
      <c r="B33" s="61" t="s">
        <v>168</v>
      </c>
      <c r="C33" s="60">
        <v>10</v>
      </c>
      <c r="D33" s="165">
        <f>SUM('University 115m'!M14:M15)</f>
        <v>15</v>
      </c>
      <c r="E33" s="166"/>
    </row>
    <row r="34" spans="1:5" ht="27" customHeight="1" x14ac:dyDescent="0.25">
      <c r="A34" s="60">
        <v>2.2000000000000002</v>
      </c>
      <c r="B34" s="61" t="s">
        <v>169</v>
      </c>
      <c r="C34" s="60">
        <v>20</v>
      </c>
      <c r="D34" s="165">
        <f>SUM('University 115m'!M16:M17)</f>
        <v>40</v>
      </c>
      <c r="E34" s="166"/>
    </row>
    <row r="35" spans="1:5" ht="27" customHeight="1" x14ac:dyDescent="0.25">
      <c r="A35" s="60">
        <v>2.2999999999999998</v>
      </c>
      <c r="B35" s="61" t="s">
        <v>170</v>
      </c>
      <c r="C35" s="60">
        <v>20</v>
      </c>
      <c r="D35" s="165">
        <f>SUM('University 115m'!M18:M20)</f>
        <v>32</v>
      </c>
      <c r="E35" s="166"/>
    </row>
    <row r="36" spans="1:5" ht="27" customHeight="1" x14ac:dyDescent="0.25">
      <c r="A36" s="60">
        <v>2.4</v>
      </c>
      <c r="B36" s="61" t="s">
        <v>164</v>
      </c>
      <c r="C36" s="60">
        <v>50</v>
      </c>
      <c r="D36" s="165">
        <f>SUM('University 115m'!M21:M24)</f>
        <v>115</v>
      </c>
      <c r="E36" s="166"/>
    </row>
    <row r="37" spans="1:5" ht="27" customHeight="1" x14ac:dyDescent="0.25">
      <c r="A37" s="60">
        <v>2.5</v>
      </c>
      <c r="B37" s="61" t="s">
        <v>165</v>
      </c>
      <c r="C37" s="60">
        <v>40</v>
      </c>
      <c r="D37" s="165">
        <f>SUM('University 115m'!M25:M28)</f>
        <v>15</v>
      </c>
      <c r="E37" s="166"/>
    </row>
    <row r="38" spans="1:5" ht="27" customHeight="1" x14ac:dyDescent="0.25">
      <c r="A38" s="60">
        <v>2.6</v>
      </c>
      <c r="B38" s="61" t="s">
        <v>166</v>
      </c>
      <c r="C38" s="60">
        <v>30</v>
      </c>
      <c r="D38" s="165">
        <f>SUM('University 115m'!M28:M30)</f>
        <v>40</v>
      </c>
      <c r="E38" s="166"/>
    </row>
    <row r="39" spans="1:5" ht="27" customHeight="1" x14ac:dyDescent="0.25">
      <c r="A39" s="60">
        <v>2.7</v>
      </c>
      <c r="B39" s="61" t="s">
        <v>167</v>
      </c>
      <c r="C39" s="60">
        <v>30</v>
      </c>
      <c r="D39" s="165">
        <f>SUM('University 115m'!M32)</f>
        <v>60</v>
      </c>
      <c r="E39" s="166"/>
    </row>
    <row r="40" spans="1:5" ht="29.25" customHeight="1" x14ac:dyDescent="0.25">
      <c r="A40" s="187" t="s">
        <v>215</v>
      </c>
      <c r="B40" s="187"/>
      <c r="C40" s="67">
        <f>SUM(C33:C39)</f>
        <v>200</v>
      </c>
      <c r="D40" s="188">
        <f>SUM(D33:D39)</f>
        <v>317</v>
      </c>
      <c r="E40" s="188"/>
    </row>
    <row r="41" spans="1:5" ht="33.75" customHeight="1" x14ac:dyDescent="0.25">
      <c r="A41" s="189">
        <f>D40/C40</f>
        <v>1.585</v>
      </c>
      <c r="B41" s="189"/>
      <c r="C41" s="189"/>
      <c r="D41" s="189"/>
      <c r="E41" s="189"/>
    </row>
    <row r="42" spans="1:5" ht="27.95" customHeight="1" x14ac:dyDescent="0.25">
      <c r="A42" s="170" t="s">
        <v>171</v>
      </c>
      <c r="B42" s="170"/>
      <c r="C42" s="170"/>
      <c r="D42" s="170"/>
      <c r="E42" s="170"/>
    </row>
    <row r="43" spans="1:5" ht="27" customHeight="1" x14ac:dyDescent="0.25">
      <c r="A43" s="60">
        <v>3.1</v>
      </c>
      <c r="B43" s="61" t="s">
        <v>440</v>
      </c>
      <c r="C43" s="60">
        <v>20</v>
      </c>
      <c r="D43" s="165">
        <f>SUM('University 115m'!M33:M38)</f>
        <v>43</v>
      </c>
      <c r="E43" s="166"/>
    </row>
    <row r="44" spans="1:5" ht="27" customHeight="1" x14ac:dyDescent="0.25">
      <c r="A44" s="60">
        <v>3.2</v>
      </c>
      <c r="B44" s="61" t="s">
        <v>172</v>
      </c>
      <c r="C44" s="60">
        <v>20</v>
      </c>
      <c r="D44" s="165">
        <f>SUM('University 115m'!M39:M41)</f>
        <v>60</v>
      </c>
      <c r="E44" s="166"/>
    </row>
    <row r="45" spans="1:5" ht="27" customHeight="1" x14ac:dyDescent="0.25">
      <c r="A45" s="60">
        <v>3.3</v>
      </c>
      <c r="B45" s="61" t="s">
        <v>173</v>
      </c>
      <c r="C45" s="60">
        <v>30</v>
      </c>
      <c r="D45" s="165">
        <f>SUM('University 115m'!M42:M44)</f>
        <v>50</v>
      </c>
      <c r="E45" s="166"/>
    </row>
    <row r="46" spans="1:5" ht="27" customHeight="1" x14ac:dyDescent="0.25">
      <c r="A46" s="60">
        <v>3.4</v>
      </c>
      <c r="B46" s="61" t="s">
        <v>174</v>
      </c>
      <c r="C46" s="60">
        <v>100</v>
      </c>
      <c r="D46" s="165">
        <f>SUM('University 115m'!M45:M53)</f>
        <v>65</v>
      </c>
      <c r="E46" s="166"/>
    </row>
    <row r="47" spans="1:5" ht="27" customHeight="1" x14ac:dyDescent="0.25">
      <c r="A47" s="60">
        <v>3.5</v>
      </c>
      <c r="B47" s="61" t="s">
        <v>441</v>
      </c>
      <c r="C47" s="60">
        <v>20</v>
      </c>
      <c r="D47" s="165">
        <f>SUM('University 115m'!M54:M55)</f>
        <v>60</v>
      </c>
      <c r="E47" s="166"/>
    </row>
    <row r="48" spans="1:5" ht="27" customHeight="1" x14ac:dyDescent="0.25">
      <c r="A48" s="60">
        <v>3.6</v>
      </c>
      <c r="B48" s="61" t="s">
        <v>175</v>
      </c>
      <c r="C48" s="60">
        <v>40</v>
      </c>
      <c r="D48" s="165">
        <f>SUM('University 115m'!M56:M59)</f>
        <v>60</v>
      </c>
      <c r="E48" s="166"/>
    </row>
    <row r="49" spans="1:5" ht="27" customHeight="1" x14ac:dyDescent="0.25">
      <c r="A49" s="60">
        <v>3.7</v>
      </c>
      <c r="B49" s="61" t="s">
        <v>176</v>
      </c>
      <c r="C49" s="60">
        <v>20</v>
      </c>
      <c r="D49" s="165">
        <f>SUM('University 115m'!M60:M61)</f>
        <v>40</v>
      </c>
      <c r="E49" s="166"/>
    </row>
    <row r="50" spans="1:5" ht="30" customHeight="1" x14ac:dyDescent="0.25">
      <c r="A50" s="187" t="s">
        <v>215</v>
      </c>
      <c r="B50" s="187"/>
      <c r="C50" s="67">
        <f>SUM(C43:C49)</f>
        <v>250</v>
      </c>
      <c r="D50" s="188">
        <f>SUM(D43:D49)</f>
        <v>378</v>
      </c>
      <c r="E50" s="188"/>
    </row>
    <row r="51" spans="1:5" ht="34.5" customHeight="1" x14ac:dyDescent="0.25">
      <c r="A51" s="186">
        <f>D50/C50</f>
        <v>1.512</v>
      </c>
      <c r="B51" s="186"/>
      <c r="C51" s="186"/>
      <c r="D51" s="186"/>
      <c r="E51" s="186"/>
    </row>
    <row r="52" spans="1:5" ht="27.95" customHeight="1" x14ac:dyDescent="0.25">
      <c r="A52" s="170" t="s">
        <v>177</v>
      </c>
      <c r="B52" s="170"/>
      <c r="C52" s="170"/>
      <c r="D52" s="170"/>
      <c r="E52" s="170"/>
    </row>
    <row r="53" spans="1:5" ht="27" customHeight="1" x14ac:dyDescent="0.25">
      <c r="A53" s="60">
        <v>4.0999999999999996</v>
      </c>
      <c r="B53" s="61" t="s">
        <v>178</v>
      </c>
      <c r="C53" s="60">
        <v>30</v>
      </c>
      <c r="D53" s="165">
        <f>SUM('University 115m'!M62:M65)</f>
        <v>20</v>
      </c>
      <c r="E53" s="166"/>
    </row>
    <row r="54" spans="1:5" ht="27" customHeight="1" x14ac:dyDescent="0.25">
      <c r="A54" s="60">
        <v>4.2</v>
      </c>
      <c r="B54" s="61" t="s">
        <v>179</v>
      </c>
      <c r="C54" s="60">
        <v>20</v>
      </c>
      <c r="D54" s="165">
        <f>SUM('University 115m'!M66:M69)</f>
        <v>54</v>
      </c>
      <c r="E54" s="166"/>
    </row>
    <row r="55" spans="1:5" ht="27" customHeight="1" x14ac:dyDescent="0.25">
      <c r="A55" s="60">
        <v>4.3</v>
      </c>
      <c r="B55" s="61" t="s">
        <v>180</v>
      </c>
      <c r="C55" s="60">
        <v>30</v>
      </c>
      <c r="D55" s="165">
        <f>SUM('University 115m'!M70:M74)</f>
        <v>60</v>
      </c>
      <c r="E55" s="166"/>
    </row>
    <row r="56" spans="1:5" ht="27" customHeight="1" x14ac:dyDescent="0.25">
      <c r="A56" s="60">
        <v>4.4000000000000004</v>
      </c>
      <c r="B56" s="61" t="s">
        <v>181</v>
      </c>
      <c r="C56" s="60">
        <v>20</v>
      </c>
      <c r="D56" s="165">
        <f>SUM('University 115m'!M75:M76)</f>
        <v>0</v>
      </c>
      <c r="E56" s="166"/>
    </row>
    <row r="57" spans="1:5" ht="27.95" customHeight="1" thickBot="1" x14ac:dyDescent="0.3">
      <c r="A57" s="171" t="s">
        <v>215</v>
      </c>
      <c r="B57" s="172"/>
      <c r="C57" s="68">
        <f>SUM(C53:C56)</f>
        <v>100</v>
      </c>
      <c r="D57" s="183">
        <f>SUM(D53:D56)</f>
        <v>134</v>
      </c>
      <c r="E57" s="184"/>
    </row>
    <row r="58" spans="1:5" ht="37.5" customHeight="1" x14ac:dyDescent="0.25">
      <c r="A58" s="185">
        <f>D57/C57</f>
        <v>1.34</v>
      </c>
      <c r="B58" s="185"/>
      <c r="C58" s="185"/>
      <c r="D58" s="185"/>
      <c r="E58" s="185"/>
    </row>
    <row r="59" spans="1:5" ht="27.95" customHeight="1" x14ac:dyDescent="0.25">
      <c r="A59" s="170" t="s">
        <v>182</v>
      </c>
      <c r="B59" s="170"/>
      <c r="C59" s="170"/>
      <c r="D59" s="170"/>
      <c r="E59" s="170"/>
    </row>
    <row r="60" spans="1:5" ht="27.95" customHeight="1" x14ac:dyDescent="0.25">
      <c r="A60" s="60">
        <v>5.0999999999999996</v>
      </c>
      <c r="B60" s="61" t="s">
        <v>183</v>
      </c>
      <c r="C60" s="60">
        <v>30</v>
      </c>
      <c r="D60" s="165">
        <f>SUM('University 115m'!M77:M80)</f>
        <v>50</v>
      </c>
      <c r="E60" s="166"/>
    </row>
    <row r="61" spans="1:5" ht="27.95" customHeight="1" x14ac:dyDescent="0.25">
      <c r="A61" s="60">
        <v>5.2</v>
      </c>
      <c r="B61" s="61" t="s">
        <v>184</v>
      </c>
      <c r="C61" s="60">
        <v>40</v>
      </c>
      <c r="D61" s="165">
        <f>SUM('University 115m'!M81:M83)</f>
        <v>70</v>
      </c>
      <c r="E61" s="166"/>
    </row>
    <row r="62" spans="1:5" ht="27.95" customHeight="1" x14ac:dyDescent="0.25">
      <c r="A62" s="60">
        <v>5.3</v>
      </c>
      <c r="B62" s="61" t="s">
        <v>185</v>
      </c>
      <c r="C62" s="60">
        <v>20</v>
      </c>
      <c r="D62" s="165">
        <f>SUM('University 115m'!M84:M86)</f>
        <v>45</v>
      </c>
      <c r="E62" s="166"/>
    </row>
    <row r="63" spans="1:5" ht="27.95" customHeight="1" x14ac:dyDescent="0.25">
      <c r="A63" s="60">
        <v>5.4</v>
      </c>
      <c r="B63" s="61" t="s">
        <v>186</v>
      </c>
      <c r="C63" s="60">
        <v>10</v>
      </c>
      <c r="D63" s="165">
        <f>SUM('University 115m'!M87:M88)</f>
        <v>0</v>
      </c>
      <c r="E63" s="166"/>
    </row>
    <row r="64" spans="1:5" ht="30" customHeight="1" x14ac:dyDescent="0.25">
      <c r="A64" s="171" t="s">
        <v>215</v>
      </c>
      <c r="B64" s="172"/>
      <c r="C64" s="69">
        <f>SUM(C60:C63)</f>
        <v>100</v>
      </c>
      <c r="D64" s="181">
        <f>SUM(D60:D63)</f>
        <v>165</v>
      </c>
      <c r="E64" s="182"/>
    </row>
    <row r="65" spans="1:5" ht="35.25" customHeight="1" x14ac:dyDescent="0.25">
      <c r="A65" s="176">
        <f>D64/C64</f>
        <v>1.65</v>
      </c>
      <c r="B65" s="176"/>
      <c r="C65" s="176"/>
      <c r="D65" s="176"/>
      <c r="E65" s="176"/>
    </row>
    <row r="66" spans="1:5" ht="27.95" customHeight="1" x14ac:dyDescent="0.25">
      <c r="A66" s="170" t="s">
        <v>187</v>
      </c>
      <c r="B66" s="170"/>
      <c r="C66" s="170"/>
      <c r="D66" s="170"/>
      <c r="E66" s="170"/>
    </row>
    <row r="67" spans="1:5" ht="27.95" customHeight="1" x14ac:dyDescent="0.25">
      <c r="A67" s="60">
        <v>6.1</v>
      </c>
      <c r="B67" s="86" t="s">
        <v>188</v>
      </c>
      <c r="C67" s="60">
        <v>10</v>
      </c>
      <c r="D67" s="165">
        <f>SUM('University 115m'!M89:M90)</f>
        <v>0</v>
      </c>
      <c r="E67" s="166"/>
    </row>
    <row r="68" spans="1:5" ht="27.95" customHeight="1" x14ac:dyDescent="0.25">
      <c r="A68" s="60">
        <v>6.2</v>
      </c>
      <c r="B68" s="86" t="s">
        <v>189</v>
      </c>
      <c r="C68" s="60">
        <v>10</v>
      </c>
      <c r="D68" s="165">
        <f>SUM('University 115m'!M91:M93)</f>
        <v>20</v>
      </c>
      <c r="E68" s="166"/>
    </row>
    <row r="69" spans="1:5" ht="27.95" customHeight="1" x14ac:dyDescent="0.25">
      <c r="A69" s="60">
        <v>6.3</v>
      </c>
      <c r="B69" s="86" t="s">
        <v>190</v>
      </c>
      <c r="C69" s="60">
        <v>30</v>
      </c>
      <c r="D69" s="165">
        <f>SUM('University 115m'!M94:M97)</f>
        <v>18</v>
      </c>
      <c r="E69" s="166"/>
    </row>
    <row r="70" spans="1:5" ht="27.95" customHeight="1" x14ac:dyDescent="0.25">
      <c r="A70" s="60">
        <v>6.4</v>
      </c>
      <c r="B70" s="86" t="s">
        <v>191</v>
      </c>
      <c r="C70" s="60">
        <v>20</v>
      </c>
      <c r="D70" s="165">
        <f>SUM('University 115m'!M98:M101)</f>
        <v>24</v>
      </c>
      <c r="E70" s="166"/>
    </row>
    <row r="71" spans="1:5" ht="27.95" customHeight="1" x14ac:dyDescent="0.25">
      <c r="A71" s="60">
        <v>6.5</v>
      </c>
      <c r="B71" s="86" t="s">
        <v>192</v>
      </c>
      <c r="C71" s="60">
        <v>30</v>
      </c>
      <c r="D71" s="165">
        <f>SUM('University 115m'!M102:M104)</f>
        <v>40</v>
      </c>
      <c r="E71" s="166"/>
    </row>
    <row r="72" spans="1:5" ht="31.5" customHeight="1" thickBot="1" x14ac:dyDescent="0.3">
      <c r="A72" s="177" t="s">
        <v>215</v>
      </c>
      <c r="B72" s="178"/>
      <c r="C72" s="70">
        <f>SUM(C67:C71)</f>
        <v>100</v>
      </c>
      <c r="D72" s="179">
        <f>SUM(D67:D71)</f>
        <v>102</v>
      </c>
      <c r="E72" s="180"/>
    </row>
    <row r="73" spans="1:5" ht="34.5" customHeight="1" thickBot="1" x14ac:dyDescent="0.3">
      <c r="A73" s="167">
        <f>D72/C72</f>
        <v>1.02</v>
      </c>
      <c r="B73" s="168"/>
      <c r="C73" s="168"/>
      <c r="D73" s="168"/>
      <c r="E73" s="169"/>
    </row>
    <row r="74" spans="1:5" ht="27.95" customHeight="1" x14ac:dyDescent="0.25">
      <c r="A74" s="170" t="s">
        <v>193</v>
      </c>
      <c r="B74" s="170"/>
      <c r="C74" s="170"/>
      <c r="D74" s="170"/>
      <c r="E74" s="170"/>
    </row>
    <row r="75" spans="1:5" ht="27.95" customHeight="1" x14ac:dyDescent="0.25">
      <c r="A75" s="86">
        <v>7.1</v>
      </c>
      <c r="B75" s="86" t="s">
        <v>194</v>
      </c>
      <c r="C75" s="60">
        <v>50</v>
      </c>
      <c r="D75" s="165">
        <f>SUM('University 115m'!M105:M115)</f>
        <v>108</v>
      </c>
      <c r="E75" s="166"/>
    </row>
    <row r="76" spans="1:5" ht="27.95" customHeight="1" x14ac:dyDescent="0.25">
      <c r="A76" s="86">
        <v>7.2</v>
      </c>
      <c r="B76" s="86" t="s">
        <v>129</v>
      </c>
      <c r="C76" s="60">
        <v>30</v>
      </c>
      <c r="D76" s="165">
        <f>SUM('University 115m'!M116)</f>
        <v>0</v>
      </c>
      <c r="E76" s="166"/>
    </row>
    <row r="77" spans="1:5" ht="27.95" customHeight="1" x14ac:dyDescent="0.25">
      <c r="A77" s="86">
        <v>7.3</v>
      </c>
      <c r="B77" s="86" t="s">
        <v>195</v>
      </c>
      <c r="C77" s="60">
        <v>20</v>
      </c>
      <c r="D77" s="165">
        <f>SUM('University 115m'!M117)</f>
        <v>0</v>
      </c>
      <c r="E77" s="166"/>
    </row>
    <row r="78" spans="1:5" ht="29.25" customHeight="1" x14ac:dyDescent="0.25">
      <c r="A78" s="171" t="s">
        <v>215</v>
      </c>
      <c r="B78" s="172"/>
      <c r="C78" s="71">
        <f>SUM(C75:C77)</f>
        <v>100</v>
      </c>
      <c r="D78" s="173">
        <f>SUM(D75:D77)</f>
        <v>108</v>
      </c>
      <c r="E78" s="174"/>
    </row>
    <row r="79" spans="1:5" ht="34.5" customHeight="1" x14ac:dyDescent="0.25">
      <c r="A79" s="175">
        <f>D78/C78</f>
        <v>1.08</v>
      </c>
      <c r="B79" s="175"/>
      <c r="C79" s="175"/>
      <c r="D79" s="175"/>
      <c r="E79" s="175"/>
    </row>
    <row r="80" spans="1:5" ht="27.95" customHeight="1" thickBot="1" x14ac:dyDescent="0.3">
      <c r="A80" s="158" t="s">
        <v>216</v>
      </c>
      <c r="B80" s="159"/>
      <c r="C80" s="105">
        <f>SUM(C29,C40,C50,C57,C64,C72,C78)</f>
        <v>1000</v>
      </c>
      <c r="D80" s="160">
        <f>SUM(D29,D40,D50,D57,D64,D72,D78)</f>
        <v>1544</v>
      </c>
      <c r="E80" s="161"/>
    </row>
    <row r="81" spans="1:5" ht="71.25" customHeight="1" thickBot="1" x14ac:dyDescent="0.3">
      <c r="A81" s="162">
        <f>D80/C80</f>
        <v>1.544</v>
      </c>
      <c r="B81" s="163"/>
      <c r="C81" s="163"/>
      <c r="D81" s="163"/>
      <c r="E81" s="164"/>
    </row>
    <row r="82" spans="1:5" ht="39.75" customHeight="1" thickBot="1" x14ac:dyDescent="0.3">
      <c r="A82" s="155" t="str">
        <f>IF(AND($A$81&lt;=4,$A$81&gt;=3.51),"A++",IF(AND($A$81&lt;=3.5,$A$81&gt;=3.26),"A+",IF(AND($A$81&lt;=3.25,$A$81&gt;3.01),"A",IF(AND($A$81&lt;=3,$A$81&gt;=2.76),"B++",IF(AND($A$81&lt;=2.75,$A$81&gt;=2.51),"B+",IF(AND($A$81&lt;=2.5,$A$81&gt;=2.01),"B",IF(AND($A$81&lt;=2,$A$81&gt;=1.51),"C","D")))))))</f>
        <v>C</v>
      </c>
      <c r="B82" s="156"/>
      <c r="C82" s="156"/>
      <c r="D82" s="156"/>
      <c r="E82" s="157"/>
    </row>
  </sheetData>
  <mergeCells count="84">
    <mergeCell ref="A4:B4"/>
    <mergeCell ref="C4:E4"/>
    <mergeCell ref="A1:E1"/>
    <mergeCell ref="A2:B2"/>
    <mergeCell ref="C2:E2"/>
    <mergeCell ref="A3:B3"/>
    <mergeCell ref="C3:E3"/>
    <mergeCell ref="A24:E24"/>
    <mergeCell ref="A13:B13"/>
    <mergeCell ref="A15:E15"/>
    <mergeCell ref="A17:E17"/>
    <mergeCell ref="A19:E19"/>
    <mergeCell ref="A20:B20"/>
    <mergeCell ref="C20:E20"/>
    <mergeCell ref="A21:B21"/>
    <mergeCell ref="C21:E21"/>
    <mergeCell ref="A22:B22"/>
    <mergeCell ref="C22:E22"/>
    <mergeCell ref="D23:E23"/>
    <mergeCell ref="D39:E39"/>
    <mergeCell ref="D25:E25"/>
    <mergeCell ref="D27:E27"/>
    <mergeCell ref="D28:E28"/>
    <mergeCell ref="A29:B29"/>
    <mergeCell ref="D29:E29"/>
    <mergeCell ref="A31:E31"/>
    <mergeCell ref="A32:E32"/>
    <mergeCell ref="D33:E33"/>
    <mergeCell ref="D34:E34"/>
    <mergeCell ref="D36:E36"/>
    <mergeCell ref="D38:E38"/>
    <mergeCell ref="A51:E51"/>
    <mergeCell ref="A40:B40"/>
    <mergeCell ref="D40:E40"/>
    <mergeCell ref="A41:E41"/>
    <mergeCell ref="A42:E42"/>
    <mergeCell ref="D43:E43"/>
    <mergeCell ref="D45:E45"/>
    <mergeCell ref="D46:E46"/>
    <mergeCell ref="D48:E48"/>
    <mergeCell ref="A50:B50"/>
    <mergeCell ref="D50:E50"/>
    <mergeCell ref="D44:E44"/>
    <mergeCell ref="D47:E47"/>
    <mergeCell ref="D49:E49"/>
    <mergeCell ref="A64:B64"/>
    <mergeCell ref="D64:E64"/>
    <mergeCell ref="A52:E52"/>
    <mergeCell ref="D53:E53"/>
    <mergeCell ref="D55:E55"/>
    <mergeCell ref="D56:E56"/>
    <mergeCell ref="A57:B57"/>
    <mergeCell ref="D57:E57"/>
    <mergeCell ref="A58:E58"/>
    <mergeCell ref="A59:E59"/>
    <mergeCell ref="D60:E60"/>
    <mergeCell ref="D61:E61"/>
    <mergeCell ref="D62:E62"/>
    <mergeCell ref="A79:E79"/>
    <mergeCell ref="D76:E76"/>
    <mergeCell ref="D77:E77"/>
    <mergeCell ref="A65:E65"/>
    <mergeCell ref="A66:E66"/>
    <mergeCell ref="D68:E68"/>
    <mergeCell ref="D69:E69"/>
    <mergeCell ref="D71:E71"/>
    <mergeCell ref="A72:B72"/>
    <mergeCell ref="D72:E72"/>
    <mergeCell ref="A82:E82"/>
    <mergeCell ref="A80:B80"/>
    <mergeCell ref="D80:E80"/>
    <mergeCell ref="A81:E81"/>
    <mergeCell ref="D26:E26"/>
    <mergeCell ref="D35:E35"/>
    <mergeCell ref="D37:E37"/>
    <mergeCell ref="D54:E54"/>
    <mergeCell ref="D63:E63"/>
    <mergeCell ref="D67:E67"/>
    <mergeCell ref="D70:E70"/>
    <mergeCell ref="A73:E73"/>
    <mergeCell ref="A74:E74"/>
    <mergeCell ref="D75:E75"/>
    <mergeCell ref="A78:B78"/>
    <mergeCell ref="D78:E78"/>
  </mergeCells>
  <printOptions horizontalCentered="1"/>
  <pageMargins left="0.19685039370078741" right="0.19685039370078741" top="0.70866141732283472" bottom="0.39370078740157483" header="0.31496062992125984" footer="0.31496062992125984"/>
  <pageSetup paperSize="9" scale="69" fitToHeight="0" orientation="portrait" r:id="rId1"/>
  <headerFooter>
    <oddHeader>&amp;C
&amp;G</oddHeader>
  </headerFooter>
  <rowBreaks count="2" manualBreakCount="2">
    <brk id="18" max="16383" man="1"/>
    <brk id="58" max="16383" man="1"/>
  </rowBreaks>
  <colBreaks count="1" manualBreakCount="1">
    <brk id="5" max="1048575" man="1"/>
  </col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69"/>
  <sheetViews>
    <sheetView view="pageBreakPreview" topLeftCell="A52" zoomScaleNormal="100" zoomScaleSheetLayoutView="100" workbookViewId="0">
      <selection activeCell="A65" sqref="A65:C67"/>
    </sheetView>
  </sheetViews>
  <sheetFormatPr defaultRowHeight="15" x14ac:dyDescent="0.25"/>
  <cols>
    <col min="1" max="1" width="4" style="7" bestFit="1" customWidth="1"/>
    <col min="2" max="2" width="46" bestFit="1" customWidth="1"/>
    <col min="3" max="3" width="10.5703125" style="7" bestFit="1" customWidth="1"/>
    <col min="4" max="4" width="15.28515625" style="7" bestFit="1" customWidth="1"/>
    <col min="5" max="5" width="17.42578125" style="7" bestFit="1" customWidth="1"/>
    <col min="6" max="6" width="1.5703125" customWidth="1"/>
    <col min="7" max="7" width="20.28515625" bestFit="1" customWidth="1"/>
    <col min="9" max="9" width="14.42578125" bestFit="1" customWidth="1"/>
  </cols>
  <sheetData>
    <row r="5" spans="1:9" s="1" customFormat="1" ht="60" x14ac:dyDescent="0.25">
      <c r="A5" s="26" t="s">
        <v>163</v>
      </c>
      <c r="B5" s="26" t="s">
        <v>108</v>
      </c>
      <c r="C5" s="27" t="s">
        <v>130</v>
      </c>
      <c r="D5" s="27" t="s">
        <v>160</v>
      </c>
      <c r="E5" s="27" t="s">
        <v>159</v>
      </c>
      <c r="G5" s="24" t="s">
        <v>153</v>
      </c>
      <c r="H5" s="24" t="s">
        <v>154</v>
      </c>
      <c r="I5" s="25" t="s">
        <v>138</v>
      </c>
    </row>
    <row r="6" spans="1:9" x14ac:dyDescent="0.25">
      <c r="A6" s="19">
        <v>1</v>
      </c>
      <c r="B6" s="11" t="s">
        <v>131</v>
      </c>
      <c r="C6" s="19">
        <v>100</v>
      </c>
      <c r="D6" s="19">
        <f>SUM('University 115m'!M3:M8)</f>
        <v>260</v>
      </c>
      <c r="E6" s="31">
        <f>D6/C6</f>
        <v>2.6</v>
      </c>
      <c r="G6" s="21" t="s">
        <v>139</v>
      </c>
      <c r="H6" s="21" t="s">
        <v>140</v>
      </c>
      <c r="I6" s="21" t="s">
        <v>141</v>
      </c>
    </row>
    <row r="7" spans="1:9" x14ac:dyDescent="0.25">
      <c r="A7" s="19">
        <v>2</v>
      </c>
      <c r="B7" s="20" t="s">
        <v>132</v>
      </c>
      <c r="C7" s="19">
        <v>350</v>
      </c>
      <c r="D7" s="19">
        <f>SUM('University 115m'!M9:M18)</f>
        <v>167</v>
      </c>
      <c r="E7" s="31">
        <f t="shared" ref="E7:E12" si="0">D7/C7</f>
        <v>0.47714285714285715</v>
      </c>
      <c r="G7" s="21" t="s">
        <v>142</v>
      </c>
      <c r="H7" s="21" t="s">
        <v>149</v>
      </c>
      <c r="I7" s="21" t="s">
        <v>141</v>
      </c>
    </row>
    <row r="8" spans="1:9" x14ac:dyDescent="0.25">
      <c r="A8" s="19">
        <v>3</v>
      </c>
      <c r="B8" s="20" t="s">
        <v>133</v>
      </c>
      <c r="C8" s="19">
        <v>110</v>
      </c>
      <c r="D8" s="19">
        <f>SUM('University 115m'!M19:M27)</f>
        <v>130</v>
      </c>
      <c r="E8" s="31">
        <f t="shared" si="0"/>
        <v>1.1818181818181819</v>
      </c>
      <c r="G8" s="21" t="s">
        <v>143</v>
      </c>
      <c r="H8" s="21" t="s">
        <v>125</v>
      </c>
      <c r="I8" s="21" t="s">
        <v>141</v>
      </c>
    </row>
    <row r="9" spans="1:9" x14ac:dyDescent="0.25">
      <c r="A9" s="19">
        <v>4</v>
      </c>
      <c r="B9" s="20" t="s">
        <v>134</v>
      </c>
      <c r="C9" s="19">
        <v>100</v>
      </c>
      <c r="D9" s="19">
        <f>SUM('University 115m'!M28:M33)</f>
        <v>143</v>
      </c>
      <c r="E9" s="31">
        <f t="shared" si="0"/>
        <v>1.43</v>
      </c>
      <c r="G9" s="21" t="s">
        <v>144</v>
      </c>
      <c r="H9" s="21" t="s">
        <v>150</v>
      </c>
      <c r="I9" s="21" t="s">
        <v>141</v>
      </c>
    </row>
    <row r="10" spans="1:9" x14ac:dyDescent="0.25">
      <c r="A10" s="19">
        <v>5</v>
      </c>
      <c r="B10" s="20" t="s">
        <v>135</v>
      </c>
      <c r="C10" s="19">
        <v>140</v>
      </c>
      <c r="D10" s="19">
        <f>SUM('University 115m'!M34:M42)</f>
        <v>110</v>
      </c>
      <c r="E10" s="31">
        <f t="shared" si="0"/>
        <v>0.7857142857142857</v>
      </c>
      <c r="G10" s="21" t="s">
        <v>145</v>
      </c>
      <c r="H10" s="21" t="s">
        <v>151</v>
      </c>
      <c r="I10" s="21" t="s">
        <v>141</v>
      </c>
    </row>
    <row r="11" spans="1:9" x14ac:dyDescent="0.25">
      <c r="A11" s="19">
        <v>6</v>
      </c>
      <c r="B11" s="20" t="s">
        <v>136</v>
      </c>
      <c r="C11" s="19">
        <v>100</v>
      </c>
      <c r="D11" s="19">
        <f>SUM('University 115m'!M43:M51)</f>
        <v>65</v>
      </c>
      <c r="E11" s="31">
        <f t="shared" si="0"/>
        <v>0.65</v>
      </c>
      <c r="G11" s="21" t="s">
        <v>146</v>
      </c>
      <c r="H11" s="21" t="s">
        <v>126</v>
      </c>
      <c r="I11" s="21" t="s">
        <v>141</v>
      </c>
    </row>
    <row r="12" spans="1:9" x14ac:dyDescent="0.25">
      <c r="A12" s="19">
        <v>7</v>
      </c>
      <c r="B12" s="20" t="s">
        <v>137</v>
      </c>
      <c r="C12" s="19">
        <v>100</v>
      </c>
      <c r="D12" s="19">
        <f>SUM('University 115m'!M52:M57)</f>
        <v>120</v>
      </c>
      <c r="E12" s="31">
        <f t="shared" si="0"/>
        <v>1.2</v>
      </c>
      <c r="G12" s="21" t="s">
        <v>148</v>
      </c>
      <c r="H12" s="21" t="s">
        <v>128</v>
      </c>
      <c r="I12" s="21" t="s">
        <v>141</v>
      </c>
    </row>
    <row r="13" spans="1:9" ht="15.75" thickBot="1" x14ac:dyDescent="0.3">
      <c r="C13" s="21">
        <f>SUM(C6:C12)</f>
        <v>1000</v>
      </c>
      <c r="D13" s="32">
        <f>SUM(D6:D12)</f>
        <v>995</v>
      </c>
      <c r="E13" s="33">
        <f>D13/C13</f>
        <v>0.995</v>
      </c>
      <c r="G13" s="21" t="s">
        <v>147</v>
      </c>
      <c r="H13" s="21" t="s">
        <v>127</v>
      </c>
      <c r="I13" s="21" t="s">
        <v>152</v>
      </c>
    </row>
    <row r="14" spans="1:9" ht="15.75" thickBot="1" x14ac:dyDescent="0.3">
      <c r="D14" s="34" t="s">
        <v>110</v>
      </c>
      <c r="E14" s="35" t="str">
        <f>IF(AND($E$13&lt;=4,$E$13&gt;=3.51),"A++",IF(AND($E$13&lt;=3.5,$E$13&gt;=3.26),"A+",IF(AND($E$13&lt;=3.25,$E$13&gt;3.01),"A",IF(AND($E$13&lt;=3,$E$13&gt;=2.76),"B++",IF(AND($E$13&lt;=2.75,$E$13&gt;=2.51),"B+",IF(AND($E$13&lt;=2.5,$E$13&gt;=2.01),"B",IF(AND($E$13&lt;=2,$E$13&gt;=1.51),"C","D")))))))</f>
        <v>D</v>
      </c>
    </row>
    <row r="15" spans="1:9" x14ac:dyDescent="0.25">
      <c r="D15" s="29"/>
      <c r="E15" s="28"/>
    </row>
    <row r="16" spans="1:9" s="1" customFormat="1" ht="75" x14ac:dyDescent="0.25">
      <c r="A16" s="26" t="s">
        <v>163</v>
      </c>
      <c r="B16" s="26" t="s">
        <v>155</v>
      </c>
      <c r="C16" s="27" t="s">
        <v>156</v>
      </c>
      <c r="D16" s="27" t="s">
        <v>157</v>
      </c>
      <c r="E16" s="27" t="s">
        <v>158</v>
      </c>
    </row>
    <row r="17" spans="1:5" s="1" customFormat="1" x14ac:dyDescent="0.25">
      <c r="A17" s="214" t="s">
        <v>161</v>
      </c>
      <c r="B17" s="214"/>
      <c r="C17" s="214"/>
      <c r="D17" s="214"/>
      <c r="E17" s="214"/>
    </row>
    <row r="18" spans="1:5" x14ac:dyDescent="0.25">
      <c r="A18" s="19">
        <v>1.1000000000000001</v>
      </c>
      <c r="B18" s="11" t="s">
        <v>209</v>
      </c>
      <c r="C18" s="21">
        <v>20</v>
      </c>
      <c r="D18" s="210">
        <f>SUM('University 115m'!L3)</f>
        <v>0</v>
      </c>
      <c r="E18" s="211"/>
    </row>
    <row r="19" spans="1:5" x14ac:dyDescent="0.25">
      <c r="A19" s="19">
        <v>1.2</v>
      </c>
      <c r="B19" s="11" t="s">
        <v>210</v>
      </c>
      <c r="C19" s="21">
        <v>30</v>
      </c>
      <c r="D19" s="210">
        <f>SUM('University 115m'!L4:L5)</f>
        <v>90</v>
      </c>
      <c r="E19" s="211"/>
    </row>
    <row r="20" spans="1:5" x14ac:dyDescent="0.25">
      <c r="A20" s="19">
        <v>1.3</v>
      </c>
      <c r="B20" s="11" t="s">
        <v>62</v>
      </c>
      <c r="C20" s="21">
        <v>30</v>
      </c>
      <c r="D20" s="210">
        <f>SUM('University 115m'!L6:L7)</f>
        <v>80</v>
      </c>
      <c r="E20" s="211"/>
    </row>
    <row r="21" spans="1:5" x14ac:dyDescent="0.25">
      <c r="A21" s="19">
        <v>1.4</v>
      </c>
      <c r="B21" s="11" t="s">
        <v>63</v>
      </c>
      <c r="C21" s="21">
        <v>20</v>
      </c>
      <c r="D21" s="210">
        <f>SUM('University 115m'!L8)</f>
        <v>0</v>
      </c>
      <c r="E21" s="211"/>
    </row>
    <row r="22" spans="1:5" ht="15.75" thickBot="1" x14ac:dyDescent="0.3">
      <c r="C22" s="21">
        <f>SUM(C18:C21)</f>
        <v>100</v>
      </c>
      <c r="D22" s="212">
        <f>SUM(D18:D21)</f>
        <v>170</v>
      </c>
      <c r="E22" s="213"/>
    </row>
    <row r="23" spans="1:5" ht="15.75" thickBot="1" x14ac:dyDescent="0.3">
      <c r="D23" s="34" t="s">
        <v>110</v>
      </c>
      <c r="E23" s="35" t="s">
        <v>211</v>
      </c>
    </row>
    <row r="24" spans="1:5" x14ac:dyDescent="0.25">
      <c r="A24" s="214" t="s">
        <v>162</v>
      </c>
      <c r="B24" s="214"/>
      <c r="C24" s="214"/>
      <c r="D24" s="214"/>
      <c r="E24" s="214"/>
    </row>
    <row r="25" spans="1:5" x14ac:dyDescent="0.25">
      <c r="A25" s="21">
        <v>2.1</v>
      </c>
      <c r="B25" s="11" t="s">
        <v>168</v>
      </c>
      <c r="C25" s="21">
        <v>40</v>
      </c>
      <c r="D25" s="210">
        <f>SUM('University 115m'!L9:L10)</f>
        <v>70</v>
      </c>
      <c r="E25" s="211"/>
    </row>
    <row r="26" spans="1:5" x14ac:dyDescent="0.25">
      <c r="A26" s="21">
        <v>2.2000000000000002</v>
      </c>
      <c r="B26" s="11" t="s">
        <v>169</v>
      </c>
      <c r="C26" s="21">
        <v>40</v>
      </c>
      <c r="D26" s="210">
        <f>SUM('University 115m'!L11)</f>
        <v>20</v>
      </c>
      <c r="E26" s="211"/>
    </row>
    <row r="27" spans="1:5" x14ac:dyDescent="0.25">
      <c r="A27" s="21">
        <v>2.2999999999999998</v>
      </c>
      <c r="B27" s="11" t="s">
        <v>170</v>
      </c>
      <c r="C27" s="21">
        <v>40</v>
      </c>
      <c r="D27" s="210">
        <f>SUM('University 115m'!L12)</f>
        <v>40</v>
      </c>
      <c r="E27" s="211"/>
    </row>
    <row r="28" spans="1:5" x14ac:dyDescent="0.25">
      <c r="A28" s="21">
        <v>2.4</v>
      </c>
      <c r="B28" s="11" t="s">
        <v>164</v>
      </c>
      <c r="C28" s="21">
        <v>40</v>
      </c>
      <c r="D28" s="210">
        <f>SUM('University 115m'!L13:L14)</f>
        <v>40</v>
      </c>
      <c r="E28" s="211"/>
    </row>
    <row r="29" spans="1:5" x14ac:dyDescent="0.25">
      <c r="A29" s="21">
        <v>2.5</v>
      </c>
      <c r="B29" s="11" t="s">
        <v>165</v>
      </c>
      <c r="C29" s="21">
        <v>40</v>
      </c>
      <c r="D29" s="210">
        <f>SUM('University 115m'!L15)</f>
        <v>15</v>
      </c>
      <c r="E29" s="211"/>
    </row>
    <row r="30" spans="1:5" x14ac:dyDescent="0.25">
      <c r="A30" s="21">
        <v>2.6</v>
      </c>
      <c r="B30" s="11" t="s">
        <v>166</v>
      </c>
      <c r="C30" s="21">
        <v>90</v>
      </c>
      <c r="D30" s="210">
        <f>SUM('University 115m'!L16:L17)</f>
        <v>40</v>
      </c>
      <c r="E30" s="211"/>
    </row>
    <row r="31" spans="1:5" x14ac:dyDescent="0.25">
      <c r="A31" s="21">
        <v>2.7</v>
      </c>
      <c r="B31" s="11" t="s">
        <v>167</v>
      </c>
      <c r="C31" s="21">
        <v>60</v>
      </c>
      <c r="D31" s="210">
        <f>SUM('University 115m'!L18)</f>
        <v>0</v>
      </c>
      <c r="E31" s="211"/>
    </row>
    <row r="32" spans="1:5" ht="15.75" thickBot="1" x14ac:dyDescent="0.3">
      <c r="C32" s="30">
        <f>SUM(C25:C31)</f>
        <v>350</v>
      </c>
      <c r="D32" s="212">
        <f>SUM(D25:D31)</f>
        <v>225</v>
      </c>
      <c r="E32" s="213"/>
    </row>
    <row r="33" spans="1:5" ht="15.75" thickBot="1" x14ac:dyDescent="0.3">
      <c r="D33" s="34" t="s">
        <v>110</v>
      </c>
      <c r="E33" s="35" t="str">
        <f>IF(AND($E$32&lt;=4,$E$32&gt;=3.51),"A++",IF(AND($E$32&lt;=3.5,$E$32&gt;=3.26),"A+",IF(AND($E$32&lt;=3.25,$E$32&gt;3.01),"A",IF(AND($E$32&lt;=3,$E$32&gt;=2.76),"B++",IF(AND($E$32&lt;=2.75,$E$32&gt;=2.51),"B+",IF(AND($E$32&lt;=2.5,$E$32&gt;=2.01),"B",IF(AND($E$32&lt;=2,$E$32&gt;=1.51),"C","D")))))))</f>
        <v>D</v>
      </c>
    </row>
    <row r="34" spans="1:5" x14ac:dyDescent="0.25">
      <c r="A34" s="214" t="s">
        <v>171</v>
      </c>
      <c r="B34" s="214"/>
      <c r="C34" s="214"/>
      <c r="D34" s="214"/>
      <c r="E34" s="214"/>
    </row>
    <row r="35" spans="1:5" x14ac:dyDescent="0.25">
      <c r="A35" s="21">
        <v>3.1</v>
      </c>
      <c r="B35" s="11" t="s">
        <v>172</v>
      </c>
      <c r="C35" s="21">
        <v>10</v>
      </c>
      <c r="D35" s="210">
        <f>SUM('University 115m'!L19)</f>
        <v>0</v>
      </c>
      <c r="E35" s="211"/>
    </row>
    <row r="36" spans="1:5" x14ac:dyDescent="0.25">
      <c r="A36" s="21">
        <v>3.2</v>
      </c>
      <c r="B36" s="11" t="s">
        <v>173</v>
      </c>
      <c r="C36" s="21">
        <v>15</v>
      </c>
      <c r="D36" s="210">
        <f>SUM('University 115m'!L20:L21)</f>
        <v>92</v>
      </c>
      <c r="E36" s="211"/>
    </row>
    <row r="37" spans="1:5" x14ac:dyDescent="0.25">
      <c r="A37" s="21">
        <v>3.3</v>
      </c>
      <c r="B37" s="11" t="s">
        <v>174</v>
      </c>
      <c r="C37" s="21">
        <v>25</v>
      </c>
      <c r="D37" s="210">
        <f>SUM('University 115m'!L22:L23)</f>
        <v>45</v>
      </c>
      <c r="E37" s="211"/>
    </row>
    <row r="38" spans="1:5" x14ac:dyDescent="0.25">
      <c r="A38" s="21">
        <v>3.4</v>
      </c>
      <c r="B38" s="11" t="s">
        <v>175</v>
      </c>
      <c r="C38" s="21">
        <v>40</v>
      </c>
      <c r="D38" s="210">
        <f>SUM('University 115m'!L24:L26)</f>
        <v>25</v>
      </c>
      <c r="E38" s="211"/>
    </row>
    <row r="39" spans="1:5" x14ac:dyDescent="0.25">
      <c r="A39" s="21">
        <v>3.5</v>
      </c>
      <c r="B39" s="11" t="s">
        <v>176</v>
      </c>
      <c r="C39" s="21">
        <v>20</v>
      </c>
      <c r="D39" s="210">
        <f>SUM('University 115m'!L27)</f>
        <v>0</v>
      </c>
      <c r="E39" s="211"/>
    </row>
    <row r="40" spans="1:5" ht="15.75" thickBot="1" x14ac:dyDescent="0.3">
      <c r="C40" s="30">
        <f>SUM(C35:C39)</f>
        <v>110</v>
      </c>
      <c r="D40" s="212">
        <f>SUM(D35:D39)</f>
        <v>162</v>
      </c>
      <c r="E40" s="213"/>
    </row>
    <row r="41" spans="1:5" ht="15.75" thickBot="1" x14ac:dyDescent="0.3">
      <c r="D41" s="34" t="s">
        <v>110</v>
      </c>
      <c r="E41" s="35" t="str">
        <f>IF(AND($E$47&lt;=4,$E$47&gt;=3.51),"A++",IF(AND($E$47&lt;=3.5,$E$47&gt;=3.26),"A+",IF(AND($E$47&lt;=3.25,$E$47&gt;3.01),"A",IF(AND($E$47&lt;=3,$E$47&gt;=2.76),"B++",IF(AND($E$47&lt;=2.75,$E$47&gt;=2.51),"B+",IF(AND($E$47&lt;=2.5,$E$47&gt;=2.01),"B",IF(AND($E$47&lt;=2,$E$47&gt;=1.51),"C","D")))))))</f>
        <v>D</v>
      </c>
    </row>
    <row r="42" spans="1:5" x14ac:dyDescent="0.25">
      <c r="A42" s="214" t="s">
        <v>177</v>
      </c>
      <c r="B42" s="214"/>
      <c r="C42" s="214"/>
      <c r="D42" s="214"/>
      <c r="E42" s="214"/>
    </row>
    <row r="43" spans="1:5" x14ac:dyDescent="0.25">
      <c r="A43" s="21">
        <v>4.0999999999999996</v>
      </c>
      <c r="B43" s="11" t="s">
        <v>178</v>
      </c>
      <c r="C43" s="21">
        <v>30</v>
      </c>
      <c r="D43" s="210">
        <f>SUM('University 115m'!L28:L29)</f>
        <v>0</v>
      </c>
      <c r="E43" s="211"/>
    </row>
    <row r="44" spans="1:5" x14ac:dyDescent="0.25">
      <c r="A44" s="21">
        <v>4.2</v>
      </c>
      <c r="B44" s="11" t="s">
        <v>179</v>
      </c>
      <c r="C44" s="21">
        <v>20</v>
      </c>
      <c r="D44" s="210">
        <f>SUM('University 115m'!L30)</f>
        <v>0</v>
      </c>
      <c r="E44" s="211"/>
    </row>
    <row r="45" spans="1:5" x14ac:dyDescent="0.25">
      <c r="A45" s="21">
        <v>4.3</v>
      </c>
      <c r="B45" s="11" t="s">
        <v>180</v>
      </c>
      <c r="C45" s="21">
        <v>30</v>
      </c>
      <c r="D45" s="210">
        <f>SUM('University 115m'!L31:L32)</f>
        <v>100</v>
      </c>
      <c r="E45" s="211"/>
    </row>
    <row r="46" spans="1:5" x14ac:dyDescent="0.25">
      <c r="A46" s="21">
        <v>4.4000000000000004</v>
      </c>
      <c r="B46" s="11" t="s">
        <v>181</v>
      </c>
      <c r="C46" s="21">
        <v>20</v>
      </c>
      <c r="D46" s="210">
        <f>SUM('University 115m'!L33)</f>
        <v>0</v>
      </c>
      <c r="E46" s="211"/>
    </row>
    <row r="47" spans="1:5" ht="15.75" thickBot="1" x14ac:dyDescent="0.3">
      <c r="C47" s="30">
        <f>SUM(C43:C46)</f>
        <v>100</v>
      </c>
      <c r="D47" s="212">
        <f>SUM(D43:D46)</f>
        <v>100</v>
      </c>
      <c r="E47" s="213"/>
    </row>
    <row r="48" spans="1:5" ht="15.75" thickBot="1" x14ac:dyDescent="0.3">
      <c r="D48" s="34" t="s">
        <v>110</v>
      </c>
      <c r="E48" s="35" t="str">
        <f>IF(AND($E$47&lt;=4,$E$47&gt;=3.51),"A++",IF(AND($E$47&lt;=3.5,$E$47&gt;=3.26),"A+",IF(AND($E$47&lt;=3.25,$E$47&gt;3.01),"A",IF(AND($E$47&lt;=3,$E$47&gt;=2.76),"B++",IF(AND($E$47&lt;=2.75,$E$47&gt;=2.51),"B+",IF(AND($E$47&lt;=2.5,$E$47&gt;=2.01),"B",IF(AND($E$47&lt;=2,$E$47&gt;=1.51),"C","D")))))))</f>
        <v>D</v>
      </c>
    </row>
    <row r="49" spans="1:5" x14ac:dyDescent="0.25">
      <c r="A49" s="214" t="s">
        <v>182</v>
      </c>
      <c r="B49" s="214"/>
      <c r="C49" s="214"/>
      <c r="D49" s="214"/>
      <c r="E49" s="214"/>
    </row>
    <row r="50" spans="1:5" x14ac:dyDescent="0.25">
      <c r="A50" s="21">
        <v>5.0999999999999996</v>
      </c>
      <c r="B50" s="11" t="s">
        <v>183</v>
      </c>
      <c r="C50" s="21">
        <v>50</v>
      </c>
      <c r="D50" s="210">
        <f>SUM('University 115m'!L34:L37)</f>
        <v>23</v>
      </c>
      <c r="E50" s="211"/>
    </row>
    <row r="51" spans="1:5" x14ac:dyDescent="0.25">
      <c r="A51" s="21">
        <v>5.2</v>
      </c>
      <c r="B51" s="11" t="s">
        <v>184</v>
      </c>
      <c r="C51" s="21">
        <v>30</v>
      </c>
      <c r="D51" s="210">
        <f>SUM('University 115m'!L38:L39)</f>
        <v>40</v>
      </c>
      <c r="E51" s="211"/>
    </row>
    <row r="52" spans="1:5" x14ac:dyDescent="0.25">
      <c r="A52" s="21">
        <v>5.3</v>
      </c>
      <c r="B52" s="11" t="s">
        <v>185</v>
      </c>
      <c r="C52" s="21">
        <v>50</v>
      </c>
      <c r="D52" s="210">
        <f>SUM('University 115m'!L40:L41)</f>
        <v>40</v>
      </c>
      <c r="E52" s="211"/>
    </row>
    <row r="53" spans="1:5" x14ac:dyDescent="0.25">
      <c r="A53" s="21">
        <v>5.4</v>
      </c>
      <c r="B53" s="11" t="s">
        <v>186</v>
      </c>
      <c r="C53" s="21">
        <v>10</v>
      </c>
      <c r="D53" s="210">
        <f>SUM('University 115m'!L42)</f>
        <v>0</v>
      </c>
      <c r="E53" s="211"/>
    </row>
    <row r="54" spans="1:5" ht="15.75" thickBot="1" x14ac:dyDescent="0.3">
      <c r="C54" s="30">
        <f>SUM(C50:C53)</f>
        <v>140</v>
      </c>
      <c r="D54" s="212">
        <f>SUM(D50:D53)</f>
        <v>103</v>
      </c>
      <c r="E54" s="213"/>
    </row>
    <row r="55" spans="1:5" ht="15.75" thickBot="1" x14ac:dyDescent="0.3">
      <c r="D55" s="34" t="s">
        <v>110</v>
      </c>
      <c r="E55" s="35" t="str">
        <f>IF(AND($E$54&lt;=4,$E$54&gt;=3.51),"A++",IF(AND($E$54&lt;=3.5,$E$54&gt;=3.26),"A+",IF(AND($E$54&lt;=3.25,$E$54&gt;3.01),"A",IF(AND($E$54&lt;=3,$E$54&gt;=2.76),"B++",IF(AND($E$54&lt;=2.75,$E$54&gt;=2.51),"B+",IF(AND($E$54&lt;=2.5,$E$54&gt;=2.01),"B",IF(AND($E$54&lt;=2,$E$54&gt;=1.51),"C","D")))))))</f>
        <v>D</v>
      </c>
    </row>
    <row r="56" spans="1:5" x14ac:dyDescent="0.25">
      <c r="A56" s="214" t="s">
        <v>187</v>
      </c>
      <c r="B56" s="214"/>
      <c r="C56" s="214"/>
      <c r="D56" s="214"/>
      <c r="E56" s="214"/>
    </row>
    <row r="57" spans="1:5" x14ac:dyDescent="0.25">
      <c r="A57" s="21">
        <v>6.1</v>
      </c>
      <c r="B57" s="11" t="s">
        <v>188</v>
      </c>
      <c r="C57" s="21">
        <v>10</v>
      </c>
      <c r="D57" s="210">
        <f>SUM('University 115m'!L43)</f>
        <v>40</v>
      </c>
      <c r="E57" s="211"/>
    </row>
    <row r="58" spans="1:5" x14ac:dyDescent="0.25">
      <c r="A58" s="21">
        <v>6.2</v>
      </c>
      <c r="B58" s="11" t="s">
        <v>189</v>
      </c>
      <c r="C58" s="21">
        <v>10</v>
      </c>
      <c r="D58" s="210">
        <f>SUM('University 115m'!L44:L45)</f>
        <v>30</v>
      </c>
      <c r="E58" s="211"/>
    </row>
    <row r="59" spans="1:5" x14ac:dyDescent="0.25">
      <c r="A59" s="21">
        <v>6.3</v>
      </c>
      <c r="B59" s="11" t="s">
        <v>190</v>
      </c>
      <c r="C59" s="21">
        <v>35</v>
      </c>
      <c r="D59" s="210">
        <f>SUM('University 115m'!L46:L48)</f>
        <v>20</v>
      </c>
      <c r="E59" s="211"/>
    </row>
    <row r="60" spans="1:5" x14ac:dyDescent="0.25">
      <c r="A60" s="21">
        <v>6.4</v>
      </c>
      <c r="B60" s="11" t="s">
        <v>191</v>
      </c>
      <c r="C60" s="21">
        <v>15</v>
      </c>
      <c r="D60" s="210">
        <f>SUM('University 115m'!L49)</f>
        <v>0</v>
      </c>
      <c r="E60" s="211"/>
    </row>
    <row r="61" spans="1:5" x14ac:dyDescent="0.25">
      <c r="A61" s="21">
        <v>6.5</v>
      </c>
      <c r="B61" s="11" t="s">
        <v>192</v>
      </c>
      <c r="C61" s="21">
        <v>30</v>
      </c>
      <c r="D61" s="210">
        <f>SUM('University 115m'!L50:L51)</f>
        <v>10</v>
      </c>
      <c r="E61" s="211"/>
    </row>
    <row r="62" spans="1:5" ht="15.75" thickBot="1" x14ac:dyDescent="0.3">
      <c r="C62" s="30">
        <f>SUM(C57:C61)</f>
        <v>100</v>
      </c>
      <c r="D62" s="212">
        <f>SUM(D57:D61)</f>
        <v>100</v>
      </c>
      <c r="E62" s="213"/>
    </row>
    <row r="63" spans="1:5" ht="15.75" thickBot="1" x14ac:dyDescent="0.3">
      <c r="D63" s="34" t="s">
        <v>110</v>
      </c>
      <c r="E63" s="35" t="str">
        <f>IF(AND($E$62&lt;=4,$E$62&gt;=3.51),"A++",IF(AND($E$62&lt;=3.5,$E$62&gt;=3.26),"A+",IF(AND($E$62&lt;=3.25,$E$62&gt;3.01),"A",IF(AND($E$62&lt;=3,$E$62&gt;=2.76),"B++",IF(AND($E$62&lt;=2.75,$E$62&gt;=2.51),"B+",IF(AND($E$62&lt;=2.5,$E$62&gt;=2.01),"B",IF(AND($E$62&lt;=2,$E$62&gt;=1.51),"C","D")))))))</f>
        <v>D</v>
      </c>
    </row>
    <row r="64" spans="1:5" x14ac:dyDescent="0.25">
      <c r="A64" s="214" t="s">
        <v>193</v>
      </c>
      <c r="B64" s="214"/>
      <c r="C64" s="214"/>
      <c r="D64" s="214"/>
      <c r="E64" s="214"/>
    </row>
    <row r="65" spans="1:5" x14ac:dyDescent="0.25">
      <c r="A65" s="21">
        <v>7.1</v>
      </c>
      <c r="B65" s="11" t="s">
        <v>194</v>
      </c>
      <c r="C65" s="21">
        <v>50</v>
      </c>
      <c r="D65" s="210">
        <f>SUM('University 115m'!L52:L55)</f>
        <v>75</v>
      </c>
      <c r="E65" s="211"/>
    </row>
    <row r="66" spans="1:5" x14ac:dyDescent="0.25">
      <c r="A66" s="21">
        <v>7.2</v>
      </c>
      <c r="B66" s="11" t="s">
        <v>129</v>
      </c>
      <c r="C66" s="21">
        <v>30</v>
      </c>
      <c r="D66" s="210">
        <f>SUM('University 115m'!L56)</f>
        <v>0</v>
      </c>
      <c r="E66" s="211"/>
    </row>
    <row r="67" spans="1:5" x14ac:dyDescent="0.25">
      <c r="A67" s="21">
        <v>7.3</v>
      </c>
      <c r="B67" s="11" t="s">
        <v>195</v>
      </c>
      <c r="C67" s="21">
        <v>20</v>
      </c>
      <c r="D67" s="210">
        <f>SUM('University 115m'!L57)</f>
        <v>0</v>
      </c>
      <c r="E67" s="211"/>
    </row>
    <row r="68" spans="1:5" ht="15.75" thickBot="1" x14ac:dyDescent="0.3">
      <c r="C68" s="30">
        <f>SUM(C65:C67)</f>
        <v>100</v>
      </c>
      <c r="D68" s="212">
        <f>SUM(D65:D67)</f>
        <v>75</v>
      </c>
      <c r="E68" s="213"/>
    </row>
    <row r="69" spans="1:5" ht="15.75" thickBot="1" x14ac:dyDescent="0.3">
      <c r="D69" s="34" t="s">
        <v>110</v>
      </c>
      <c r="E69" s="35" t="str">
        <f>IF(AND($E$68&lt;=4,$E$68&gt;=3.51),"A++",IF(AND($E$68&lt;=3.5,$E$68&gt;=3.26),"A+",IF(AND($E$68&lt;=3.25,$E$68&gt;3.01),"A",IF(AND($E$68&lt;=3,$E$68&gt;=2.76),"B++",IF(AND($E$68&lt;=2.75,$E$68&gt;=2.51),"B+",IF(AND($E$68&lt;=2.5,$E$68&gt;=2.01),"B",IF(AND($E$68&lt;=2,$E$68&gt;=1.51),"C","D")))))))</f>
        <v>D</v>
      </c>
    </row>
  </sheetData>
  <mergeCells count="46">
    <mergeCell ref="A17:E17"/>
    <mergeCell ref="A24:E24"/>
    <mergeCell ref="A34:E34"/>
    <mergeCell ref="A42:E42"/>
    <mergeCell ref="D18:E18"/>
    <mergeCell ref="D19:E19"/>
    <mergeCell ref="D20:E20"/>
    <mergeCell ref="D21:E21"/>
    <mergeCell ref="D22:E22"/>
    <mergeCell ref="D25:E25"/>
    <mergeCell ref="D26:E26"/>
    <mergeCell ref="D27:E27"/>
    <mergeCell ref="D28:E28"/>
    <mergeCell ref="D29:E29"/>
    <mergeCell ref="D30:E30"/>
    <mergeCell ref="D31:E31"/>
    <mergeCell ref="D32:E32"/>
    <mergeCell ref="D35:E35"/>
    <mergeCell ref="D36:E36"/>
    <mergeCell ref="D37:E37"/>
    <mergeCell ref="D38:E38"/>
    <mergeCell ref="D39:E39"/>
    <mergeCell ref="D40:E40"/>
    <mergeCell ref="D43:E43"/>
    <mergeCell ref="D44:E44"/>
    <mergeCell ref="D45:E45"/>
    <mergeCell ref="D46:E46"/>
    <mergeCell ref="D47:E47"/>
    <mergeCell ref="D50:E50"/>
    <mergeCell ref="A49:E49"/>
    <mergeCell ref="D51:E51"/>
    <mergeCell ref="D52:E52"/>
    <mergeCell ref="D53:E53"/>
    <mergeCell ref="D54:E54"/>
    <mergeCell ref="D57:E57"/>
    <mergeCell ref="A56:E56"/>
    <mergeCell ref="D58:E58"/>
    <mergeCell ref="D59:E59"/>
    <mergeCell ref="D60:E60"/>
    <mergeCell ref="D61:E61"/>
    <mergeCell ref="D62:E62"/>
    <mergeCell ref="D65:E65"/>
    <mergeCell ref="D66:E66"/>
    <mergeCell ref="D67:E67"/>
    <mergeCell ref="D68:E68"/>
    <mergeCell ref="A64:E64"/>
  </mergeCells>
  <pageMargins left="0.70866141732283472" right="0.70866141732283472" top="0.74803149606299213" bottom="0.74803149606299213" header="0.31496062992125984" footer="0.31496062992125984"/>
  <pageSetup scale="96" orientation="portrait" r:id="rId1"/>
  <rowBreaks count="2" manualBreakCount="2">
    <brk id="15" max="16383" man="1"/>
    <brk id="55" max="16383" man="1"/>
  </rowBreaks>
  <colBreaks count="1" manualBreakCount="1">
    <brk id="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15"/>
  <sheetViews>
    <sheetView zoomScale="60" zoomScaleNormal="60" workbookViewId="0">
      <selection activeCell="L1" sqref="L1"/>
    </sheetView>
  </sheetViews>
  <sheetFormatPr defaultRowHeight="15" x14ac:dyDescent="0.25"/>
  <cols>
    <col min="1" max="1" width="3.5703125" style="1" bestFit="1" customWidth="1"/>
    <col min="2" max="3" width="16.28515625" style="6" hidden="1" customWidth="1"/>
    <col min="4" max="5" width="6.7109375" bestFit="1" customWidth="1"/>
    <col min="6" max="6" width="45.28515625" style="94" customWidth="1"/>
    <col min="7" max="7" width="22" customWidth="1"/>
    <col min="8" max="9" width="8.140625" bestFit="1" customWidth="1"/>
    <col min="10" max="10" width="10.85546875" style="38" bestFit="1" customWidth="1"/>
    <col min="11" max="11" width="8.85546875" style="1" bestFit="1" customWidth="1"/>
    <col min="12" max="12" width="9.28515625" style="1" bestFit="1" customWidth="1"/>
    <col min="13" max="13" width="12.140625" style="1" customWidth="1"/>
    <col min="14" max="14" width="9.28515625" style="38" customWidth="1"/>
    <col min="15" max="15" width="8" style="1" customWidth="1"/>
    <col min="16" max="16" width="8" style="38" customWidth="1"/>
  </cols>
  <sheetData>
    <row r="1" spans="1:16" x14ac:dyDescent="0.25">
      <c r="J1" s="38" t="s">
        <v>109</v>
      </c>
      <c r="K1" s="1" t="s">
        <v>569</v>
      </c>
    </row>
    <row r="2" spans="1:16" s="1" customFormat="1" ht="66" x14ac:dyDescent="0.25">
      <c r="A2" s="12" t="s">
        <v>1</v>
      </c>
      <c r="B2" s="12" t="s">
        <v>112</v>
      </c>
      <c r="C2" s="12" t="s">
        <v>114</v>
      </c>
      <c r="D2" s="12" t="s">
        <v>113</v>
      </c>
      <c r="E2" s="12" t="s">
        <v>115</v>
      </c>
      <c r="F2" s="120" t="s">
        <v>124</v>
      </c>
      <c r="G2" s="12" t="s">
        <v>122</v>
      </c>
      <c r="H2" s="12" t="s">
        <v>123</v>
      </c>
      <c r="I2" s="12" t="s">
        <v>111</v>
      </c>
      <c r="J2" s="46" t="s">
        <v>213</v>
      </c>
      <c r="K2" s="16" t="s">
        <v>121</v>
      </c>
      <c r="L2" s="17" t="s">
        <v>120</v>
      </c>
      <c r="M2" s="16" t="s">
        <v>116</v>
      </c>
      <c r="N2" s="18" t="s">
        <v>117</v>
      </c>
      <c r="O2" s="16" t="s">
        <v>119</v>
      </c>
      <c r="P2" s="18" t="s">
        <v>118</v>
      </c>
    </row>
    <row r="3" spans="1:16" ht="15" customHeight="1" x14ac:dyDescent="0.25">
      <c r="A3" s="127">
        <v>1</v>
      </c>
      <c r="B3" s="8" t="s">
        <v>91</v>
      </c>
      <c r="C3" s="8" t="s">
        <v>60</v>
      </c>
      <c r="D3" s="126" t="s">
        <v>59</v>
      </c>
      <c r="E3" s="126" t="s">
        <v>234</v>
      </c>
      <c r="F3" s="111" t="s">
        <v>444</v>
      </c>
      <c r="G3" s="132">
        <v>20</v>
      </c>
      <c r="H3" s="218">
        <f>G3+G4</f>
        <v>30</v>
      </c>
      <c r="I3" s="220">
        <f>SUM(H3:H11)</f>
        <v>125</v>
      </c>
      <c r="J3" s="103">
        <v>75</v>
      </c>
      <c r="K3" s="127">
        <f>IF(J3&gt;80,4,IF(AND(J3&lt;=80,J3&gt;60),3,IF(AND(J3&lt;=60,J3&gt;40),2,IF(AND(J3&lt;=40,J3&gt;20),1,IF(J3&lt;=20,0)))))</f>
        <v>3</v>
      </c>
      <c r="L3" s="127">
        <f t="shared" ref="L3:L66" si="0">K3*G3</f>
        <v>60</v>
      </c>
      <c r="M3" s="218">
        <f>L3+L4</f>
        <v>90</v>
      </c>
      <c r="N3" s="218">
        <f>M3/H3</f>
        <v>3</v>
      </c>
      <c r="O3" s="148">
        <f>SUM(M3:M11)</f>
        <v>340</v>
      </c>
      <c r="P3" s="148">
        <f>O3/I3</f>
        <v>2.72</v>
      </c>
    </row>
    <row r="4" spans="1:16" ht="15" customHeight="1" x14ac:dyDescent="0.25">
      <c r="A4" s="127">
        <v>2</v>
      </c>
      <c r="B4" s="8" t="s">
        <v>91</v>
      </c>
      <c r="C4" s="8" t="s">
        <v>60</v>
      </c>
      <c r="D4" s="126" t="s">
        <v>59</v>
      </c>
      <c r="E4" s="126" t="s">
        <v>236</v>
      </c>
      <c r="F4" s="111" t="s">
        <v>445</v>
      </c>
      <c r="G4" s="132">
        <v>10</v>
      </c>
      <c r="H4" s="219"/>
      <c r="I4" s="220"/>
      <c r="J4" s="103">
        <v>63.57</v>
      </c>
      <c r="K4" s="127">
        <f t="shared" ref="K4:K67" si="1">IF(J4&gt;80,4,IF(AND(J4&lt;=80,J4&gt;60),3,IF(AND(J4&lt;=60,J4&gt;40),2,IF(AND(J4&lt;=40,J4&gt;20),1,IF(J4&lt;=20,0)))))</f>
        <v>3</v>
      </c>
      <c r="L4" s="127">
        <f t="shared" si="0"/>
        <v>30</v>
      </c>
      <c r="M4" s="219"/>
      <c r="N4" s="219"/>
      <c r="O4" s="148"/>
      <c r="P4" s="148"/>
    </row>
    <row r="5" spans="1:16" ht="15" customHeight="1" x14ac:dyDescent="0.25">
      <c r="A5" s="127">
        <v>3</v>
      </c>
      <c r="B5" s="8" t="s">
        <v>91</v>
      </c>
      <c r="C5" s="8" t="s">
        <v>61</v>
      </c>
      <c r="D5" s="126" t="s">
        <v>59</v>
      </c>
      <c r="E5" s="126" t="s">
        <v>4</v>
      </c>
      <c r="F5" s="111" t="s">
        <v>446</v>
      </c>
      <c r="G5" s="132">
        <v>30</v>
      </c>
      <c r="H5" s="218">
        <f>G5+G6</f>
        <v>50</v>
      </c>
      <c r="I5" s="220"/>
      <c r="J5" s="103">
        <v>13</v>
      </c>
      <c r="K5" s="127">
        <f t="shared" si="1"/>
        <v>0</v>
      </c>
      <c r="L5" s="127">
        <f t="shared" si="0"/>
        <v>0</v>
      </c>
      <c r="M5" s="218">
        <f>L5+L6</f>
        <v>80</v>
      </c>
      <c r="N5" s="218">
        <f>M5/H5</f>
        <v>1.6</v>
      </c>
      <c r="O5" s="148"/>
      <c r="P5" s="148"/>
    </row>
    <row r="6" spans="1:16" ht="15" customHeight="1" x14ac:dyDescent="0.25">
      <c r="A6" s="127">
        <v>4</v>
      </c>
      <c r="B6" s="8" t="s">
        <v>91</v>
      </c>
      <c r="C6" s="8" t="s">
        <v>61</v>
      </c>
      <c r="D6" s="126" t="s">
        <v>59</v>
      </c>
      <c r="E6" s="126" t="s">
        <v>5</v>
      </c>
      <c r="F6" s="111" t="s">
        <v>447</v>
      </c>
      <c r="G6" s="132">
        <v>20</v>
      </c>
      <c r="H6" s="219"/>
      <c r="I6" s="220"/>
      <c r="J6" s="103">
        <v>100</v>
      </c>
      <c r="K6" s="127">
        <f t="shared" si="1"/>
        <v>4</v>
      </c>
      <c r="L6" s="127">
        <f t="shared" si="0"/>
        <v>80</v>
      </c>
      <c r="M6" s="219"/>
      <c r="N6" s="219"/>
      <c r="O6" s="148"/>
      <c r="P6" s="148"/>
    </row>
    <row r="7" spans="1:16" ht="15" customHeight="1" x14ac:dyDescent="0.25">
      <c r="A7" s="127">
        <v>5</v>
      </c>
      <c r="B7" s="8" t="s">
        <v>91</v>
      </c>
      <c r="C7" s="8" t="s">
        <v>62</v>
      </c>
      <c r="D7" s="126" t="s">
        <v>59</v>
      </c>
      <c r="E7" s="126" t="s">
        <v>7</v>
      </c>
      <c r="F7" s="111" t="s">
        <v>449</v>
      </c>
      <c r="G7" s="132">
        <v>10</v>
      </c>
      <c r="H7" s="218">
        <f>G7+G8+G9</f>
        <v>25</v>
      </c>
      <c r="I7" s="220"/>
      <c r="J7" s="103">
        <v>154</v>
      </c>
      <c r="K7" s="127">
        <f t="shared" si="1"/>
        <v>4</v>
      </c>
      <c r="L7" s="127">
        <f t="shared" si="0"/>
        <v>40</v>
      </c>
      <c r="M7" s="218">
        <f>L7+L8+L9</f>
        <v>90</v>
      </c>
      <c r="N7" s="218">
        <f>M7/H7</f>
        <v>3.6</v>
      </c>
      <c r="O7" s="148"/>
      <c r="P7" s="148"/>
    </row>
    <row r="8" spans="1:16" ht="15" customHeight="1" x14ac:dyDescent="0.25">
      <c r="A8" s="127">
        <v>6</v>
      </c>
      <c r="B8" s="8" t="s">
        <v>91</v>
      </c>
      <c r="C8" s="8" t="s">
        <v>62</v>
      </c>
      <c r="D8" s="126" t="s">
        <v>59</v>
      </c>
      <c r="E8" s="126" t="s">
        <v>242</v>
      </c>
      <c r="F8" s="111" t="s">
        <v>450</v>
      </c>
      <c r="G8" s="132">
        <v>10</v>
      </c>
      <c r="H8" s="221"/>
      <c r="I8" s="220"/>
      <c r="J8" s="103">
        <v>60.74</v>
      </c>
      <c r="K8" s="127">
        <f t="shared" si="1"/>
        <v>3</v>
      </c>
      <c r="L8" s="127">
        <f t="shared" si="0"/>
        <v>30</v>
      </c>
      <c r="M8" s="221"/>
      <c r="N8" s="221"/>
      <c r="O8" s="148"/>
      <c r="P8" s="148"/>
    </row>
    <row r="9" spans="1:16" ht="15" customHeight="1" x14ac:dyDescent="0.25">
      <c r="A9" s="127">
        <v>7</v>
      </c>
      <c r="B9" s="8" t="s">
        <v>91</v>
      </c>
      <c r="C9" s="8" t="s">
        <v>62</v>
      </c>
      <c r="D9" s="126" t="s">
        <v>59</v>
      </c>
      <c r="E9" s="126" t="s">
        <v>244</v>
      </c>
      <c r="F9" s="111" t="s">
        <v>451</v>
      </c>
      <c r="G9" s="132">
        <v>5</v>
      </c>
      <c r="H9" s="219"/>
      <c r="I9" s="220"/>
      <c r="J9" s="103">
        <v>87.56</v>
      </c>
      <c r="K9" s="127">
        <f t="shared" si="1"/>
        <v>4</v>
      </c>
      <c r="L9" s="127">
        <f t="shared" si="0"/>
        <v>20</v>
      </c>
      <c r="M9" s="219"/>
      <c r="N9" s="219"/>
      <c r="O9" s="148"/>
      <c r="P9" s="148"/>
    </row>
    <row r="10" spans="1:16" ht="15" customHeight="1" x14ac:dyDescent="0.25">
      <c r="A10" s="127">
        <v>8</v>
      </c>
      <c r="B10" s="8" t="s">
        <v>91</v>
      </c>
      <c r="C10" s="8" t="s">
        <v>63</v>
      </c>
      <c r="D10" s="126" t="s">
        <v>59</v>
      </c>
      <c r="E10" s="126" t="s">
        <v>8</v>
      </c>
      <c r="F10" s="111" t="s">
        <v>452</v>
      </c>
      <c r="G10" s="132">
        <v>10</v>
      </c>
      <c r="H10" s="218">
        <f>G10+G11</f>
        <v>20</v>
      </c>
      <c r="I10" s="220"/>
      <c r="J10" s="103" t="s">
        <v>125</v>
      </c>
      <c r="K10" s="127">
        <f>IF(EXACT(J10,"A"),4,IF(EXACT(J10,"B"),3,IF(EXACT(J10,"C"),2,IF(EXACT(J10,"D"),1,0))))</f>
        <v>4</v>
      </c>
      <c r="L10" s="127">
        <f t="shared" si="0"/>
        <v>40</v>
      </c>
      <c r="M10" s="218">
        <f>L10+L11</f>
        <v>80</v>
      </c>
      <c r="N10" s="218">
        <f>M10/H10</f>
        <v>4</v>
      </c>
      <c r="O10" s="148"/>
      <c r="P10" s="148"/>
    </row>
    <row r="11" spans="1:16" ht="15" customHeight="1" x14ac:dyDescent="0.25">
      <c r="A11" s="127">
        <v>9</v>
      </c>
      <c r="B11" s="8" t="s">
        <v>91</v>
      </c>
      <c r="C11" s="8" t="s">
        <v>63</v>
      </c>
      <c r="D11" s="126" t="s">
        <v>59</v>
      </c>
      <c r="E11" s="126" t="s">
        <v>247</v>
      </c>
      <c r="F11" s="111" t="s">
        <v>453</v>
      </c>
      <c r="G11" s="132">
        <v>10</v>
      </c>
      <c r="H11" s="219"/>
      <c r="I11" s="220"/>
      <c r="J11" s="103" t="s">
        <v>125</v>
      </c>
      <c r="K11" s="127">
        <f>IF(EXACT(J11,"A"),4,IF(EXACT(J11,"B"),3,IF(EXACT(J11,"C"),2,IF(EXACT(J11,"D"),1,0))))</f>
        <v>4</v>
      </c>
      <c r="L11" s="127">
        <f t="shared" si="0"/>
        <v>40</v>
      </c>
      <c r="M11" s="219"/>
      <c r="N11" s="219"/>
      <c r="O11" s="148"/>
      <c r="P11" s="148"/>
    </row>
    <row r="12" spans="1:16" ht="15" customHeight="1" x14ac:dyDescent="0.25">
      <c r="A12" s="127">
        <v>10</v>
      </c>
      <c r="B12" s="8" t="s">
        <v>92</v>
      </c>
      <c r="C12" s="8" t="s">
        <v>64</v>
      </c>
      <c r="D12" s="126" t="s">
        <v>59</v>
      </c>
      <c r="E12" s="4" t="s">
        <v>9</v>
      </c>
      <c r="F12" s="133" t="s">
        <v>454</v>
      </c>
      <c r="G12" s="132">
        <v>5</v>
      </c>
      <c r="H12" s="218">
        <f>G12+G13</f>
        <v>10</v>
      </c>
      <c r="I12" s="220">
        <f>SUM(H12:H24)</f>
        <v>148</v>
      </c>
      <c r="J12" s="103">
        <v>2.85</v>
      </c>
      <c r="K12" s="127">
        <f t="shared" si="1"/>
        <v>0</v>
      </c>
      <c r="L12" s="127">
        <f t="shared" si="0"/>
        <v>0</v>
      </c>
      <c r="M12" s="218">
        <f>L12+L13</f>
        <v>15</v>
      </c>
      <c r="N12" s="218">
        <f>M12/H12</f>
        <v>1.5</v>
      </c>
      <c r="O12" s="148">
        <f>SUM(M12:M24)</f>
        <v>317</v>
      </c>
      <c r="P12" s="148">
        <f>O12/I12</f>
        <v>2.1418918918918921</v>
      </c>
    </row>
    <row r="13" spans="1:16" ht="15" customHeight="1" x14ac:dyDescent="0.25">
      <c r="A13" s="127">
        <v>11</v>
      </c>
      <c r="B13" s="8" t="s">
        <v>92</v>
      </c>
      <c r="C13" s="8" t="s">
        <v>64</v>
      </c>
      <c r="D13" s="126" t="s">
        <v>59</v>
      </c>
      <c r="E13" s="126" t="s">
        <v>10</v>
      </c>
      <c r="F13" s="111" t="s">
        <v>455</v>
      </c>
      <c r="G13" s="132">
        <v>5</v>
      </c>
      <c r="H13" s="219"/>
      <c r="I13" s="220"/>
      <c r="J13" s="103">
        <v>71.010000000000005</v>
      </c>
      <c r="K13" s="127">
        <f t="shared" si="1"/>
        <v>3</v>
      </c>
      <c r="L13" s="127">
        <f t="shared" si="0"/>
        <v>15</v>
      </c>
      <c r="M13" s="219"/>
      <c r="N13" s="219"/>
      <c r="O13" s="148"/>
      <c r="P13" s="148"/>
    </row>
    <row r="14" spans="1:16" ht="15" customHeight="1" x14ac:dyDescent="0.25">
      <c r="A14" s="127">
        <v>12</v>
      </c>
      <c r="B14" s="8" t="s">
        <v>92</v>
      </c>
      <c r="C14" s="8" t="s">
        <v>431</v>
      </c>
      <c r="D14" s="126" t="s">
        <v>59</v>
      </c>
      <c r="E14" s="4" t="s">
        <v>252</v>
      </c>
      <c r="F14" s="133" t="s">
        <v>457</v>
      </c>
      <c r="G14" s="132">
        <v>10</v>
      </c>
      <c r="H14" s="137">
        <f>G14</f>
        <v>10</v>
      </c>
      <c r="I14" s="220"/>
      <c r="J14" s="103" t="s">
        <v>570</v>
      </c>
      <c r="K14" s="127">
        <f t="shared" si="1"/>
        <v>4</v>
      </c>
      <c r="L14" s="127">
        <f t="shared" si="0"/>
        <v>40</v>
      </c>
      <c r="M14" s="137">
        <f>L14</f>
        <v>40</v>
      </c>
      <c r="N14" s="137">
        <f>M14/H14</f>
        <v>4</v>
      </c>
      <c r="O14" s="148"/>
      <c r="P14" s="148"/>
    </row>
    <row r="15" spans="1:16" ht="15" customHeight="1" x14ac:dyDescent="0.25">
      <c r="A15" s="127">
        <v>13</v>
      </c>
      <c r="B15" s="8" t="s">
        <v>92</v>
      </c>
      <c r="C15" s="8" t="s">
        <v>432</v>
      </c>
      <c r="D15" s="126" t="s">
        <v>59</v>
      </c>
      <c r="E15" s="126" t="s">
        <v>257</v>
      </c>
      <c r="F15" s="133" t="s">
        <v>460</v>
      </c>
      <c r="G15" s="132">
        <v>8</v>
      </c>
      <c r="H15" s="137">
        <f>G15</f>
        <v>8</v>
      </c>
      <c r="I15" s="220"/>
      <c r="J15" s="103" t="s">
        <v>570</v>
      </c>
      <c r="K15" s="127">
        <f t="shared" si="1"/>
        <v>4</v>
      </c>
      <c r="L15" s="127">
        <f t="shared" si="0"/>
        <v>32</v>
      </c>
      <c r="M15" s="137">
        <f>L15</f>
        <v>32</v>
      </c>
      <c r="N15" s="137">
        <f>M15/H15</f>
        <v>4</v>
      </c>
      <c r="O15" s="148"/>
      <c r="P15" s="148"/>
    </row>
    <row r="16" spans="1:16" ht="15" customHeight="1" x14ac:dyDescent="0.25">
      <c r="A16" s="127">
        <v>14</v>
      </c>
      <c r="B16" s="8" t="s">
        <v>92</v>
      </c>
      <c r="C16" s="8" t="s">
        <v>66</v>
      </c>
      <c r="D16" s="126" t="s">
        <v>59</v>
      </c>
      <c r="E16" s="4" t="s">
        <v>13</v>
      </c>
      <c r="F16" s="111" t="s">
        <v>461</v>
      </c>
      <c r="G16" s="132">
        <v>15</v>
      </c>
      <c r="H16" s="218">
        <f>SUM(G16:G19)</f>
        <v>50</v>
      </c>
      <c r="I16" s="220"/>
      <c r="J16" s="103">
        <v>96.74</v>
      </c>
      <c r="K16" s="127">
        <f t="shared" si="1"/>
        <v>4</v>
      </c>
      <c r="L16" s="127">
        <f t="shared" si="0"/>
        <v>60</v>
      </c>
      <c r="M16" s="218">
        <f>SUM(L16:L19)</f>
        <v>115</v>
      </c>
      <c r="N16" s="218">
        <f>M16/H16</f>
        <v>2.2999999999999998</v>
      </c>
      <c r="O16" s="148"/>
      <c r="P16" s="148"/>
    </row>
    <row r="17" spans="1:16" ht="15" customHeight="1" x14ac:dyDescent="0.25">
      <c r="A17" s="127">
        <v>15</v>
      </c>
      <c r="B17" s="8" t="s">
        <v>92</v>
      </c>
      <c r="C17" s="8" t="s">
        <v>66</v>
      </c>
      <c r="D17" s="126" t="s">
        <v>59</v>
      </c>
      <c r="E17" s="4" t="s">
        <v>14</v>
      </c>
      <c r="F17" s="111" t="s">
        <v>462</v>
      </c>
      <c r="G17" s="132">
        <v>15</v>
      </c>
      <c r="H17" s="221"/>
      <c r="I17" s="220"/>
      <c r="J17" s="103">
        <v>67.05</v>
      </c>
      <c r="K17" s="127">
        <f t="shared" si="1"/>
        <v>3</v>
      </c>
      <c r="L17" s="127">
        <f t="shared" si="0"/>
        <v>45</v>
      </c>
      <c r="M17" s="221"/>
      <c r="N17" s="221"/>
      <c r="O17" s="148"/>
      <c r="P17" s="148"/>
    </row>
    <row r="18" spans="1:16" ht="15" customHeight="1" x14ac:dyDescent="0.25">
      <c r="A18" s="127">
        <v>16</v>
      </c>
      <c r="B18" s="8" t="s">
        <v>92</v>
      </c>
      <c r="C18" s="8" t="s">
        <v>66</v>
      </c>
      <c r="D18" s="126" t="s">
        <v>59</v>
      </c>
      <c r="E18" s="4" t="s">
        <v>263</v>
      </c>
      <c r="F18" s="111" t="s">
        <v>463</v>
      </c>
      <c r="G18" s="132">
        <v>10</v>
      </c>
      <c r="H18" s="221"/>
      <c r="I18" s="220"/>
      <c r="J18" s="103">
        <v>5.94</v>
      </c>
      <c r="K18" s="127">
        <f t="shared" si="1"/>
        <v>0</v>
      </c>
      <c r="L18" s="127">
        <f t="shared" si="0"/>
        <v>0</v>
      </c>
      <c r="M18" s="221"/>
      <c r="N18" s="221"/>
      <c r="O18" s="148"/>
      <c r="P18" s="148"/>
    </row>
    <row r="19" spans="1:16" ht="15" customHeight="1" x14ac:dyDescent="0.25">
      <c r="A19" s="127">
        <v>17</v>
      </c>
      <c r="B19" s="8" t="s">
        <v>92</v>
      </c>
      <c r="C19" s="8" t="s">
        <v>66</v>
      </c>
      <c r="D19" s="126" t="s">
        <v>59</v>
      </c>
      <c r="E19" s="126" t="s">
        <v>558</v>
      </c>
      <c r="F19" s="111" t="s">
        <v>464</v>
      </c>
      <c r="G19" s="132">
        <v>10</v>
      </c>
      <c r="H19" s="219"/>
      <c r="I19" s="220"/>
      <c r="J19" s="103">
        <v>39.74</v>
      </c>
      <c r="K19" s="127">
        <f t="shared" si="1"/>
        <v>1</v>
      </c>
      <c r="L19" s="127">
        <f t="shared" si="0"/>
        <v>10</v>
      </c>
      <c r="M19" s="219"/>
      <c r="N19" s="219"/>
      <c r="O19" s="148"/>
      <c r="P19" s="148"/>
    </row>
    <row r="20" spans="1:16" ht="15" customHeight="1" x14ac:dyDescent="0.25">
      <c r="A20" s="127">
        <v>18</v>
      </c>
      <c r="B20" s="8" t="s">
        <v>92</v>
      </c>
      <c r="C20" s="8" t="s">
        <v>67</v>
      </c>
      <c r="D20" s="126" t="s">
        <v>59</v>
      </c>
      <c r="E20" s="126" t="s">
        <v>15</v>
      </c>
      <c r="F20" s="111" t="s">
        <v>465</v>
      </c>
      <c r="G20" s="132">
        <v>15</v>
      </c>
      <c r="H20" s="218">
        <f>G20+G21+G22</f>
        <v>30</v>
      </c>
      <c r="I20" s="220"/>
      <c r="J20" s="103">
        <v>30.4</v>
      </c>
      <c r="K20" s="127">
        <f t="shared" si="1"/>
        <v>1</v>
      </c>
      <c r="L20" s="127">
        <f t="shared" si="0"/>
        <v>15</v>
      </c>
      <c r="M20" s="218">
        <f>L20+L21+L22</f>
        <v>15</v>
      </c>
      <c r="N20" s="218">
        <f>M20/H20</f>
        <v>0.5</v>
      </c>
      <c r="O20" s="148"/>
      <c r="P20" s="148"/>
    </row>
    <row r="21" spans="1:16" ht="15" customHeight="1" x14ac:dyDescent="0.25">
      <c r="A21" s="127">
        <v>19</v>
      </c>
      <c r="B21" s="8" t="s">
        <v>92</v>
      </c>
      <c r="C21" s="8" t="s">
        <v>67</v>
      </c>
      <c r="D21" s="126" t="s">
        <v>59</v>
      </c>
      <c r="E21" s="4" t="s">
        <v>266</v>
      </c>
      <c r="F21" s="111" t="s">
        <v>466</v>
      </c>
      <c r="G21" s="132">
        <v>10</v>
      </c>
      <c r="H21" s="221"/>
      <c r="I21" s="220"/>
      <c r="J21" s="103">
        <v>0.01</v>
      </c>
      <c r="K21" s="127">
        <f t="shared" si="1"/>
        <v>0</v>
      </c>
      <c r="L21" s="127">
        <f t="shared" si="0"/>
        <v>0</v>
      </c>
      <c r="M21" s="221"/>
      <c r="N21" s="221"/>
      <c r="O21" s="148"/>
      <c r="P21" s="148"/>
    </row>
    <row r="22" spans="1:16" ht="15" customHeight="1" x14ac:dyDescent="0.25">
      <c r="A22" s="127">
        <v>20</v>
      </c>
      <c r="B22" s="8" t="s">
        <v>92</v>
      </c>
      <c r="C22" s="8" t="s">
        <v>67</v>
      </c>
      <c r="D22" s="126" t="s">
        <v>59</v>
      </c>
      <c r="E22" s="126" t="s">
        <v>559</v>
      </c>
      <c r="F22" s="111" t="s">
        <v>468</v>
      </c>
      <c r="G22" s="132">
        <v>5</v>
      </c>
      <c r="H22" s="219"/>
      <c r="I22" s="220"/>
      <c r="J22" s="103">
        <v>1</v>
      </c>
      <c r="K22" s="127">
        <f t="shared" si="1"/>
        <v>0</v>
      </c>
      <c r="L22" s="127">
        <f t="shared" si="0"/>
        <v>0</v>
      </c>
      <c r="M22" s="219"/>
      <c r="N22" s="219"/>
      <c r="O22" s="148"/>
      <c r="P22" s="148"/>
    </row>
    <row r="23" spans="1:16" ht="15" customHeight="1" x14ac:dyDescent="0.25">
      <c r="A23" s="127">
        <v>21</v>
      </c>
      <c r="B23" s="8" t="s">
        <v>92</v>
      </c>
      <c r="C23" s="8" t="s">
        <v>68</v>
      </c>
      <c r="D23" s="126" t="s">
        <v>59</v>
      </c>
      <c r="E23" s="126" t="s">
        <v>272</v>
      </c>
      <c r="F23" s="111" t="s">
        <v>471</v>
      </c>
      <c r="G23" s="132">
        <v>10</v>
      </c>
      <c r="H23" s="138">
        <f>G23</f>
        <v>10</v>
      </c>
      <c r="I23" s="220"/>
      <c r="J23" s="103">
        <v>96.84</v>
      </c>
      <c r="K23" s="127">
        <f t="shared" si="1"/>
        <v>4</v>
      </c>
      <c r="L23" s="127">
        <f t="shared" si="0"/>
        <v>40</v>
      </c>
      <c r="M23" s="140">
        <f>L23</f>
        <v>40</v>
      </c>
      <c r="N23" s="138">
        <f>M23/H23</f>
        <v>4</v>
      </c>
      <c r="O23" s="148"/>
      <c r="P23" s="148"/>
    </row>
    <row r="24" spans="1:16" ht="15" customHeight="1" x14ac:dyDescent="0.25">
      <c r="A24" s="127">
        <v>22</v>
      </c>
      <c r="B24" s="8" t="s">
        <v>93</v>
      </c>
      <c r="C24" s="8" t="s">
        <v>69</v>
      </c>
      <c r="D24" s="126" t="s">
        <v>59</v>
      </c>
      <c r="E24" s="4" t="s">
        <v>18</v>
      </c>
      <c r="F24" s="133" t="s">
        <v>472</v>
      </c>
      <c r="G24" s="132">
        <v>30</v>
      </c>
      <c r="H24" s="138">
        <f>G24</f>
        <v>30</v>
      </c>
      <c r="I24" s="220"/>
      <c r="J24" s="103">
        <v>3.31</v>
      </c>
      <c r="K24" s="127">
        <f>IF(J24&gt;=4,4,IF(AND(J24&lt;4,J24&gt;=3.5),3,IF(AND(J24&lt;3.5,J24&gt;=2.5),2,IF(AND(J24&lt;2.5,J24&gt;=2),1,IF(J24&lt;2,0)))))</f>
        <v>2</v>
      </c>
      <c r="L24" s="127">
        <f t="shared" si="0"/>
        <v>60</v>
      </c>
      <c r="M24" s="140">
        <f>L24</f>
        <v>60</v>
      </c>
      <c r="N24" s="138">
        <f>M24/H24</f>
        <v>2</v>
      </c>
      <c r="O24" s="148"/>
      <c r="P24" s="148"/>
    </row>
    <row r="25" spans="1:16" ht="15" customHeight="1" x14ac:dyDescent="0.25">
      <c r="A25" s="127">
        <v>23</v>
      </c>
      <c r="B25" s="8" t="s">
        <v>93</v>
      </c>
      <c r="C25" s="8" t="s">
        <v>433</v>
      </c>
      <c r="D25" s="126" t="s">
        <v>59</v>
      </c>
      <c r="E25" s="4" t="s">
        <v>276</v>
      </c>
      <c r="F25" s="111" t="s">
        <v>474</v>
      </c>
      <c r="G25" s="132">
        <v>3</v>
      </c>
      <c r="H25" s="218">
        <f>SUM(G25:G29)</f>
        <v>18</v>
      </c>
      <c r="I25" s="220">
        <f>SUM(H25:H49)</f>
        <v>227</v>
      </c>
      <c r="J25" s="103">
        <v>36.08</v>
      </c>
      <c r="K25" s="127">
        <f t="shared" si="1"/>
        <v>1</v>
      </c>
      <c r="L25" s="127">
        <f t="shared" si="0"/>
        <v>3</v>
      </c>
      <c r="M25" s="218">
        <f>SUM(L25:L29)</f>
        <v>43</v>
      </c>
      <c r="N25" s="218">
        <f>M25/H25</f>
        <v>2.3888888888888888</v>
      </c>
      <c r="O25" s="148">
        <f>SUM(M25:M49)</f>
        <v>388</v>
      </c>
      <c r="P25" s="148">
        <f>O25/I25</f>
        <v>1.7092511013215859</v>
      </c>
    </row>
    <row r="26" spans="1:16" ht="15" customHeight="1" x14ac:dyDescent="0.25">
      <c r="A26" s="127">
        <v>24</v>
      </c>
      <c r="B26" s="8" t="s">
        <v>93</v>
      </c>
      <c r="C26" s="8" t="s">
        <v>433</v>
      </c>
      <c r="D26" s="126" t="s">
        <v>59</v>
      </c>
      <c r="E26" s="4" t="s">
        <v>278</v>
      </c>
      <c r="F26" s="111" t="s">
        <v>475</v>
      </c>
      <c r="G26" s="132">
        <v>3</v>
      </c>
      <c r="H26" s="221"/>
      <c r="I26" s="220"/>
      <c r="J26" s="103">
        <v>3.15</v>
      </c>
      <c r="K26" s="127">
        <f t="shared" si="1"/>
        <v>0</v>
      </c>
      <c r="L26" s="127">
        <f t="shared" si="0"/>
        <v>0</v>
      </c>
      <c r="M26" s="221"/>
      <c r="N26" s="221"/>
      <c r="O26" s="148"/>
      <c r="P26" s="148"/>
    </row>
    <row r="27" spans="1:16" ht="15" customHeight="1" x14ac:dyDescent="0.25">
      <c r="A27" s="127">
        <v>25</v>
      </c>
      <c r="B27" s="8" t="s">
        <v>93</v>
      </c>
      <c r="C27" s="8" t="s">
        <v>433</v>
      </c>
      <c r="D27" s="126" t="s">
        <v>59</v>
      </c>
      <c r="E27" s="4" t="s">
        <v>560</v>
      </c>
      <c r="F27" s="111" t="s">
        <v>476</v>
      </c>
      <c r="G27" s="132">
        <v>4</v>
      </c>
      <c r="H27" s="221"/>
      <c r="I27" s="220"/>
      <c r="J27" s="103">
        <v>54</v>
      </c>
      <c r="K27" s="127">
        <f t="shared" si="1"/>
        <v>2</v>
      </c>
      <c r="L27" s="127">
        <f t="shared" si="0"/>
        <v>8</v>
      </c>
      <c r="M27" s="221"/>
      <c r="N27" s="221"/>
      <c r="O27" s="148"/>
      <c r="P27" s="148"/>
    </row>
    <row r="28" spans="1:16" ht="15" customHeight="1" x14ac:dyDescent="0.25">
      <c r="A28" s="127">
        <v>26</v>
      </c>
      <c r="B28" s="8" t="s">
        <v>93</v>
      </c>
      <c r="C28" s="8" t="s">
        <v>433</v>
      </c>
      <c r="D28" s="126" t="s">
        <v>59</v>
      </c>
      <c r="E28" s="4" t="s">
        <v>561</v>
      </c>
      <c r="F28" s="111" t="s">
        <v>477</v>
      </c>
      <c r="G28" s="132">
        <v>3</v>
      </c>
      <c r="H28" s="221"/>
      <c r="I28" s="220"/>
      <c r="J28" s="103" t="s">
        <v>125</v>
      </c>
      <c r="K28" s="127">
        <f t="shared" si="1"/>
        <v>4</v>
      </c>
      <c r="L28" s="127">
        <f t="shared" si="0"/>
        <v>12</v>
      </c>
      <c r="M28" s="221"/>
      <c r="N28" s="221"/>
      <c r="O28" s="148"/>
      <c r="P28" s="148"/>
    </row>
    <row r="29" spans="1:16" ht="15" customHeight="1" x14ac:dyDescent="0.25">
      <c r="A29" s="127">
        <v>27</v>
      </c>
      <c r="B29" s="8" t="s">
        <v>93</v>
      </c>
      <c r="C29" s="8" t="s">
        <v>433</v>
      </c>
      <c r="D29" s="126" t="s">
        <v>59</v>
      </c>
      <c r="E29" s="4" t="s">
        <v>562</v>
      </c>
      <c r="F29" s="111" t="s">
        <v>478</v>
      </c>
      <c r="G29" s="132">
        <v>5</v>
      </c>
      <c r="H29" s="219"/>
      <c r="I29" s="220"/>
      <c r="J29" s="103">
        <v>100</v>
      </c>
      <c r="K29" s="127">
        <f t="shared" si="1"/>
        <v>4</v>
      </c>
      <c r="L29" s="127">
        <f t="shared" si="0"/>
        <v>20</v>
      </c>
      <c r="M29" s="219"/>
      <c r="N29" s="219"/>
      <c r="O29" s="148"/>
      <c r="P29" s="148"/>
    </row>
    <row r="30" spans="1:16" ht="15" customHeight="1" x14ac:dyDescent="0.25">
      <c r="A30" s="127">
        <v>28</v>
      </c>
      <c r="B30" s="8" t="s">
        <v>93</v>
      </c>
      <c r="C30" s="8" t="s">
        <v>434</v>
      </c>
      <c r="D30" s="126" t="s">
        <v>59</v>
      </c>
      <c r="E30" s="4" t="s">
        <v>20</v>
      </c>
      <c r="F30" s="111" t="s">
        <v>479</v>
      </c>
      <c r="G30" s="132">
        <v>5</v>
      </c>
      <c r="H30" s="218">
        <f>G30+G31+G32</f>
        <v>20</v>
      </c>
      <c r="I30" s="220"/>
      <c r="J30" s="103">
        <v>437</v>
      </c>
      <c r="K30" s="127">
        <f>IF(EXACT(J30,"A"),4,IF(EXACT(J30,"B"),3,IF(EXACT(J30,"C"),2,IF(EXACT(J30,"D"),1,0))))</f>
        <v>0</v>
      </c>
      <c r="L30" s="127">
        <f t="shared" si="0"/>
        <v>0</v>
      </c>
      <c r="M30" s="218">
        <f>L30+L31+L32</f>
        <v>40</v>
      </c>
      <c r="N30" s="218">
        <f>M30/H30</f>
        <v>2</v>
      </c>
      <c r="O30" s="148"/>
      <c r="P30" s="148"/>
    </row>
    <row r="31" spans="1:16" ht="15" customHeight="1" x14ac:dyDescent="0.25">
      <c r="A31" s="127">
        <v>29</v>
      </c>
      <c r="B31" s="8" t="s">
        <v>93</v>
      </c>
      <c r="C31" s="8" t="s">
        <v>434</v>
      </c>
      <c r="D31" s="126" t="s">
        <v>59</v>
      </c>
      <c r="E31" s="4" t="s">
        <v>21</v>
      </c>
      <c r="F31" s="111" t="s">
        <v>480</v>
      </c>
      <c r="G31" s="132">
        <v>10</v>
      </c>
      <c r="H31" s="221"/>
      <c r="I31" s="220"/>
      <c r="J31" s="103">
        <v>702.65</v>
      </c>
      <c r="K31" s="127">
        <f t="shared" si="1"/>
        <v>4</v>
      </c>
      <c r="L31" s="127">
        <f t="shared" si="0"/>
        <v>40</v>
      </c>
      <c r="M31" s="221"/>
      <c r="N31" s="221"/>
      <c r="O31" s="148"/>
      <c r="P31" s="148"/>
    </row>
    <row r="32" spans="1:16" ht="15" customHeight="1" x14ac:dyDescent="0.25">
      <c r="A32" s="127">
        <v>30</v>
      </c>
      <c r="B32" s="8" t="s">
        <v>93</v>
      </c>
      <c r="C32" s="8" t="s">
        <v>434</v>
      </c>
      <c r="D32" s="126" t="s">
        <v>59</v>
      </c>
      <c r="E32" s="4" t="s">
        <v>282</v>
      </c>
      <c r="F32" s="111" t="s">
        <v>481</v>
      </c>
      <c r="G32" s="132">
        <v>5</v>
      </c>
      <c r="H32" s="219"/>
      <c r="I32" s="220"/>
      <c r="J32" s="103">
        <v>1.96</v>
      </c>
      <c r="K32" s="127">
        <f t="shared" si="1"/>
        <v>0</v>
      </c>
      <c r="L32" s="127">
        <f t="shared" si="0"/>
        <v>0</v>
      </c>
      <c r="M32" s="219"/>
      <c r="N32" s="219"/>
      <c r="O32" s="148"/>
      <c r="P32" s="148"/>
    </row>
    <row r="33" spans="1:22" ht="15" customHeight="1" x14ac:dyDescent="0.25">
      <c r="A33" s="127">
        <v>31</v>
      </c>
      <c r="B33" s="8" t="s">
        <v>93</v>
      </c>
      <c r="C33" s="8" t="s">
        <v>435</v>
      </c>
      <c r="D33" s="126" t="s">
        <v>59</v>
      </c>
      <c r="E33" s="126" t="s">
        <v>23</v>
      </c>
      <c r="F33" s="111" t="s">
        <v>483</v>
      </c>
      <c r="G33" s="132">
        <v>10</v>
      </c>
      <c r="H33" s="218">
        <f>G33+G34</f>
        <v>20</v>
      </c>
      <c r="I33" s="220"/>
      <c r="J33" s="103">
        <v>526</v>
      </c>
      <c r="K33" s="127">
        <f t="shared" si="1"/>
        <v>4</v>
      </c>
      <c r="L33" s="127">
        <f t="shared" si="0"/>
        <v>40</v>
      </c>
      <c r="M33" s="218">
        <f>L33+L34</f>
        <v>50</v>
      </c>
      <c r="N33" s="218">
        <f>M33/H33</f>
        <v>2.5</v>
      </c>
      <c r="O33" s="148"/>
      <c r="P33" s="148"/>
    </row>
    <row r="34" spans="1:22" ht="15" customHeight="1" x14ac:dyDescent="0.25">
      <c r="A34" s="127">
        <v>32</v>
      </c>
      <c r="B34" s="8" t="s">
        <v>93</v>
      </c>
      <c r="C34" s="8" t="s">
        <v>435</v>
      </c>
      <c r="D34" s="126" t="s">
        <v>59</v>
      </c>
      <c r="E34" s="126" t="s">
        <v>563</v>
      </c>
      <c r="F34" s="111" t="s">
        <v>484</v>
      </c>
      <c r="G34" s="132">
        <v>10</v>
      </c>
      <c r="H34" s="219"/>
      <c r="I34" s="220"/>
      <c r="J34" s="103">
        <v>34</v>
      </c>
      <c r="K34" s="127">
        <f t="shared" si="1"/>
        <v>1</v>
      </c>
      <c r="L34" s="127">
        <f t="shared" si="0"/>
        <v>10</v>
      </c>
      <c r="M34" s="219"/>
      <c r="N34" s="219"/>
      <c r="O34" s="148"/>
      <c r="P34" s="148"/>
    </row>
    <row r="35" spans="1:22" ht="15" customHeight="1" x14ac:dyDescent="0.25">
      <c r="A35" s="127">
        <v>33</v>
      </c>
      <c r="B35" s="8" t="s">
        <v>93</v>
      </c>
      <c r="C35" s="8" t="s">
        <v>436</v>
      </c>
      <c r="D35" s="126" t="s">
        <v>59</v>
      </c>
      <c r="E35" s="4" t="s">
        <v>24</v>
      </c>
      <c r="F35" s="111" t="s">
        <v>485</v>
      </c>
      <c r="G35" s="132">
        <v>5</v>
      </c>
      <c r="H35" s="218">
        <f>SUM(G35:G43)</f>
        <v>100</v>
      </c>
      <c r="I35" s="220"/>
      <c r="J35" s="103" t="s">
        <v>125</v>
      </c>
      <c r="K35" s="127">
        <f t="shared" si="1"/>
        <v>4</v>
      </c>
      <c r="L35" s="127">
        <f t="shared" si="0"/>
        <v>20</v>
      </c>
      <c r="M35" s="218">
        <f>SUM(L35:L43)</f>
        <v>95</v>
      </c>
      <c r="N35" s="218">
        <f>M35/H35</f>
        <v>0.95</v>
      </c>
      <c r="O35" s="148"/>
      <c r="P35" s="148"/>
    </row>
    <row r="36" spans="1:22" ht="15" customHeight="1" x14ac:dyDescent="0.25">
      <c r="A36" s="127">
        <v>34</v>
      </c>
      <c r="B36" s="8" t="s">
        <v>93</v>
      </c>
      <c r="C36" s="8" t="s">
        <v>436</v>
      </c>
      <c r="D36" s="126" t="s">
        <v>59</v>
      </c>
      <c r="E36" s="126" t="s">
        <v>25</v>
      </c>
      <c r="F36" s="111" t="s">
        <v>486</v>
      </c>
      <c r="G36" s="132">
        <v>5</v>
      </c>
      <c r="H36" s="221"/>
      <c r="I36" s="220"/>
      <c r="J36" s="103" t="s">
        <v>125</v>
      </c>
      <c r="K36" s="127">
        <f t="shared" si="1"/>
        <v>4</v>
      </c>
      <c r="L36" s="127">
        <f t="shared" si="0"/>
        <v>20</v>
      </c>
      <c r="M36" s="221"/>
      <c r="N36" s="221"/>
      <c r="O36" s="148"/>
      <c r="P36" s="148"/>
      <c r="S36" s="92"/>
      <c r="T36" s="92"/>
      <c r="U36" s="92"/>
      <c r="V36" s="92"/>
    </row>
    <row r="37" spans="1:22" ht="15" customHeight="1" x14ac:dyDescent="0.25">
      <c r="A37" s="127">
        <v>35</v>
      </c>
      <c r="B37" s="8" t="s">
        <v>93</v>
      </c>
      <c r="C37" s="8" t="s">
        <v>436</v>
      </c>
      <c r="D37" s="126" t="s">
        <v>59</v>
      </c>
      <c r="E37" s="4" t="s">
        <v>26</v>
      </c>
      <c r="F37" s="111" t="s">
        <v>487</v>
      </c>
      <c r="G37" s="132">
        <v>10</v>
      </c>
      <c r="H37" s="221"/>
      <c r="I37" s="220"/>
      <c r="J37" s="103">
        <v>13</v>
      </c>
      <c r="K37" s="127">
        <f t="shared" si="1"/>
        <v>0</v>
      </c>
      <c r="L37" s="127">
        <f t="shared" si="0"/>
        <v>0</v>
      </c>
      <c r="M37" s="221"/>
      <c r="N37" s="221"/>
      <c r="O37" s="148"/>
      <c r="P37" s="148"/>
      <c r="S37" s="92"/>
      <c r="T37" s="92"/>
      <c r="U37" s="92"/>
      <c r="V37" s="92"/>
    </row>
    <row r="38" spans="1:22" ht="15" customHeight="1" x14ac:dyDescent="0.25">
      <c r="A38" s="127">
        <v>36</v>
      </c>
      <c r="B38" s="8" t="s">
        <v>93</v>
      </c>
      <c r="C38" s="8" t="s">
        <v>436</v>
      </c>
      <c r="D38" s="126" t="s">
        <v>59</v>
      </c>
      <c r="E38" s="4" t="s">
        <v>291</v>
      </c>
      <c r="F38" s="111" t="s">
        <v>488</v>
      </c>
      <c r="G38" s="132">
        <v>10</v>
      </c>
      <c r="H38" s="221"/>
      <c r="I38" s="220"/>
      <c r="J38" s="103">
        <v>1.43</v>
      </c>
      <c r="K38" s="127">
        <f t="shared" si="1"/>
        <v>0</v>
      </c>
      <c r="L38" s="127">
        <f t="shared" si="0"/>
        <v>0</v>
      </c>
      <c r="M38" s="221"/>
      <c r="N38" s="221"/>
      <c r="O38" s="148"/>
      <c r="P38" s="148"/>
      <c r="S38" s="92"/>
      <c r="T38" s="92"/>
      <c r="U38" s="92"/>
      <c r="V38" s="92"/>
    </row>
    <row r="39" spans="1:22" ht="15" customHeight="1" x14ac:dyDescent="0.25">
      <c r="A39" s="127">
        <v>37</v>
      </c>
      <c r="B39" s="8" t="s">
        <v>93</v>
      </c>
      <c r="C39" s="8" t="s">
        <v>436</v>
      </c>
      <c r="D39" s="126" t="s">
        <v>59</v>
      </c>
      <c r="E39" s="126" t="s">
        <v>293</v>
      </c>
      <c r="F39" s="111" t="s">
        <v>489</v>
      </c>
      <c r="G39" s="132">
        <v>15</v>
      </c>
      <c r="H39" s="221"/>
      <c r="I39" s="220"/>
      <c r="J39" s="103">
        <v>3.62</v>
      </c>
      <c r="K39" s="127">
        <f t="shared" si="1"/>
        <v>0</v>
      </c>
      <c r="L39" s="127">
        <f t="shared" si="0"/>
        <v>0</v>
      </c>
      <c r="M39" s="221"/>
      <c r="N39" s="221"/>
      <c r="O39" s="148"/>
      <c r="P39" s="148"/>
      <c r="S39" s="92"/>
      <c r="T39" s="92"/>
      <c r="U39" s="92"/>
      <c r="V39" s="92"/>
    </row>
    <row r="40" spans="1:22" ht="15" customHeight="1" x14ac:dyDescent="0.25">
      <c r="A40" s="127">
        <v>38</v>
      </c>
      <c r="B40" s="8" t="s">
        <v>93</v>
      </c>
      <c r="C40" s="8" t="s">
        <v>436</v>
      </c>
      <c r="D40" s="126" t="s">
        <v>59</v>
      </c>
      <c r="E40" s="126" t="s">
        <v>295</v>
      </c>
      <c r="F40" s="111" t="s">
        <v>490</v>
      </c>
      <c r="G40" s="132">
        <v>15</v>
      </c>
      <c r="H40" s="221"/>
      <c r="I40" s="220"/>
      <c r="J40" s="103">
        <v>0</v>
      </c>
      <c r="K40" s="127">
        <f t="shared" si="1"/>
        <v>0</v>
      </c>
      <c r="L40" s="127">
        <f t="shared" si="0"/>
        <v>0</v>
      </c>
      <c r="M40" s="221"/>
      <c r="N40" s="221"/>
      <c r="O40" s="148"/>
      <c r="P40" s="148"/>
      <c r="S40" s="92"/>
      <c r="T40" s="92"/>
      <c r="U40" s="92"/>
      <c r="V40" s="92"/>
    </row>
    <row r="41" spans="1:22" ht="15" customHeight="1" x14ac:dyDescent="0.25">
      <c r="A41" s="127">
        <v>39</v>
      </c>
      <c r="B41" s="8" t="s">
        <v>93</v>
      </c>
      <c r="C41" s="8" t="s">
        <v>436</v>
      </c>
      <c r="D41" s="126" t="s">
        <v>59</v>
      </c>
      <c r="E41" s="4" t="s">
        <v>564</v>
      </c>
      <c r="F41" s="111" t="s">
        <v>491</v>
      </c>
      <c r="G41" s="132">
        <v>10</v>
      </c>
      <c r="H41" s="221"/>
      <c r="I41" s="220"/>
      <c r="J41" s="103" t="s">
        <v>127</v>
      </c>
      <c r="K41" s="127">
        <f t="shared" si="1"/>
        <v>4</v>
      </c>
      <c r="L41" s="127">
        <f t="shared" si="0"/>
        <v>40</v>
      </c>
      <c r="M41" s="221"/>
      <c r="N41" s="221"/>
      <c r="O41" s="148"/>
      <c r="P41" s="148"/>
      <c r="S41" s="92"/>
      <c r="T41" s="92"/>
      <c r="U41" s="92"/>
      <c r="V41" s="92"/>
    </row>
    <row r="42" spans="1:22" ht="15" customHeight="1" x14ac:dyDescent="0.25">
      <c r="A42" s="127">
        <v>40</v>
      </c>
      <c r="B42" s="8" t="s">
        <v>93</v>
      </c>
      <c r="C42" s="8" t="s">
        <v>436</v>
      </c>
      <c r="D42" s="126" t="s">
        <v>59</v>
      </c>
      <c r="E42" s="126" t="s">
        <v>565</v>
      </c>
      <c r="F42" s="111" t="s">
        <v>492</v>
      </c>
      <c r="G42" s="132">
        <v>15</v>
      </c>
      <c r="H42" s="221"/>
      <c r="I42" s="220"/>
      <c r="J42" s="103">
        <v>7.39</v>
      </c>
      <c r="K42" s="127">
        <f t="shared" si="1"/>
        <v>0</v>
      </c>
      <c r="L42" s="127">
        <f t="shared" si="0"/>
        <v>0</v>
      </c>
      <c r="M42" s="221"/>
      <c r="N42" s="221"/>
      <c r="O42" s="148"/>
      <c r="P42" s="148"/>
      <c r="S42" s="92"/>
      <c r="T42" s="92"/>
      <c r="U42" s="92"/>
      <c r="V42" s="92"/>
    </row>
    <row r="43" spans="1:22" ht="15" customHeight="1" x14ac:dyDescent="0.25">
      <c r="A43" s="127">
        <v>41</v>
      </c>
      <c r="B43" s="8" t="s">
        <v>93</v>
      </c>
      <c r="C43" s="8" t="s">
        <v>436</v>
      </c>
      <c r="D43" s="126" t="s">
        <v>59</v>
      </c>
      <c r="E43" s="4" t="s">
        <v>566</v>
      </c>
      <c r="F43" s="111" t="s">
        <v>493</v>
      </c>
      <c r="G43" s="132">
        <v>15</v>
      </c>
      <c r="H43" s="219"/>
      <c r="I43" s="220"/>
      <c r="J43" s="103">
        <v>26</v>
      </c>
      <c r="K43" s="127">
        <f t="shared" si="1"/>
        <v>1</v>
      </c>
      <c r="L43" s="127">
        <f t="shared" si="0"/>
        <v>15</v>
      </c>
      <c r="M43" s="219"/>
      <c r="N43" s="219"/>
      <c r="O43" s="148"/>
      <c r="P43" s="148"/>
      <c r="S43" s="92"/>
      <c r="T43" s="92"/>
      <c r="U43" s="92"/>
      <c r="V43" s="92"/>
    </row>
    <row r="44" spans="1:22" ht="15" customHeight="1" x14ac:dyDescent="0.25">
      <c r="A44" s="127">
        <v>42</v>
      </c>
      <c r="B44" s="8" t="s">
        <v>94</v>
      </c>
      <c r="C44" s="8" t="s">
        <v>437</v>
      </c>
      <c r="D44" s="126" t="s">
        <v>59</v>
      </c>
      <c r="E44" s="126" t="s">
        <v>298</v>
      </c>
      <c r="F44" s="111" t="s">
        <v>495</v>
      </c>
      <c r="G44" s="132">
        <v>15</v>
      </c>
      <c r="H44" s="138">
        <f>G44</f>
        <v>15</v>
      </c>
      <c r="I44" s="220"/>
      <c r="J44" s="103">
        <v>296.64999999999998</v>
      </c>
      <c r="K44" s="127">
        <f t="shared" si="1"/>
        <v>4</v>
      </c>
      <c r="L44" s="127">
        <f t="shared" si="0"/>
        <v>60</v>
      </c>
      <c r="M44" s="140">
        <f>L44</f>
        <v>60</v>
      </c>
      <c r="N44" s="138">
        <f>M44/H44</f>
        <v>4</v>
      </c>
      <c r="O44" s="148"/>
      <c r="P44" s="148"/>
      <c r="S44" s="92"/>
      <c r="T44" s="92"/>
      <c r="U44" s="92"/>
      <c r="V44" s="92"/>
    </row>
    <row r="45" spans="1:22" ht="15" customHeight="1" x14ac:dyDescent="0.25">
      <c r="A45" s="127">
        <v>43</v>
      </c>
      <c r="B45" s="8" t="s">
        <v>94</v>
      </c>
      <c r="C45" s="8" t="s">
        <v>438</v>
      </c>
      <c r="D45" s="126" t="s">
        <v>59</v>
      </c>
      <c r="E45" s="126" t="s">
        <v>302</v>
      </c>
      <c r="F45" s="111" t="s">
        <v>497</v>
      </c>
      <c r="G45" s="132">
        <v>10</v>
      </c>
      <c r="H45" s="218">
        <f>G45+G46+G47</f>
        <v>34</v>
      </c>
      <c r="I45" s="220"/>
      <c r="J45" s="103">
        <v>9</v>
      </c>
      <c r="K45" s="127">
        <f>IF(EXACT(J45,"A"),4,IF(EXACT(J45,"B"),3,IF(EXACT(J45,"C"),2,IF(EXACT(J45,"D"),1,0))))</f>
        <v>0</v>
      </c>
      <c r="L45" s="127">
        <f t="shared" si="0"/>
        <v>0</v>
      </c>
      <c r="M45" s="218">
        <f>L45+L46+L47</f>
        <v>60</v>
      </c>
      <c r="N45" s="218">
        <f>M45/H45</f>
        <v>1.7647058823529411</v>
      </c>
      <c r="O45" s="148"/>
      <c r="P45" s="148"/>
      <c r="S45" s="92"/>
      <c r="T45" s="92"/>
      <c r="U45" s="92"/>
      <c r="V45" s="92"/>
    </row>
    <row r="46" spans="1:22" ht="15" customHeight="1" x14ac:dyDescent="0.25">
      <c r="A46" s="127">
        <v>44</v>
      </c>
      <c r="B46" s="8" t="s">
        <v>94</v>
      </c>
      <c r="C46" s="8" t="s">
        <v>438</v>
      </c>
      <c r="D46" s="126" t="s">
        <v>59</v>
      </c>
      <c r="E46" s="126" t="s">
        <v>304</v>
      </c>
      <c r="F46" s="111" t="s">
        <v>498</v>
      </c>
      <c r="G46" s="132">
        <v>12</v>
      </c>
      <c r="H46" s="221"/>
      <c r="I46" s="220"/>
      <c r="J46" s="103">
        <v>64</v>
      </c>
      <c r="K46" s="127">
        <f t="shared" si="1"/>
        <v>3</v>
      </c>
      <c r="L46" s="127">
        <f t="shared" si="0"/>
        <v>36</v>
      </c>
      <c r="M46" s="221"/>
      <c r="N46" s="221"/>
      <c r="O46" s="148"/>
      <c r="P46" s="148"/>
      <c r="S46" s="92"/>
      <c r="T46" s="92"/>
      <c r="U46" s="92"/>
      <c r="V46" s="92"/>
    </row>
    <row r="47" spans="1:22" ht="15" customHeight="1" x14ac:dyDescent="0.25">
      <c r="A47" s="127">
        <v>45</v>
      </c>
      <c r="B47" s="8" t="s">
        <v>94</v>
      </c>
      <c r="C47" s="8" t="s">
        <v>438</v>
      </c>
      <c r="D47" s="126" t="s">
        <v>59</v>
      </c>
      <c r="E47" s="126" t="s">
        <v>306</v>
      </c>
      <c r="F47" s="111" t="s">
        <v>499</v>
      </c>
      <c r="G47" s="132">
        <v>12</v>
      </c>
      <c r="H47" s="219"/>
      <c r="I47" s="220"/>
      <c r="J47" s="103">
        <v>42.43</v>
      </c>
      <c r="K47" s="127">
        <f t="shared" si="1"/>
        <v>2</v>
      </c>
      <c r="L47" s="127">
        <f t="shared" si="0"/>
        <v>24</v>
      </c>
      <c r="M47" s="219"/>
      <c r="N47" s="219"/>
      <c r="O47" s="148"/>
      <c r="P47" s="148"/>
      <c r="S47" s="92"/>
      <c r="T47" s="92"/>
      <c r="U47" s="92"/>
      <c r="V47" s="92"/>
    </row>
    <row r="48" spans="1:22" ht="15" customHeight="1" x14ac:dyDescent="0.25">
      <c r="A48" s="127">
        <v>46</v>
      </c>
      <c r="B48" s="8" t="s">
        <v>94</v>
      </c>
      <c r="C48" s="8" t="s">
        <v>439</v>
      </c>
      <c r="D48" s="126" t="s">
        <v>59</v>
      </c>
      <c r="E48" s="126" t="s">
        <v>308</v>
      </c>
      <c r="F48" s="111" t="s">
        <v>500</v>
      </c>
      <c r="G48" s="132">
        <v>10</v>
      </c>
      <c r="H48" s="218">
        <f>G49+G48</f>
        <v>20</v>
      </c>
      <c r="I48" s="220"/>
      <c r="J48" s="103">
        <v>3</v>
      </c>
      <c r="K48" s="127">
        <f t="shared" si="1"/>
        <v>0</v>
      </c>
      <c r="L48" s="127">
        <f t="shared" si="0"/>
        <v>0</v>
      </c>
      <c r="M48" s="218">
        <f>L49+L48</f>
        <v>40</v>
      </c>
      <c r="N48" s="218">
        <f>M48/H48</f>
        <v>2</v>
      </c>
      <c r="O48" s="148"/>
      <c r="P48" s="148"/>
      <c r="S48" s="92"/>
      <c r="T48" s="92"/>
      <c r="U48" s="92"/>
      <c r="V48" s="92"/>
    </row>
    <row r="49" spans="1:22" ht="15" customHeight="1" x14ac:dyDescent="0.25">
      <c r="A49" s="127">
        <v>47</v>
      </c>
      <c r="B49" s="8" t="s">
        <v>94</v>
      </c>
      <c r="C49" s="8" t="s">
        <v>439</v>
      </c>
      <c r="D49" s="126" t="s">
        <v>59</v>
      </c>
      <c r="E49" s="126" t="s">
        <v>310</v>
      </c>
      <c r="F49" s="111" t="s">
        <v>501</v>
      </c>
      <c r="G49" s="132">
        <v>10</v>
      </c>
      <c r="H49" s="219"/>
      <c r="I49" s="220"/>
      <c r="J49" s="103">
        <v>102</v>
      </c>
      <c r="K49" s="127">
        <f t="shared" si="1"/>
        <v>4</v>
      </c>
      <c r="L49" s="127">
        <f t="shared" si="0"/>
        <v>40</v>
      </c>
      <c r="M49" s="219"/>
      <c r="N49" s="219"/>
      <c r="O49" s="148"/>
      <c r="P49" s="148"/>
      <c r="S49" s="92"/>
      <c r="T49" s="92"/>
      <c r="U49" s="92"/>
      <c r="V49" s="92"/>
    </row>
    <row r="50" spans="1:22" ht="15" customHeight="1" x14ac:dyDescent="0.25">
      <c r="A50" s="127">
        <v>48</v>
      </c>
      <c r="B50" s="8" t="s">
        <v>94</v>
      </c>
      <c r="C50" s="8" t="s">
        <v>75</v>
      </c>
      <c r="D50" s="126" t="s">
        <v>59</v>
      </c>
      <c r="E50" s="126" t="s">
        <v>316</v>
      </c>
      <c r="F50" s="111" t="s">
        <v>505</v>
      </c>
      <c r="G50" s="132">
        <v>10</v>
      </c>
      <c r="H50" s="138">
        <f>G50</f>
        <v>10</v>
      </c>
      <c r="I50" s="220">
        <f>SUM(H50:H58)</f>
        <v>61</v>
      </c>
      <c r="J50" s="103">
        <v>59.15</v>
      </c>
      <c r="K50" s="127">
        <f>IF(EXACT(J50,"A"),4,IF(EXACT(J50,"B"),3,IF(EXACT(J50,"C"),2,IF(EXACT(J50,"D"),1,0))))</f>
        <v>0</v>
      </c>
      <c r="L50" s="127">
        <f t="shared" si="0"/>
        <v>0</v>
      </c>
      <c r="M50" s="140">
        <f>L50</f>
        <v>0</v>
      </c>
      <c r="N50" s="138">
        <f>M50/H50</f>
        <v>0</v>
      </c>
      <c r="O50" s="148">
        <f>SUM(M50:M58)</f>
        <v>94</v>
      </c>
      <c r="P50" s="148">
        <f>O50/I50</f>
        <v>1.540983606557377</v>
      </c>
      <c r="S50" s="92"/>
      <c r="T50" s="92"/>
      <c r="U50" s="92"/>
      <c r="V50" s="92"/>
    </row>
    <row r="51" spans="1:22" ht="15" customHeight="1" x14ac:dyDescent="0.25">
      <c r="A51" s="127">
        <v>49</v>
      </c>
      <c r="B51" s="8" t="s">
        <v>94</v>
      </c>
      <c r="C51" s="8" t="s">
        <v>76</v>
      </c>
      <c r="D51" s="126" t="s">
        <v>59</v>
      </c>
      <c r="E51" s="126" t="s">
        <v>319</v>
      </c>
      <c r="F51" s="111" t="s">
        <v>507</v>
      </c>
      <c r="G51" s="132">
        <v>6</v>
      </c>
      <c r="H51" s="218">
        <f>G51+G52+G53</f>
        <v>16</v>
      </c>
      <c r="I51" s="220"/>
      <c r="J51" s="103" t="s">
        <v>125</v>
      </c>
      <c r="K51" s="127">
        <f t="shared" si="1"/>
        <v>4</v>
      </c>
      <c r="L51" s="127">
        <f t="shared" si="0"/>
        <v>24</v>
      </c>
      <c r="M51" s="218">
        <f>L51+L52+L53</f>
        <v>54</v>
      </c>
      <c r="N51" s="218">
        <f>M51/H51</f>
        <v>3.375</v>
      </c>
      <c r="O51" s="148"/>
      <c r="P51" s="148"/>
      <c r="S51" s="92"/>
      <c r="T51" s="92"/>
      <c r="U51" s="92"/>
      <c r="V51" s="92"/>
    </row>
    <row r="52" spans="1:22" ht="15" customHeight="1" x14ac:dyDescent="0.25">
      <c r="A52" s="127">
        <v>50</v>
      </c>
      <c r="B52" s="8" t="s">
        <v>94</v>
      </c>
      <c r="C52" s="8" t="s">
        <v>76</v>
      </c>
      <c r="D52" s="126" t="s">
        <v>59</v>
      </c>
      <c r="E52" s="126" t="s">
        <v>321</v>
      </c>
      <c r="F52" s="111" t="s">
        <v>508</v>
      </c>
      <c r="G52" s="132">
        <v>5</v>
      </c>
      <c r="H52" s="221"/>
      <c r="I52" s="220"/>
      <c r="J52" s="103">
        <v>95</v>
      </c>
      <c r="K52" s="127">
        <f t="shared" si="1"/>
        <v>4</v>
      </c>
      <c r="L52" s="127">
        <f t="shared" si="0"/>
        <v>20</v>
      </c>
      <c r="M52" s="221"/>
      <c r="N52" s="221"/>
      <c r="O52" s="148"/>
      <c r="P52" s="148"/>
      <c r="S52" s="92"/>
      <c r="T52" s="92"/>
      <c r="U52" s="92"/>
      <c r="V52" s="92"/>
    </row>
    <row r="53" spans="1:22" ht="15" customHeight="1" x14ac:dyDescent="0.25">
      <c r="A53" s="127">
        <v>51</v>
      </c>
      <c r="B53" s="8" t="s">
        <v>95</v>
      </c>
      <c r="C53" s="8" t="s">
        <v>76</v>
      </c>
      <c r="D53" s="126" t="s">
        <v>59</v>
      </c>
      <c r="E53" s="126" t="s">
        <v>323</v>
      </c>
      <c r="F53" s="111" t="s">
        <v>509</v>
      </c>
      <c r="G53" s="132">
        <v>5</v>
      </c>
      <c r="H53" s="219"/>
      <c r="I53" s="220"/>
      <c r="J53" s="103">
        <v>51.47</v>
      </c>
      <c r="K53" s="127">
        <f t="shared" si="1"/>
        <v>2</v>
      </c>
      <c r="L53" s="127">
        <f t="shared" si="0"/>
        <v>10</v>
      </c>
      <c r="M53" s="219"/>
      <c r="N53" s="219"/>
      <c r="O53" s="148"/>
      <c r="P53" s="148"/>
      <c r="S53" s="92"/>
      <c r="T53" s="92"/>
      <c r="U53" s="92"/>
      <c r="V53" s="92"/>
    </row>
    <row r="54" spans="1:22" ht="15" customHeight="1" x14ac:dyDescent="0.25">
      <c r="A54" s="127">
        <v>52</v>
      </c>
      <c r="B54" s="8" t="s">
        <v>95</v>
      </c>
      <c r="C54" s="8" t="s">
        <v>77</v>
      </c>
      <c r="D54" s="126" t="s">
        <v>59</v>
      </c>
      <c r="E54" s="126" t="s">
        <v>31</v>
      </c>
      <c r="F54" s="111" t="s">
        <v>510</v>
      </c>
      <c r="G54" s="132">
        <v>5</v>
      </c>
      <c r="H54" s="218">
        <f>G54+G55+G56+G57</f>
        <v>25</v>
      </c>
      <c r="I54" s="220"/>
      <c r="J54" s="103">
        <v>100</v>
      </c>
      <c r="K54" s="127">
        <f>IF(EXACT(J54,"A"),4,IF(EXACT(J54,"B"),3,IF(EXACT(J54,"C"),2,IF(EXACT(J54,"D"),1,0))))</f>
        <v>0</v>
      </c>
      <c r="L54" s="127">
        <f t="shared" si="0"/>
        <v>0</v>
      </c>
      <c r="M54" s="218">
        <f>L54+L55+L56+L57</f>
        <v>40</v>
      </c>
      <c r="N54" s="218">
        <f>M54/H54</f>
        <v>1.6</v>
      </c>
      <c r="O54" s="148"/>
      <c r="P54" s="148"/>
      <c r="S54" s="92"/>
      <c r="T54" s="92"/>
      <c r="U54" s="92"/>
      <c r="V54" s="92"/>
    </row>
    <row r="55" spans="1:22" ht="15" customHeight="1" x14ac:dyDescent="0.25">
      <c r="A55" s="127">
        <v>53</v>
      </c>
      <c r="B55" s="8" t="s">
        <v>95</v>
      </c>
      <c r="C55" s="8" t="s">
        <v>77</v>
      </c>
      <c r="D55" s="126" t="s">
        <v>59</v>
      </c>
      <c r="E55" s="126" t="s">
        <v>327</v>
      </c>
      <c r="F55" s="133" t="s">
        <v>512</v>
      </c>
      <c r="G55" s="132">
        <v>10</v>
      </c>
      <c r="H55" s="221"/>
      <c r="I55" s="220"/>
      <c r="J55" s="103">
        <v>0.25</v>
      </c>
      <c r="K55" s="127">
        <f t="shared" si="1"/>
        <v>0</v>
      </c>
      <c r="L55" s="127">
        <f t="shared" si="0"/>
        <v>0</v>
      </c>
      <c r="M55" s="221"/>
      <c r="N55" s="221"/>
      <c r="O55" s="148"/>
      <c r="P55" s="148"/>
      <c r="S55" s="92"/>
      <c r="T55" s="92"/>
      <c r="U55" s="92"/>
      <c r="V55" s="92"/>
    </row>
    <row r="56" spans="1:22" ht="15" customHeight="1" x14ac:dyDescent="0.25">
      <c r="A56" s="127">
        <v>54</v>
      </c>
      <c r="B56" s="8" t="s">
        <v>95</v>
      </c>
      <c r="C56" s="8" t="s">
        <v>77</v>
      </c>
      <c r="D56" s="126" t="s">
        <v>59</v>
      </c>
      <c r="E56" s="126" t="s">
        <v>329</v>
      </c>
      <c r="F56" s="111" t="s">
        <v>513</v>
      </c>
      <c r="G56" s="132">
        <v>5</v>
      </c>
      <c r="H56" s="221"/>
      <c r="I56" s="220"/>
      <c r="J56" s="103" t="s">
        <v>125</v>
      </c>
      <c r="K56" s="127">
        <f>IF(EXACT(J56,"A"),4,IF(EXACT(J56,"B"),3,IF(EXACT(J56,"C"),2,IF(EXACT(J56,"D"),1,0))))</f>
        <v>4</v>
      </c>
      <c r="L56" s="127">
        <f t="shared" si="0"/>
        <v>20</v>
      </c>
      <c r="M56" s="221"/>
      <c r="N56" s="221"/>
      <c r="O56" s="148"/>
      <c r="P56" s="148"/>
      <c r="S56" s="92"/>
      <c r="T56" s="92"/>
      <c r="U56" s="92"/>
      <c r="V56" s="92"/>
    </row>
    <row r="57" spans="1:22" ht="15" customHeight="1" x14ac:dyDescent="0.25">
      <c r="A57" s="127">
        <v>55</v>
      </c>
      <c r="B57" s="8" t="s">
        <v>95</v>
      </c>
      <c r="C57" s="8" t="s">
        <v>77</v>
      </c>
      <c r="D57" s="126" t="s">
        <v>59</v>
      </c>
      <c r="E57" s="126" t="s">
        <v>567</v>
      </c>
      <c r="F57" s="111" t="s">
        <v>514</v>
      </c>
      <c r="G57" s="132">
        <v>5</v>
      </c>
      <c r="H57" s="219"/>
      <c r="I57" s="220"/>
      <c r="J57" s="103" t="s">
        <v>125</v>
      </c>
      <c r="K57" s="127">
        <f t="shared" si="1"/>
        <v>4</v>
      </c>
      <c r="L57" s="127">
        <f t="shared" si="0"/>
        <v>20</v>
      </c>
      <c r="M57" s="219"/>
      <c r="N57" s="219"/>
      <c r="O57" s="148"/>
      <c r="P57" s="148"/>
      <c r="S57" s="92"/>
      <c r="T57" s="92"/>
      <c r="U57" s="92"/>
      <c r="V57" s="92"/>
    </row>
    <row r="58" spans="1:22" ht="15" customHeight="1" x14ac:dyDescent="0.25">
      <c r="A58" s="127">
        <v>56</v>
      </c>
      <c r="B58" s="8" t="s">
        <v>95</v>
      </c>
      <c r="C58" s="8" t="s">
        <v>78</v>
      </c>
      <c r="D58" s="126" t="s">
        <v>59</v>
      </c>
      <c r="E58" s="126" t="s">
        <v>33</v>
      </c>
      <c r="F58" s="111" t="s">
        <v>515</v>
      </c>
      <c r="G58" s="132">
        <v>10</v>
      </c>
      <c r="H58" s="138">
        <f>G58</f>
        <v>10</v>
      </c>
      <c r="I58" s="220"/>
      <c r="J58" s="103">
        <v>12.51</v>
      </c>
      <c r="K58" s="127">
        <f t="shared" si="1"/>
        <v>0</v>
      </c>
      <c r="L58" s="127">
        <f t="shared" si="0"/>
        <v>0</v>
      </c>
      <c r="M58" s="140">
        <f>L58</f>
        <v>0</v>
      </c>
      <c r="N58" s="138">
        <f>M58/H58</f>
        <v>0</v>
      </c>
      <c r="O58" s="148"/>
      <c r="P58" s="148"/>
      <c r="S58" s="92"/>
      <c r="T58" s="92"/>
      <c r="U58" s="92"/>
      <c r="V58" s="92"/>
    </row>
    <row r="59" spans="1:22" ht="15" customHeight="1" x14ac:dyDescent="0.25">
      <c r="A59" s="127">
        <v>57</v>
      </c>
      <c r="B59" s="8" t="s">
        <v>95</v>
      </c>
      <c r="C59" s="8" t="s">
        <v>79</v>
      </c>
      <c r="D59" s="126" t="s">
        <v>59</v>
      </c>
      <c r="E59" s="126" t="s">
        <v>34</v>
      </c>
      <c r="F59" s="111" t="s">
        <v>517</v>
      </c>
      <c r="G59" s="132">
        <v>10</v>
      </c>
      <c r="H59" s="218">
        <f>SUM(G59:G62)</f>
        <v>30</v>
      </c>
      <c r="I59" s="220">
        <f>SUM(H59:H68)</f>
        <v>93</v>
      </c>
      <c r="J59" s="103">
        <v>11.28</v>
      </c>
      <c r="K59" s="127">
        <f t="shared" si="1"/>
        <v>0</v>
      </c>
      <c r="L59" s="127">
        <f t="shared" si="0"/>
        <v>0</v>
      </c>
      <c r="M59" s="218">
        <f>SUM(L59:L62)</f>
        <v>50</v>
      </c>
      <c r="N59" s="218">
        <f>M59/H59</f>
        <v>1.6666666666666667</v>
      </c>
      <c r="O59" s="148">
        <f>SUM(M59:M68)</f>
        <v>125</v>
      </c>
      <c r="P59" s="148">
        <f>O59/I59</f>
        <v>1.3440860215053763</v>
      </c>
      <c r="S59" s="92"/>
      <c r="T59" s="92"/>
      <c r="U59" s="92"/>
      <c r="V59" s="92"/>
    </row>
    <row r="60" spans="1:22" ht="15" customHeight="1" x14ac:dyDescent="0.25">
      <c r="A60" s="127">
        <v>58</v>
      </c>
      <c r="B60" s="8" t="s">
        <v>95</v>
      </c>
      <c r="C60" s="8" t="s">
        <v>79</v>
      </c>
      <c r="D60" s="126" t="s">
        <v>59</v>
      </c>
      <c r="E60" s="126" t="s">
        <v>35</v>
      </c>
      <c r="F60" s="111" t="s">
        <v>518</v>
      </c>
      <c r="G60" s="132">
        <v>10</v>
      </c>
      <c r="H60" s="221"/>
      <c r="I60" s="220"/>
      <c r="J60" s="103">
        <v>21.89</v>
      </c>
      <c r="K60" s="127">
        <f t="shared" si="1"/>
        <v>1</v>
      </c>
      <c r="L60" s="127">
        <f t="shared" si="0"/>
        <v>10</v>
      </c>
      <c r="M60" s="221"/>
      <c r="N60" s="221"/>
      <c r="O60" s="148"/>
      <c r="P60" s="148"/>
      <c r="S60" s="92"/>
      <c r="T60" s="92"/>
      <c r="U60" s="92"/>
      <c r="V60" s="92"/>
    </row>
    <row r="61" spans="1:22" ht="15" customHeight="1" x14ac:dyDescent="0.25">
      <c r="A61" s="127">
        <v>59</v>
      </c>
      <c r="B61" s="8" t="s">
        <v>95</v>
      </c>
      <c r="C61" s="8" t="s">
        <v>79</v>
      </c>
      <c r="D61" s="126" t="s">
        <v>59</v>
      </c>
      <c r="E61" s="126" t="s">
        <v>36</v>
      </c>
      <c r="F61" s="111" t="s">
        <v>519</v>
      </c>
      <c r="G61" s="132">
        <v>5</v>
      </c>
      <c r="H61" s="221"/>
      <c r="I61" s="220"/>
      <c r="J61" s="103" t="s">
        <v>125</v>
      </c>
      <c r="K61" s="127">
        <f t="shared" si="1"/>
        <v>4</v>
      </c>
      <c r="L61" s="127">
        <f t="shared" si="0"/>
        <v>20</v>
      </c>
      <c r="M61" s="221"/>
      <c r="N61" s="221"/>
      <c r="O61" s="148"/>
      <c r="P61" s="148"/>
      <c r="S61" s="92"/>
      <c r="T61" s="92"/>
      <c r="U61" s="92"/>
      <c r="V61" s="92"/>
    </row>
    <row r="62" spans="1:22" ht="15" customHeight="1" x14ac:dyDescent="0.25">
      <c r="A62" s="127">
        <v>60</v>
      </c>
      <c r="B62" s="8" t="s">
        <v>95</v>
      </c>
      <c r="C62" s="8" t="s">
        <v>79</v>
      </c>
      <c r="D62" s="126" t="s">
        <v>59</v>
      </c>
      <c r="E62" s="126" t="s">
        <v>37</v>
      </c>
      <c r="F62" s="111" t="s">
        <v>520</v>
      </c>
      <c r="G62" s="132">
        <v>5</v>
      </c>
      <c r="H62" s="219"/>
      <c r="I62" s="220"/>
      <c r="J62" s="103" t="s">
        <v>125</v>
      </c>
      <c r="K62" s="127">
        <f>IF(EXACT(J62,"A"),4,IF(EXACT(J62,"B"),3,IF(EXACT(J62,"C"),2,IF(EXACT(J62,"D"),1,0))))</f>
        <v>4</v>
      </c>
      <c r="L62" s="127">
        <f t="shared" si="0"/>
        <v>20</v>
      </c>
      <c r="M62" s="219"/>
      <c r="N62" s="219"/>
      <c r="O62" s="148"/>
      <c r="P62" s="148"/>
      <c r="S62" s="92"/>
      <c r="T62" s="92"/>
      <c r="U62" s="92"/>
      <c r="V62" s="92"/>
    </row>
    <row r="63" spans="1:22" ht="15" customHeight="1" x14ac:dyDescent="0.25">
      <c r="A63" s="127">
        <v>61</v>
      </c>
      <c r="B63" s="8" t="s">
        <v>95</v>
      </c>
      <c r="C63" s="8" t="s">
        <v>80</v>
      </c>
      <c r="D63" s="126" t="s">
        <v>59</v>
      </c>
      <c r="E63" s="126" t="s">
        <v>38</v>
      </c>
      <c r="F63" s="111" t="s">
        <v>521</v>
      </c>
      <c r="G63" s="132">
        <v>10</v>
      </c>
      <c r="H63" s="218">
        <f>SUM(G63:G65)</f>
        <v>40</v>
      </c>
      <c r="I63" s="220"/>
      <c r="J63" s="103">
        <v>100</v>
      </c>
      <c r="K63" s="127">
        <f>IF(EXACT(J63,"A"),4,IF(EXACT(J63,"B"),3,IF(EXACT(J63,"C"),2,IF(EXACT(J63,"D"),1,0))))</f>
        <v>0</v>
      </c>
      <c r="L63" s="127">
        <f t="shared" si="0"/>
        <v>0</v>
      </c>
      <c r="M63" s="218">
        <f>SUM(L63:L65)</f>
        <v>30</v>
      </c>
      <c r="N63" s="218">
        <f>M63/H63</f>
        <v>0.75</v>
      </c>
      <c r="O63" s="148"/>
      <c r="P63" s="148"/>
      <c r="S63" s="92"/>
      <c r="T63" s="92"/>
      <c r="U63" s="92"/>
      <c r="V63" s="92"/>
    </row>
    <row r="64" spans="1:22" ht="15" customHeight="1" x14ac:dyDescent="0.25">
      <c r="A64" s="127">
        <v>62</v>
      </c>
      <c r="B64" s="8" t="s">
        <v>96</v>
      </c>
      <c r="C64" s="8" t="s">
        <v>80</v>
      </c>
      <c r="D64" s="126" t="s">
        <v>59</v>
      </c>
      <c r="E64" s="126" t="s">
        <v>39</v>
      </c>
      <c r="F64" s="111" t="s">
        <v>522</v>
      </c>
      <c r="G64" s="132">
        <v>15</v>
      </c>
      <c r="H64" s="221"/>
      <c r="I64" s="220"/>
      <c r="J64" s="103">
        <v>35.18</v>
      </c>
      <c r="K64" s="127">
        <f t="shared" si="1"/>
        <v>1</v>
      </c>
      <c r="L64" s="127">
        <f t="shared" si="0"/>
        <v>15</v>
      </c>
      <c r="M64" s="221"/>
      <c r="N64" s="221"/>
      <c r="O64" s="148"/>
      <c r="P64" s="148"/>
      <c r="S64" s="92"/>
      <c r="T64" s="92"/>
      <c r="U64" s="92"/>
      <c r="V64" s="92"/>
    </row>
    <row r="65" spans="1:22" ht="15" customHeight="1" x14ac:dyDescent="0.25">
      <c r="A65" s="127">
        <v>63</v>
      </c>
      <c r="B65" s="8" t="s">
        <v>96</v>
      </c>
      <c r="C65" s="8" t="s">
        <v>80</v>
      </c>
      <c r="D65" s="126" t="s">
        <v>59</v>
      </c>
      <c r="E65" s="126" t="s">
        <v>342</v>
      </c>
      <c r="F65" s="111" t="s">
        <v>523</v>
      </c>
      <c r="G65" s="132">
        <v>15</v>
      </c>
      <c r="H65" s="219"/>
      <c r="I65" s="220"/>
      <c r="J65" s="103">
        <v>21.89</v>
      </c>
      <c r="K65" s="127">
        <f t="shared" si="1"/>
        <v>1</v>
      </c>
      <c r="L65" s="127">
        <f t="shared" si="0"/>
        <v>15</v>
      </c>
      <c r="M65" s="219"/>
      <c r="N65" s="219"/>
      <c r="O65" s="148"/>
      <c r="P65" s="148"/>
      <c r="S65" s="92"/>
      <c r="T65" s="92"/>
      <c r="U65" s="92"/>
      <c r="V65" s="92"/>
    </row>
    <row r="66" spans="1:22" ht="15" customHeight="1" x14ac:dyDescent="0.25">
      <c r="A66" s="127">
        <v>64</v>
      </c>
      <c r="B66" s="8" t="s">
        <v>96</v>
      </c>
      <c r="C66" s="8" t="s">
        <v>81</v>
      </c>
      <c r="D66" s="126" t="s">
        <v>59</v>
      </c>
      <c r="E66" s="126" t="s">
        <v>40</v>
      </c>
      <c r="F66" s="111" t="s">
        <v>524</v>
      </c>
      <c r="G66" s="132">
        <v>10</v>
      </c>
      <c r="H66" s="218">
        <f>G66+G67</f>
        <v>15</v>
      </c>
      <c r="I66" s="220"/>
      <c r="J66" s="103">
        <v>67</v>
      </c>
      <c r="K66" s="127">
        <f t="shared" si="1"/>
        <v>3</v>
      </c>
      <c r="L66" s="127">
        <f t="shared" si="0"/>
        <v>30</v>
      </c>
      <c r="M66" s="218">
        <f>L66+L67</f>
        <v>45</v>
      </c>
      <c r="N66" s="218">
        <f>M66/H66</f>
        <v>3</v>
      </c>
      <c r="O66" s="148"/>
      <c r="P66" s="148"/>
      <c r="S66" s="92"/>
      <c r="T66" s="92"/>
      <c r="U66" s="92"/>
      <c r="V66" s="92"/>
    </row>
    <row r="67" spans="1:22" ht="15" customHeight="1" x14ac:dyDescent="0.25">
      <c r="A67" s="127">
        <v>65</v>
      </c>
      <c r="B67" s="8" t="s">
        <v>96</v>
      </c>
      <c r="C67" s="8" t="s">
        <v>81</v>
      </c>
      <c r="D67" s="126" t="s">
        <v>59</v>
      </c>
      <c r="E67" s="126" t="s">
        <v>346</v>
      </c>
      <c r="F67" s="111" t="s">
        <v>526</v>
      </c>
      <c r="G67" s="132">
        <v>5</v>
      </c>
      <c r="H67" s="219"/>
      <c r="I67" s="220"/>
      <c r="J67" s="103">
        <v>75</v>
      </c>
      <c r="K67" s="127">
        <f t="shared" si="1"/>
        <v>3</v>
      </c>
      <c r="L67" s="127">
        <f t="shared" ref="L67:L81" si="2">K67*G67</f>
        <v>15</v>
      </c>
      <c r="M67" s="219"/>
      <c r="N67" s="219"/>
      <c r="O67" s="148"/>
      <c r="P67" s="148"/>
      <c r="S67" s="92"/>
      <c r="T67" s="92"/>
      <c r="U67" s="92"/>
      <c r="V67" s="92"/>
    </row>
    <row r="68" spans="1:22" ht="15" customHeight="1" x14ac:dyDescent="0.25">
      <c r="A68" s="127">
        <v>66</v>
      </c>
      <c r="B68" s="8" t="s">
        <v>96</v>
      </c>
      <c r="C68" s="8" t="s">
        <v>82</v>
      </c>
      <c r="D68" s="126" t="s">
        <v>59</v>
      </c>
      <c r="E68" s="126" t="s">
        <v>349</v>
      </c>
      <c r="F68" s="111" t="s">
        <v>528</v>
      </c>
      <c r="G68" s="132">
        <v>8</v>
      </c>
      <c r="H68" s="139">
        <f>G68</f>
        <v>8</v>
      </c>
      <c r="I68" s="220"/>
      <c r="J68" s="103" t="s">
        <v>571</v>
      </c>
      <c r="K68" s="127">
        <f>IF(EXACT(J68,"A"),4,IF(EXACT(J68,"B"),3,IF(EXACT(J68,"C"),2,IF(EXACT(J68,"D"),1,0))))</f>
        <v>0</v>
      </c>
      <c r="L68" s="127">
        <f t="shared" si="2"/>
        <v>0</v>
      </c>
      <c r="M68" s="139">
        <f>L68</f>
        <v>0</v>
      </c>
      <c r="N68" s="139">
        <f>M68/H68</f>
        <v>0</v>
      </c>
      <c r="O68" s="148"/>
      <c r="P68" s="148"/>
      <c r="S68" s="92"/>
      <c r="T68" s="92"/>
      <c r="U68" s="92"/>
      <c r="V68" s="92"/>
    </row>
    <row r="69" spans="1:22" ht="15" customHeight="1" x14ac:dyDescent="0.25">
      <c r="A69" s="127">
        <v>67</v>
      </c>
      <c r="B69" s="8" t="s">
        <v>96</v>
      </c>
      <c r="C69" s="8" t="s">
        <v>84</v>
      </c>
      <c r="D69" s="126" t="s">
        <v>59</v>
      </c>
      <c r="E69" s="126" t="s">
        <v>356</v>
      </c>
      <c r="F69" s="111" t="s">
        <v>533</v>
      </c>
      <c r="G69" s="132">
        <v>5</v>
      </c>
      <c r="H69" s="138">
        <f>G69</f>
        <v>5</v>
      </c>
      <c r="I69" s="220">
        <f>SUM(H69:H75)</f>
        <v>55</v>
      </c>
      <c r="J69" s="103" t="s">
        <v>125</v>
      </c>
      <c r="K69" s="127">
        <f>IF(EXACT(J69,"A"),4,IF(EXACT(J69,"B"),3,IF(EXACT(J69,"C"),2,IF(EXACT(J69,"D"),1,0))))</f>
        <v>4</v>
      </c>
      <c r="L69" s="127">
        <f t="shared" si="2"/>
        <v>20</v>
      </c>
      <c r="M69" s="140">
        <f>L69</f>
        <v>20</v>
      </c>
      <c r="N69" s="138">
        <f>M69/H69</f>
        <v>4</v>
      </c>
      <c r="O69" s="148">
        <f>SUM(M69:M75)</f>
        <v>92</v>
      </c>
      <c r="P69" s="148">
        <f>O69/I69</f>
        <v>1.6727272727272726</v>
      </c>
      <c r="S69" s="92"/>
      <c r="T69" s="92"/>
      <c r="U69" s="92"/>
      <c r="V69" s="92"/>
    </row>
    <row r="70" spans="1:22" ht="15" customHeight="1" x14ac:dyDescent="0.25">
      <c r="A70" s="127">
        <v>68</v>
      </c>
      <c r="B70" s="8" t="s">
        <v>96</v>
      </c>
      <c r="C70" s="8" t="s">
        <v>85</v>
      </c>
      <c r="D70" s="126" t="s">
        <v>59</v>
      </c>
      <c r="E70" s="126" t="s">
        <v>47</v>
      </c>
      <c r="F70" s="111" t="s">
        <v>535</v>
      </c>
      <c r="G70" s="132">
        <v>10</v>
      </c>
      <c r="H70" s="220">
        <f>G70+G71+G72</f>
        <v>26</v>
      </c>
      <c r="I70" s="220"/>
      <c r="J70" s="103">
        <v>37.82</v>
      </c>
      <c r="K70" s="127">
        <f>IF(EXACT(J70,"A"),4,IF(EXACT(J70,"B"),3,IF(EXACT(J70,"C"),2,IF(EXACT(J70,"D"),1,0))))</f>
        <v>0</v>
      </c>
      <c r="L70" s="127">
        <f t="shared" si="2"/>
        <v>0</v>
      </c>
      <c r="M70" s="220">
        <f>L70+L71+L72</f>
        <v>8</v>
      </c>
      <c r="N70" s="220">
        <f>M70/H70</f>
        <v>0.30769230769230771</v>
      </c>
      <c r="O70" s="148"/>
      <c r="P70" s="148"/>
      <c r="S70" s="92"/>
      <c r="T70" s="92"/>
      <c r="U70" s="92"/>
      <c r="V70" s="92"/>
    </row>
    <row r="71" spans="1:22" ht="15" customHeight="1" x14ac:dyDescent="0.25">
      <c r="A71" s="127">
        <v>69</v>
      </c>
      <c r="B71" s="8" t="s">
        <v>96</v>
      </c>
      <c r="C71" s="8" t="s">
        <v>85</v>
      </c>
      <c r="D71" s="126" t="s">
        <v>59</v>
      </c>
      <c r="E71" s="126" t="s">
        <v>48</v>
      </c>
      <c r="F71" s="111" t="s">
        <v>536</v>
      </c>
      <c r="G71" s="132">
        <v>8</v>
      </c>
      <c r="H71" s="220"/>
      <c r="I71" s="220"/>
      <c r="J71" s="103">
        <v>2.6</v>
      </c>
      <c r="K71" s="127">
        <f>IF(EXACT(J71,"A"),4,IF(EXACT(J71,"B"),3,IF(EXACT(J71,"C"),2,IF(EXACT(J71,"D"),1,0))))</f>
        <v>0</v>
      </c>
      <c r="L71" s="127">
        <f t="shared" si="2"/>
        <v>0</v>
      </c>
      <c r="M71" s="220"/>
      <c r="N71" s="220"/>
      <c r="O71" s="148"/>
      <c r="P71" s="148"/>
      <c r="S71" s="92"/>
      <c r="T71" s="92"/>
      <c r="U71" s="92"/>
      <c r="V71" s="92"/>
    </row>
    <row r="72" spans="1:22" ht="15" customHeight="1" x14ac:dyDescent="0.25">
      <c r="A72" s="127">
        <v>70</v>
      </c>
      <c r="B72" s="8" t="s">
        <v>97</v>
      </c>
      <c r="C72" s="8" t="s">
        <v>85</v>
      </c>
      <c r="D72" s="126" t="s">
        <v>59</v>
      </c>
      <c r="E72" s="126" t="s">
        <v>361</v>
      </c>
      <c r="F72" s="111" t="s">
        <v>537</v>
      </c>
      <c r="G72" s="132">
        <v>8</v>
      </c>
      <c r="H72" s="220"/>
      <c r="I72" s="220"/>
      <c r="J72" s="103">
        <v>31.02</v>
      </c>
      <c r="K72" s="127">
        <f t="shared" ref="K72:K81" si="3">IF(J72&gt;80,4,IF(AND(J72&lt;=80,J72&gt;60),3,IF(AND(J72&lt;=60,J72&gt;40),2,IF(AND(J72&lt;=40,J72&gt;20),1,IF(J72&lt;=20,0)))))</f>
        <v>1</v>
      </c>
      <c r="L72" s="127">
        <f t="shared" si="2"/>
        <v>8</v>
      </c>
      <c r="M72" s="220"/>
      <c r="N72" s="220"/>
      <c r="O72" s="148"/>
      <c r="P72" s="148"/>
      <c r="S72" s="92"/>
      <c r="T72" s="92"/>
      <c r="U72" s="92"/>
      <c r="V72" s="92"/>
    </row>
    <row r="73" spans="1:22" ht="15" customHeight="1" x14ac:dyDescent="0.25">
      <c r="A73" s="127">
        <v>71</v>
      </c>
      <c r="B73" s="8" t="s">
        <v>97</v>
      </c>
      <c r="C73" s="8" t="s">
        <v>86</v>
      </c>
      <c r="D73" s="126" t="s">
        <v>59</v>
      </c>
      <c r="E73" s="126" t="s">
        <v>364</v>
      </c>
      <c r="F73" s="111" t="s">
        <v>539</v>
      </c>
      <c r="G73" s="132">
        <v>8</v>
      </c>
      <c r="H73" s="220">
        <f>G73+G74</f>
        <v>14</v>
      </c>
      <c r="I73" s="220"/>
      <c r="J73" s="103">
        <v>0</v>
      </c>
      <c r="K73" s="127">
        <f>IF(EXACT(J73,"A"),4,IF(EXACT(J73,"B"),3,IF(EXACT(J73,"C"),2,IF(EXACT(J73,"D"),1,0))))</f>
        <v>0</v>
      </c>
      <c r="L73" s="127">
        <f t="shared" si="2"/>
        <v>0</v>
      </c>
      <c r="M73" s="220">
        <f>L73+L74</f>
        <v>24</v>
      </c>
      <c r="N73" s="220">
        <f>M73/H73</f>
        <v>1.7142857142857142</v>
      </c>
      <c r="O73" s="148"/>
      <c r="P73" s="148"/>
      <c r="S73" s="92"/>
      <c r="T73" s="92"/>
      <c r="U73" s="92"/>
      <c r="V73" s="92"/>
    </row>
    <row r="74" spans="1:22" ht="15" customHeight="1" x14ac:dyDescent="0.25">
      <c r="A74" s="127">
        <v>72</v>
      </c>
      <c r="B74" s="8" t="s">
        <v>97</v>
      </c>
      <c r="C74" s="8" t="s">
        <v>86</v>
      </c>
      <c r="D74" s="126" t="s">
        <v>59</v>
      </c>
      <c r="E74" s="126" t="s">
        <v>366</v>
      </c>
      <c r="F74" s="111" t="s">
        <v>540</v>
      </c>
      <c r="G74" s="132">
        <v>6</v>
      </c>
      <c r="H74" s="220"/>
      <c r="I74" s="220"/>
      <c r="J74" s="103">
        <v>35019</v>
      </c>
      <c r="K74" s="127">
        <f t="shared" si="3"/>
        <v>4</v>
      </c>
      <c r="L74" s="127">
        <f t="shared" si="2"/>
        <v>24</v>
      </c>
      <c r="M74" s="220"/>
      <c r="N74" s="220"/>
      <c r="O74" s="148"/>
      <c r="P74" s="148"/>
      <c r="S74" s="92"/>
      <c r="T74" s="92"/>
      <c r="U74" s="92"/>
      <c r="V74" s="92"/>
    </row>
    <row r="75" spans="1:22" ht="15" customHeight="1" x14ac:dyDescent="0.25">
      <c r="A75" s="127">
        <v>73</v>
      </c>
      <c r="B75" s="8" t="s">
        <v>97</v>
      </c>
      <c r="C75" s="8" t="s">
        <v>87</v>
      </c>
      <c r="D75" s="126" t="s">
        <v>59</v>
      </c>
      <c r="E75" s="126" t="s">
        <v>51</v>
      </c>
      <c r="F75" s="111" t="s">
        <v>543</v>
      </c>
      <c r="G75" s="132">
        <v>10</v>
      </c>
      <c r="H75" s="139">
        <f>G75</f>
        <v>10</v>
      </c>
      <c r="I75" s="220"/>
      <c r="J75" s="103" t="s">
        <v>125</v>
      </c>
      <c r="K75" s="127">
        <f t="shared" si="3"/>
        <v>4</v>
      </c>
      <c r="L75" s="127">
        <f t="shared" si="2"/>
        <v>40</v>
      </c>
      <c r="M75" s="139">
        <f>L75</f>
        <v>40</v>
      </c>
      <c r="N75" s="139">
        <f>M75/H75</f>
        <v>4</v>
      </c>
      <c r="O75" s="148"/>
      <c r="P75" s="148"/>
      <c r="S75" s="92"/>
      <c r="T75" s="92"/>
      <c r="U75" s="92"/>
      <c r="V75" s="92"/>
    </row>
    <row r="76" spans="1:22" ht="15" customHeight="1" x14ac:dyDescent="0.25">
      <c r="A76" s="127">
        <v>74</v>
      </c>
      <c r="B76" s="8" t="s">
        <v>97</v>
      </c>
      <c r="C76" s="8" t="s">
        <v>88</v>
      </c>
      <c r="D76" s="126" t="s">
        <v>59</v>
      </c>
      <c r="E76" s="126" t="s">
        <v>53</v>
      </c>
      <c r="F76" s="111" t="s">
        <v>546</v>
      </c>
      <c r="G76" s="132">
        <v>5</v>
      </c>
      <c r="H76" s="218">
        <f>SUM(G76:G81)</f>
        <v>27</v>
      </c>
      <c r="I76" s="220">
        <f>H76</f>
        <v>27</v>
      </c>
      <c r="J76" s="103" t="s">
        <v>125</v>
      </c>
      <c r="K76" s="127">
        <f t="shared" si="3"/>
        <v>4</v>
      </c>
      <c r="L76" s="127">
        <f t="shared" si="2"/>
        <v>20</v>
      </c>
      <c r="M76" s="218">
        <f>SUM(L76:L81)</f>
        <v>108</v>
      </c>
      <c r="N76" s="218">
        <f>M76/H76</f>
        <v>4</v>
      </c>
      <c r="O76" s="148">
        <f>SUM(M76)</f>
        <v>108</v>
      </c>
      <c r="P76" s="148">
        <f>O76/I76</f>
        <v>4</v>
      </c>
      <c r="S76" s="92"/>
      <c r="T76" s="92"/>
      <c r="U76" s="92"/>
      <c r="V76" s="92"/>
    </row>
    <row r="77" spans="1:22" ht="15" customHeight="1" x14ac:dyDescent="0.25">
      <c r="A77" s="127">
        <v>75</v>
      </c>
      <c r="B77" s="8" t="s">
        <v>97</v>
      </c>
      <c r="C77" s="8" t="s">
        <v>88</v>
      </c>
      <c r="D77" s="126" t="s">
        <v>59</v>
      </c>
      <c r="E77" s="126" t="s">
        <v>55</v>
      </c>
      <c r="F77" s="111" t="s">
        <v>548</v>
      </c>
      <c r="G77" s="132">
        <v>4</v>
      </c>
      <c r="H77" s="221"/>
      <c r="I77" s="220"/>
      <c r="J77" s="103" t="s">
        <v>125</v>
      </c>
      <c r="K77" s="127">
        <f t="shared" si="3"/>
        <v>4</v>
      </c>
      <c r="L77" s="127">
        <f t="shared" si="2"/>
        <v>16</v>
      </c>
      <c r="M77" s="221"/>
      <c r="N77" s="221"/>
      <c r="O77" s="148"/>
      <c r="P77" s="148"/>
      <c r="S77" s="92"/>
      <c r="T77" s="92"/>
      <c r="U77" s="92"/>
      <c r="V77" s="92"/>
    </row>
    <row r="78" spans="1:22" ht="15" customHeight="1" x14ac:dyDescent="0.25">
      <c r="A78" s="127">
        <v>76</v>
      </c>
      <c r="B78" s="8" t="s">
        <v>97</v>
      </c>
      <c r="C78" s="8" t="s">
        <v>88</v>
      </c>
      <c r="D78" s="126" t="s">
        <v>59</v>
      </c>
      <c r="E78" s="126" t="s">
        <v>376</v>
      </c>
      <c r="F78" s="111" t="s">
        <v>549</v>
      </c>
      <c r="G78" s="132">
        <v>4</v>
      </c>
      <c r="H78" s="221"/>
      <c r="I78" s="220"/>
      <c r="J78" s="103" t="s">
        <v>125</v>
      </c>
      <c r="K78" s="127">
        <f t="shared" si="3"/>
        <v>4</v>
      </c>
      <c r="L78" s="127">
        <f t="shared" si="2"/>
        <v>16</v>
      </c>
      <c r="M78" s="221"/>
      <c r="N78" s="221"/>
      <c r="O78" s="148"/>
      <c r="P78" s="148"/>
      <c r="S78" s="92"/>
      <c r="T78" s="92"/>
      <c r="U78" s="92"/>
      <c r="V78" s="92"/>
    </row>
    <row r="79" spans="1:22" ht="15" customHeight="1" x14ac:dyDescent="0.25">
      <c r="A79" s="127">
        <v>77</v>
      </c>
      <c r="B79" s="8" t="s">
        <v>97</v>
      </c>
      <c r="C79" s="8" t="s">
        <v>88</v>
      </c>
      <c r="D79" s="126" t="s">
        <v>59</v>
      </c>
      <c r="E79" s="126" t="s">
        <v>378</v>
      </c>
      <c r="F79" s="111" t="s">
        <v>550</v>
      </c>
      <c r="G79" s="131">
        <v>5</v>
      </c>
      <c r="H79" s="221"/>
      <c r="I79" s="220"/>
      <c r="J79" s="103" t="s">
        <v>125</v>
      </c>
      <c r="K79" s="127">
        <f t="shared" si="3"/>
        <v>4</v>
      </c>
      <c r="L79" s="127">
        <f t="shared" si="2"/>
        <v>20</v>
      </c>
      <c r="M79" s="221"/>
      <c r="N79" s="221"/>
      <c r="O79" s="148"/>
      <c r="P79" s="148"/>
      <c r="S79" s="92"/>
      <c r="T79" s="92"/>
      <c r="U79" s="92"/>
      <c r="V79" s="92"/>
    </row>
    <row r="80" spans="1:22" ht="15" customHeight="1" x14ac:dyDescent="0.25">
      <c r="A80" s="127">
        <v>78</v>
      </c>
      <c r="B80" s="8" t="s">
        <v>97</v>
      </c>
      <c r="C80" s="8" t="s">
        <v>88</v>
      </c>
      <c r="D80" s="126" t="s">
        <v>59</v>
      </c>
      <c r="E80" s="126" t="s">
        <v>380</v>
      </c>
      <c r="F80" s="111" t="s">
        <v>551</v>
      </c>
      <c r="G80" s="131">
        <v>4</v>
      </c>
      <c r="H80" s="221"/>
      <c r="I80" s="220"/>
      <c r="J80" s="103" t="s">
        <v>125</v>
      </c>
      <c r="K80" s="127">
        <f t="shared" si="3"/>
        <v>4</v>
      </c>
      <c r="L80" s="127">
        <f t="shared" si="2"/>
        <v>16</v>
      </c>
      <c r="M80" s="221"/>
      <c r="N80" s="221"/>
      <c r="O80" s="148"/>
      <c r="P80" s="148"/>
      <c r="S80" s="92"/>
      <c r="T80" s="92"/>
      <c r="U80" s="92"/>
      <c r="V80" s="92"/>
    </row>
    <row r="81" spans="1:22" ht="15" customHeight="1" x14ac:dyDescent="0.25">
      <c r="A81" s="127">
        <v>79</v>
      </c>
      <c r="B81" s="8" t="s">
        <v>97</v>
      </c>
      <c r="C81" s="8" t="s">
        <v>88</v>
      </c>
      <c r="D81" s="126" t="s">
        <v>59</v>
      </c>
      <c r="E81" s="126" t="s">
        <v>386</v>
      </c>
      <c r="F81" s="111" t="s">
        <v>554</v>
      </c>
      <c r="G81" s="131">
        <v>5</v>
      </c>
      <c r="H81" s="219"/>
      <c r="I81" s="220"/>
      <c r="J81" s="103" t="s">
        <v>125</v>
      </c>
      <c r="K81" s="127">
        <f t="shared" si="3"/>
        <v>4</v>
      </c>
      <c r="L81" s="127">
        <f t="shared" si="2"/>
        <v>20</v>
      </c>
      <c r="M81" s="219"/>
      <c r="N81" s="219"/>
      <c r="O81" s="148"/>
      <c r="P81" s="148"/>
      <c r="S81" s="92"/>
      <c r="T81" s="92"/>
      <c r="U81" s="92"/>
      <c r="V81" s="92"/>
    </row>
    <row r="82" spans="1:22" ht="15" customHeight="1" x14ac:dyDescent="0.25">
      <c r="A82" s="43"/>
      <c r="D82" s="134"/>
      <c r="E82" s="135"/>
      <c r="F82" s="136"/>
      <c r="G82" s="135"/>
      <c r="H82" s="135"/>
      <c r="I82" s="135"/>
      <c r="J82" s="134"/>
      <c r="K82" s="43"/>
      <c r="L82" s="43"/>
      <c r="M82" s="135"/>
      <c r="N82" s="128"/>
      <c r="O82" s="43"/>
      <c r="P82" s="130"/>
      <c r="S82" s="92"/>
      <c r="T82" s="92"/>
      <c r="U82" s="92"/>
      <c r="V82" s="92"/>
    </row>
    <row r="83" spans="1:22" ht="15.75" thickBot="1" x14ac:dyDescent="0.3">
      <c r="A83" s="43"/>
      <c r="G83" s="253"/>
      <c r="S83" s="92"/>
      <c r="T83" s="92"/>
      <c r="U83" s="92"/>
      <c r="V83" s="92"/>
    </row>
    <row r="84" spans="1:22" ht="23.25" thickBot="1" x14ac:dyDescent="0.3">
      <c r="A84" s="43"/>
      <c r="J84" s="152" t="s">
        <v>222</v>
      </c>
      <c r="K84" s="153"/>
      <c r="L84" s="153"/>
      <c r="M84" s="153"/>
      <c r="N84" s="153"/>
      <c r="O84" s="153"/>
      <c r="P84" s="153"/>
      <c r="Q84" s="153"/>
      <c r="R84" s="154"/>
      <c r="S84" s="93"/>
      <c r="T84" s="93"/>
      <c r="U84" s="93"/>
      <c r="V84" s="92"/>
    </row>
    <row r="85" spans="1:22" ht="15.75" thickBot="1" x14ac:dyDescent="0.3">
      <c r="S85" s="92"/>
      <c r="T85" s="92"/>
      <c r="U85" s="92"/>
      <c r="V85" s="92"/>
    </row>
    <row r="86" spans="1:22" ht="19.5" thickBot="1" x14ac:dyDescent="0.35">
      <c r="F86" s="121" t="s">
        <v>220</v>
      </c>
      <c r="G86" s="94" t="s">
        <v>221</v>
      </c>
      <c r="J86" s="149" t="s">
        <v>225</v>
      </c>
      <c r="K86" s="150"/>
      <c r="L86" s="150"/>
      <c r="M86" s="150"/>
      <c r="N86" s="150"/>
      <c r="O86" s="150"/>
      <c r="P86" s="150"/>
      <c r="Q86" s="150"/>
      <c r="R86" s="151"/>
      <c r="S86" s="96"/>
      <c r="T86" s="96"/>
      <c r="U86" s="96"/>
    </row>
    <row r="87" spans="1:22" x14ac:dyDescent="0.25">
      <c r="F87" s="88" t="s">
        <v>91</v>
      </c>
      <c r="G87" s="89">
        <v>3.2222222222222223</v>
      </c>
      <c r="S87" s="95"/>
      <c r="T87" s="95"/>
      <c r="U87" s="95"/>
    </row>
    <row r="88" spans="1:22" x14ac:dyDescent="0.25">
      <c r="F88" s="88" t="s">
        <v>92</v>
      </c>
      <c r="G88" s="90">
        <v>2</v>
      </c>
      <c r="S88" s="95"/>
      <c r="T88" s="95"/>
      <c r="U88" s="95"/>
    </row>
    <row r="89" spans="1:22" x14ac:dyDescent="0.25">
      <c r="F89" s="88" t="s">
        <v>93</v>
      </c>
      <c r="G89" s="89">
        <v>1.75</v>
      </c>
    </row>
    <row r="90" spans="1:22" x14ac:dyDescent="0.25">
      <c r="F90" s="88" t="s">
        <v>94</v>
      </c>
      <c r="G90" s="90">
        <v>2.3333333333333335</v>
      </c>
    </row>
    <row r="91" spans="1:22" x14ac:dyDescent="0.25">
      <c r="F91" s="88" t="s">
        <v>95</v>
      </c>
      <c r="G91" s="90">
        <v>1.7272727272727273</v>
      </c>
    </row>
    <row r="92" spans="1:22" x14ac:dyDescent="0.25">
      <c r="F92" s="88" t="s">
        <v>96</v>
      </c>
      <c r="G92" s="89">
        <v>1.5</v>
      </c>
    </row>
    <row r="93" spans="1:22" x14ac:dyDescent="0.25">
      <c r="F93" s="88" t="s">
        <v>97</v>
      </c>
      <c r="G93" s="89">
        <v>3.3</v>
      </c>
    </row>
    <row r="94" spans="1:22" x14ac:dyDescent="0.25">
      <c r="F94" s="88" t="s">
        <v>216</v>
      </c>
      <c r="G94" s="89">
        <v>2.1898734177215191</v>
      </c>
    </row>
    <row r="95" spans="1:22" x14ac:dyDescent="0.25">
      <c r="F95"/>
    </row>
    <row r="101" spans="6:18" x14ac:dyDescent="0.25">
      <c r="F101" s="121" t="s">
        <v>220</v>
      </c>
      <c r="G101" s="91" t="s">
        <v>221</v>
      </c>
    </row>
    <row r="102" spans="6:18" x14ac:dyDescent="0.25">
      <c r="F102" s="88" t="s">
        <v>61</v>
      </c>
      <c r="G102" s="89">
        <v>2</v>
      </c>
    </row>
    <row r="103" spans="6:18" x14ac:dyDescent="0.25">
      <c r="F103" s="88" t="s">
        <v>62</v>
      </c>
      <c r="G103" s="89">
        <v>3.6666666666666665</v>
      </c>
    </row>
    <row r="104" spans="6:18" x14ac:dyDescent="0.25">
      <c r="F104" s="88" t="s">
        <v>63</v>
      </c>
      <c r="G104" s="89">
        <v>4</v>
      </c>
    </row>
    <row r="105" spans="6:18" x14ac:dyDescent="0.25">
      <c r="F105" s="88" t="s">
        <v>64</v>
      </c>
      <c r="G105" s="89">
        <v>1.5</v>
      </c>
    </row>
    <row r="106" spans="6:18" x14ac:dyDescent="0.25">
      <c r="F106" s="88" t="s">
        <v>66</v>
      </c>
      <c r="G106" s="89">
        <v>2</v>
      </c>
    </row>
    <row r="107" spans="6:18" ht="15.75" thickBot="1" x14ac:dyDescent="0.3">
      <c r="F107" s="88" t="s">
        <v>68</v>
      </c>
      <c r="G107" s="89">
        <v>4</v>
      </c>
    </row>
    <row r="108" spans="6:18" ht="19.5" thickBot="1" x14ac:dyDescent="0.3">
      <c r="F108" s="88" t="s">
        <v>69</v>
      </c>
      <c r="G108" s="89">
        <v>2</v>
      </c>
      <c r="J108" s="215" t="s">
        <v>224</v>
      </c>
      <c r="K108" s="216"/>
      <c r="L108" s="216"/>
      <c r="M108" s="216"/>
      <c r="N108" s="216"/>
      <c r="O108" s="216"/>
      <c r="P108" s="216"/>
      <c r="Q108" s="216"/>
      <c r="R108" s="217"/>
    </row>
    <row r="109" spans="6:18" x14ac:dyDescent="0.25">
      <c r="F109" s="88" t="s">
        <v>75</v>
      </c>
      <c r="G109" s="89">
        <v>0</v>
      </c>
    </row>
    <row r="110" spans="6:18" x14ac:dyDescent="0.25">
      <c r="F110" s="88" t="s">
        <v>77</v>
      </c>
      <c r="G110" s="89">
        <v>2</v>
      </c>
    </row>
    <row r="111" spans="6:18" x14ac:dyDescent="0.25">
      <c r="F111" s="88" t="s">
        <v>78</v>
      </c>
      <c r="G111" s="89">
        <v>0</v>
      </c>
    </row>
    <row r="112" spans="6:18" x14ac:dyDescent="0.25">
      <c r="F112" s="88" t="s">
        <v>79</v>
      </c>
      <c r="G112" s="89">
        <v>2.25</v>
      </c>
    </row>
    <row r="113" spans="6:7" x14ac:dyDescent="0.25">
      <c r="F113" s="88" t="s">
        <v>80</v>
      </c>
      <c r="G113" s="89">
        <v>0.66666666666666663</v>
      </c>
    </row>
    <row r="114" spans="6:7" x14ac:dyDescent="0.25">
      <c r="F114" s="88" t="s">
        <v>81</v>
      </c>
      <c r="G114" s="89">
        <v>3</v>
      </c>
    </row>
    <row r="115" spans="6:7" x14ac:dyDescent="0.25">
      <c r="F115" s="88" t="s">
        <v>84</v>
      </c>
      <c r="G115" s="89">
        <v>4</v>
      </c>
    </row>
    <row r="116" spans="6:7" x14ac:dyDescent="0.25">
      <c r="F116" s="88" t="s">
        <v>85</v>
      </c>
      <c r="G116" s="89">
        <v>0.33333333333333331</v>
      </c>
    </row>
    <row r="117" spans="6:7" x14ac:dyDescent="0.25">
      <c r="F117" s="88" t="s">
        <v>87</v>
      </c>
      <c r="G117" s="89">
        <v>4</v>
      </c>
    </row>
    <row r="118" spans="6:7" x14ac:dyDescent="0.25">
      <c r="F118" s="88" t="s">
        <v>88</v>
      </c>
      <c r="G118" s="89">
        <v>4</v>
      </c>
    </row>
    <row r="119" spans="6:7" x14ac:dyDescent="0.25">
      <c r="F119" s="88" t="s">
        <v>60</v>
      </c>
      <c r="G119" s="89">
        <v>3</v>
      </c>
    </row>
    <row r="120" spans="6:7" x14ac:dyDescent="0.25">
      <c r="F120" s="88" t="s">
        <v>431</v>
      </c>
      <c r="G120" s="89">
        <v>4</v>
      </c>
    </row>
    <row r="121" spans="6:7" x14ac:dyDescent="0.25">
      <c r="F121" s="88" t="s">
        <v>432</v>
      </c>
      <c r="G121" s="89">
        <v>4</v>
      </c>
    </row>
    <row r="122" spans="6:7" x14ac:dyDescent="0.25">
      <c r="F122" s="88" t="s">
        <v>67</v>
      </c>
      <c r="G122" s="89">
        <v>0.33333333333333331</v>
      </c>
    </row>
    <row r="123" spans="6:7" x14ac:dyDescent="0.25">
      <c r="F123" s="88" t="s">
        <v>433</v>
      </c>
      <c r="G123" s="89">
        <v>2.2000000000000002</v>
      </c>
    </row>
    <row r="124" spans="6:7" x14ac:dyDescent="0.25">
      <c r="F124" s="88" t="s">
        <v>434</v>
      </c>
      <c r="G124" s="89">
        <v>1.3333333333333333</v>
      </c>
    </row>
    <row r="125" spans="6:7" x14ac:dyDescent="0.25">
      <c r="F125" s="88" t="s">
        <v>435</v>
      </c>
      <c r="G125" s="89">
        <v>2.5</v>
      </c>
    </row>
    <row r="126" spans="6:7" x14ac:dyDescent="0.25">
      <c r="F126" s="88" t="s">
        <v>436</v>
      </c>
      <c r="G126" s="89">
        <v>1.4444444444444444</v>
      </c>
    </row>
    <row r="127" spans="6:7" x14ac:dyDescent="0.25">
      <c r="F127" s="88" t="s">
        <v>437</v>
      </c>
      <c r="G127" s="89">
        <v>4</v>
      </c>
    </row>
    <row r="128" spans="6:7" x14ac:dyDescent="0.25">
      <c r="F128" s="88" t="s">
        <v>438</v>
      </c>
      <c r="G128" s="89">
        <v>1.6666666666666667</v>
      </c>
    </row>
    <row r="129" spans="6:18" x14ac:dyDescent="0.25">
      <c r="F129" s="88" t="s">
        <v>439</v>
      </c>
      <c r="G129" s="89">
        <v>2</v>
      </c>
    </row>
    <row r="130" spans="6:18" x14ac:dyDescent="0.25">
      <c r="F130" s="88" t="s">
        <v>76</v>
      </c>
      <c r="G130" s="89">
        <v>3.3333333333333335</v>
      </c>
    </row>
    <row r="131" spans="6:18" x14ac:dyDescent="0.25">
      <c r="F131" s="88" t="s">
        <v>82</v>
      </c>
      <c r="G131" s="89">
        <v>0</v>
      </c>
    </row>
    <row r="132" spans="6:18" ht="15.75" thickBot="1" x14ac:dyDescent="0.3">
      <c r="F132" s="88" t="s">
        <v>86</v>
      </c>
      <c r="G132" s="89">
        <v>2</v>
      </c>
    </row>
    <row r="133" spans="6:18" ht="19.5" thickBot="1" x14ac:dyDescent="0.35">
      <c r="F133" s="88" t="s">
        <v>216</v>
      </c>
      <c r="G133" s="89">
        <v>2.1898734177215191</v>
      </c>
      <c r="J133" s="149" t="s">
        <v>223</v>
      </c>
      <c r="K133" s="150"/>
      <c r="L133" s="150"/>
      <c r="M133" s="150"/>
      <c r="N133" s="150"/>
      <c r="O133" s="150"/>
      <c r="P133" s="150"/>
      <c r="Q133" s="150"/>
      <c r="R133" s="151"/>
    </row>
    <row r="134" spans="6:18" x14ac:dyDescent="0.25">
      <c r="F134" s="88"/>
      <c r="G134" s="89"/>
    </row>
    <row r="135" spans="6:18" x14ac:dyDescent="0.25">
      <c r="F135" s="121" t="s">
        <v>220</v>
      </c>
      <c r="G135" s="91" t="s">
        <v>221</v>
      </c>
    </row>
    <row r="136" spans="6:18" x14ac:dyDescent="0.25">
      <c r="F136" s="88" t="s">
        <v>234</v>
      </c>
      <c r="G136" s="89">
        <v>3</v>
      </c>
    </row>
    <row r="137" spans="6:18" x14ac:dyDescent="0.25">
      <c r="F137" s="88" t="s">
        <v>236</v>
      </c>
      <c r="G137" s="89">
        <v>3</v>
      </c>
    </row>
    <row r="138" spans="6:18" x14ac:dyDescent="0.25">
      <c r="F138" s="88" t="s">
        <v>4</v>
      </c>
      <c r="G138" s="89">
        <v>0</v>
      </c>
    </row>
    <row r="139" spans="6:18" x14ac:dyDescent="0.25">
      <c r="F139" s="88" t="s">
        <v>5</v>
      </c>
      <c r="G139" s="89">
        <v>4</v>
      </c>
    </row>
    <row r="140" spans="6:18" x14ac:dyDescent="0.25">
      <c r="F140" s="88" t="s">
        <v>7</v>
      </c>
      <c r="G140" s="89">
        <v>4</v>
      </c>
    </row>
    <row r="141" spans="6:18" x14ac:dyDescent="0.25">
      <c r="F141" s="88" t="s">
        <v>242</v>
      </c>
      <c r="G141" s="89">
        <v>3</v>
      </c>
    </row>
    <row r="142" spans="6:18" x14ac:dyDescent="0.25">
      <c r="F142" s="88" t="s">
        <v>244</v>
      </c>
      <c r="G142" s="89">
        <v>4</v>
      </c>
    </row>
    <row r="143" spans="6:18" x14ac:dyDescent="0.25">
      <c r="F143" s="88" t="s">
        <v>8</v>
      </c>
      <c r="G143" s="89">
        <v>4</v>
      </c>
    </row>
    <row r="144" spans="6:18" x14ac:dyDescent="0.25">
      <c r="F144" s="88" t="s">
        <v>247</v>
      </c>
      <c r="G144" s="89">
        <v>4</v>
      </c>
    </row>
    <row r="145" spans="6:7" x14ac:dyDescent="0.25">
      <c r="F145" s="88" t="s">
        <v>9</v>
      </c>
      <c r="G145" s="89">
        <v>0</v>
      </c>
    </row>
    <row r="146" spans="6:7" x14ac:dyDescent="0.25">
      <c r="F146" s="88" t="s">
        <v>10</v>
      </c>
      <c r="G146" s="89">
        <v>3</v>
      </c>
    </row>
    <row r="147" spans="6:7" x14ac:dyDescent="0.25">
      <c r="F147" s="88" t="s">
        <v>252</v>
      </c>
      <c r="G147" s="89">
        <v>4</v>
      </c>
    </row>
    <row r="148" spans="6:7" x14ac:dyDescent="0.25">
      <c r="F148" s="88" t="s">
        <v>257</v>
      </c>
      <c r="G148" s="89">
        <v>4</v>
      </c>
    </row>
    <row r="149" spans="6:7" x14ac:dyDescent="0.25">
      <c r="F149" s="88" t="s">
        <v>13</v>
      </c>
      <c r="G149" s="89">
        <v>4</v>
      </c>
    </row>
    <row r="150" spans="6:7" x14ac:dyDescent="0.25">
      <c r="F150" s="88" t="s">
        <v>14</v>
      </c>
      <c r="G150" s="89">
        <v>3</v>
      </c>
    </row>
    <row r="151" spans="6:7" x14ac:dyDescent="0.25">
      <c r="F151" s="88" t="s">
        <v>263</v>
      </c>
      <c r="G151" s="89">
        <v>0</v>
      </c>
    </row>
    <row r="152" spans="6:7" x14ac:dyDescent="0.25">
      <c r="F152" s="142" t="s">
        <v>558</v>
      </c>
      <c r="G152" s="89">
        <v>1</v>
      </c>
    </row>
    <row r="153" spans="6:7" x14ac:dyDescent="0.25">
      <c r="F153" s="88" t="s">
        <v>15</v>
      </c>
      <c r="G153" s="89">
        <v>1</v>
      </c>
    </row>
    <row r="154" spans="6:7" x14ac:dyDescent="0.25">
      <c r="F154" s="88" t="s">
        <v>266</v>
      </c>
      <c r="G154" s="89">
        <v>0</v>
      </c>
    </row>
    <row r="155" spans="6:7" x14ac:dyDescent="0.25">
      <c r="F155" s="142" t="s">
        <v>559</v>
      </c>
      <c r="G155" s="89">
        <v>0</v>
      </c>
    </row>
    <row r="156" spans="6:7" x14ac:dyDescent="0.25">
      <c r="F156" s="88" t="s">
        <v>272</v>
      </c>
      <c r="G156" s="89">
        <v>4</v>
      </c>
    </row>
    <row r="157" spans="6:7" x14ac:dyDescent="0.25">
      <c r="F157" s="88" t="s">
        <v>18</v>
      </c>
      <c r="G157" s="89">
        <v>2</v>
      </c>
    </row>
    <row r="158" spans="6:7" x14ac:dyDescent="0.25">
      <c r="F158" s="88" t="s">
        <v>276</v>
      </c>
      <c r="G158" s="89">
        <v>1</v>
      </c>
    </row>
    <row r="159" spans="6:7" x14ac:dyDescent="0.25">
      <c r="F159" s="88" t="s">
        <v>278</v>
      </c>
      <c r="G159" s="89">
        <v>0</v>
      </c>
    </row>
    <row r="160" spans="6:7" x14ac:dyDescent="0.25">
      <c r="F160" s="142" t="s">
        <v>560</v>
      </c>
      <c r="G160" s="89">
        <v>2</v>
      </c>
    </row>
    <row r="161" spans="6:7" x14ac:dyDescent="0.25">
      <c r="F161" s="142" t="s">
        <v>561</v>
      </c>
      <c r="G161" s="89">
        <v>4</v>
      </c>
    </row>
    <row r="162" spans="6:7" x14ac:dyDescent="0.25">
      <c r="F162" s="142" t="s">
        <v>562</v>
      </c>
      <c r="G162" s="89">
        <v>4</v>
      </c>
    </row>
    <row r="163" spans="6:7" x14ac:dyDescent="0.25">
      <c r="F163" s="88" t="s">
        <v>20</v>
      </c>
      <c r="G163" s="89">
        <v>0</v>
      </c>
    </row>
    <row r="164" spans="6:7" x14ac:dyDescent="0.25">
      <c r="F164" s="88" t="s">
        <v>21</v>
      </c>
      <c r="G164" s="89">
        <v>4</v>
      </c>
    </row>
    <row r="165" spans="6:7" x14ac:dyDescent="0.25">
      <c r="F165" s="88" t="s">
        <v>282</v>
      </c>
      <c r="G165" s="89">
        <v>0</v>
      </c>
    </row>
    <row r="166" spans="6:7" x14ac:dyDescent="0.25">
      <c r="F166" s="88" t="s">
        <v>23</v>
      </c>
      <c r="G166" s="89">
        <v>4</v>
      </c>
    </row>
    <row r="167" spans="6:7" x14ac:dyDescent="0.25">
      <c r="F167" s="142" t="s">
        <v>563</v>
      </c>
      <c r="G167" s="89">
        <v>1</v>
      </c>
    </row>
    <row r="168" spans="6:7" x14ac:dyDescent="0.25">
      <c r="F168" s="88" t="s">
        <v>24</v>
      </c>
      <c r="G168" s="89">
        <v>4</v>
      </c>
    </row>
    <row r="169" spans="6:7" x14ac:dyDescent="0.25">
      <c r="F169" s="88" t="s">
        <v>25</v>
      </c>
      <c r="G169" s="89">
        <v>4</v>
      </c>
    </row>
    <row r="170" spans="6:7" x14ac:dyDescent="0.25">
      <c r="F170" s="88" t="s">
        <v>26</v>
      </c>
      <c r="G170" s="89">
        <v>0</v>
      </c>
    </row>
    <row r="171" spans="6:7" x14ac:dyDescent="0.25">
      <c r="F171" s="88" t="s">
        <v>291</v>
      </c>
      <c r="G171" s="89">
        <v>0</v>
      </c>
    </row>
    <row r="172" spans="6:7" x14ac:dyDescent="0.25">
      <c r="F172" s="88" t="s">
        <v>293</v>
      </c>
      <c r="G172" s="89">
        <v>0</v>
      </c>
    </row>
    <row r="173" spans="6:7" x14ac:dyDescent="0.25">
      <c r="F173" s="88" t="s">
        <v>295</v>
      </c>
      <c r="G173" s="89">
        <v>0</v>
      </c>
    </row>
    <row r="174" spans="6:7" x14ac:dyDescent="0.25">
      <c r="F174" s="142" t="s">
        <v>564</v>
      </c>
      <c r="G174" s="89">
        <v>4</v>
      </c>
    </row>
    <row r="175" spans="6:7" x14ac:dyDescent="0.25">
      <c r="F175" s="142" t="s">
        <v>565</v>
      </c>
      <c r="G175" s="89">
        <v>0</v>
      </c>
    </row>
    <row r="176" spans="6:7" x14ac:dyDescent="0.25">
      <c r="F176" s="142" t="s">
        <v>566</v>
      </c>
      <c r="G176" s="89">
        <v>1</v>
      </c>
    </row>
    <row r="177" spans="6:7" x14ac:dyDescent="0.25">
      <c r="F177" s="88" t="s">
        <v>298</v>
      </c>
      <c r="G177" s="89">
        <v>4</v>
      </c>
    </row>
    <row r="178" spans="6:7" x14ac:dyDescent="0.25">
      <c r="F178" s="88" t="s">
        <v>302</v>
      </c>
      <c r="G178" s="89">
        <v>0</v>
      </c>
    </row>
    <row r="179" spans="6:7" x14ac:dyDescent="0.25">
      <c r="F179" s="88" t="s">
        <v>304</v>
      </c>
      <c r="G179" s="89">
        <v>3</v>
      </c>
    </row>
    <row r="180" spans="6:7" x14ac:dyDescent="0.25">
      <c r="F180" s="88" t="s">
        <v>306</v>
      </c>
      <c r="G180" s="89">
        <v>2</v>
      </c>
    </row>
    <row r="181" spans="6:7" x14ac:dyDescent="0.25">
      <c r="F181" s="88" t="s">
        <v>308</v>
      </c>
      <c r="G181" s="89">
        <v>0</v>
      </c>
    </row>
    <row r="182" spans="6:7" x14ac:dyDescent="0.25">
      <c r="F182" s="88" t="s">
        <v>310</v>
      </c>
      <c r="G182" s="89">
        <v>4</v>
      </c>
    </row>
    <row r="183" spans="6:7" x14ac:dyDescent="0.25">
      <c r="F183" s="88" t="s">
        <v>316</v>
      </c>
      <c r="G183" s="89">
        <v>0</v>
      </c>
    </row>
    <row r="184" spans="6:7" x14ac:dyDescent="0.25">
      <c r="F184" s="88" t="s">
        <v>319</v>
      </c>
      <c r="G184" s="89">
        <v>4</v>
      </c>
    </row>
    <row r="185" spans="6:7" x14ac:dyDescent="0.25">
      <c r="F185" s="88" t="s">
        <v>321</v>
      </c>
      <c r="G185" s="89">
        <v>4</v>
      </c>
    </row>
    <row r="186" spans="6:7" x14ac:dyDescent="0.25">
      <c r="F186" s="88" t="s">
        <v>323</v>
      </c>
      <c r="G186" s="89">
        <v>2</v>
      </c>
    </row>
    <row r="187" spans="6:7" x14ac:dyDescent="0.25">
      <c r="F187" s="142" t="s">
        <v>31</v>
      </c>
      <c r="G187" s="89">
        <v>0</v>
      </c>
    </row>
    <row r="188" spans="6:7" x14ac:dyDescent="0.25">
      <c r="F188" s="88" t="s">
        <v>327</v>
      </c>
      <c r="G188" s="89">
        <v>0</v>
      </c>
    </row>
    <row r="189" spans="6:7" x14ac:dyDescent="0.25">
      <c r="F189" s="88" t="s">
        <v>329</v>
      </c>
      <c r="G189" s="89">
        <v>4</v>
      </c>
    </row>
    <row r="190" spans="6:7" x14ac:dyDescent="0.25">
      <c r="F190" s="142" t="s">
        <v>567</v>
      </c>
      <c r="G190" s="89">
        <v>4</v>
      </c>
    </row>
    <row r="191" spans="6:7" x14ac:dyDescent="0.25">
      <c r="F191" s="88" t="s">
        <v>33</v>
      </c>
      <c r="G191" s="89">
        <v>0</v>
      </c>
    </row>
    <row r="192" spans="6:7" x14ac:dyDescent="0.25">
      <c r="F192" s="88" t="s">
        <v>34</v>
      </c>
      <c r="G192" s="89">
        <v>0</v>
      </c>
    </row>
    <row r="193" spans="6:7" x14ac:dyDescent="0.25">
      <c r="F193" s="88" t="s">
        <v>35</v>
      </c>
      <c r="G193" s="89">
        <v>1</v>
      </c>
    </row>
    <row r="194" spans="6:7" x14ac:dyDescent="0.25">
      <c r="F194" s="88" t="s">
        <v>36</v>
      </c>
      <c r="G194" s="89">
        <v>4</v>
      </c>
    </row>
    <row r="195" spans="6:7" x14ac:dyDescent="0.25">
      <c r="F195" s="88" t="s">
        <v>37</v>
      </c>
      <c r="G195" s="89">
        <v>4</v>
      </c>
    </row>
    <row r="196" spans="6:7" x14ac:dyDescent="0.25">
      <c r="F196" s="88" t="s">
        <v>38</v>
      </c>
      <c r="G196" s="89">
        <v>0</v>
      </c>
    </row>
    <row r="197" spans="6:7" x14ac:dyDescent="0.25">
      <c r="F197" s="88" t="s">
        <v>39</v>
      </c>
      <c r="G197" s="89">
        <v>1</v>
      </c>
    </row>
    <row r="198" spans="6:7" x14ac:dyDescent="0.25">
      <c r="F198" s="88" t="s">
        <v>342</v>
      </c>
      <c r="G198" s="89">
        <v>1</v>
      </c>
    </row>
    <row r="199" spans="6:7" x14ac:dyDescent="0.25">
      <c r="F199" s="88" t="s">
        <v>40</v>
      </c>
      <c r="G199" s="89">
        <v>3</v>
      </c>
    </row>
    <row r="200" spans="6:7" x14ac:dyDescent="0.25">
      <c r="F200" s="88" t="s">
        <v>346</v>
      </c>
      <c r="G200" s="89">
        <v>3</v>
      </c>
    </row>
    <row r="201" spans="6:7" x14ac:dyDescent="0.25">
      <c r="F201" s="88" t="s">
        <v>349</v>
      </c>
      <c r="G201" s="89">
        <v>0</v>
      </c>
    </row>
    <row r="202" spans="6:7" x14ac:dyDescent="0.25">
      <c r="F202" s="88" t="s">
        <v>356</v>
      </c>
      <c r="G202" s="89">
        <v>4</v>
      </c>
    </row>
    <row r="203" spans="6:7" x14ac:dyDescent="0.25">
      <c r="F203" s="88" t="s">
        <v>47</v>
      </c>
      <c r="G203" s="89">
        <v>0</v>
      </c>
    </row>
    <row r="204" spans="6:7" x14ac:dyDescent="0.25">
      <c r="F204" s="88" t="s">
        <v>48</v>
      </c>
      <c r="G204" s="89">
        <v>0</v>
      </c>
    </row>
    <row r="205" spans="6:7" x14ac:dyDescent="0.25">
      <c r="F205" s="88" t="s">
        <v>361</v>
      </c>
      <c r="G205" s="89">
        <v>1</v>
      </c>
    </row>
    <row r="206" spans="6:7" x14ac:dyDescent="0.25">
      <c r="F206" s="88" t="s">
        <v>364</v>
      </c>
      <c r="G206" s="89">
        <v>0</v>
      </c>
    </row>
    <row r="207" spans="6:7" x14ac:dyDescent="0.25">
      <c r="F207" s="142" t="s">
        <v>366</v>
      </c>
      <c r="G207" s="89">
        <v>4</v>
      </c>
    </row>
    <row r="208" spans="6:7" x14ac:dyDescent="0.25">
      <c r="F208" s="142" t="s">
        <v>51</v>
      </c>
      <c r="G208" s="89">
        <v>4</v>
      </c>
    </row>
    <row r="209" spans="6:7" x14ac:dyDescent="0.25">
      <c r="F209" s="88" t="s">
        <v>386</v>
      </c>
      <c r="G209" s="89">
        <v>4</v>
      </c>
    </row>
    <row r="210" spans="6:7" x14ac:dyDescent="0.25">
      <c r="F210" s="88" t="s">
        <v>53</v>
      </c>
      <c r="G210" s="89">
        <v>4</v>
      </c>
    </row>
    <row r="211" spans="6:7" x14ac:dyDescent="0.25">
      <c r="F211" s="88" t="s">
        <v>55</v>
      </c>
      <c r="G211" s="89">
        <v>4</v>
      </c>
    </row>
    <row r="212" spans="6:7" x14ac:dyDescent="0.25">
      <c r="F212" s="88" t="s">
        <v>376</v>
      </c>
      <c r="G212" s="89">
        <v>4</v>
      </c>
    </row>
    <row r="213" spans="6:7" x14ac:dyDescent="0.25">
      <c r="F213" s="88" t="s">
        <v>378</v>
      </c>
      <c r="G213" s="89">
        <v>4</v>
      </c>
    </row>
    <row r="214" spans="6:7" x14ac:dyDescent="0.25">
      <c r="F214" s="88" t="s">
        <v>380</v>
      </c>
      <c r="G214" s="89">
        <v>4</v>
      </c>
    </row>
    <row r="215" spans="6:7" x14ac:dyDescent="0.25">
      <c r="F215" s="88" t="s">
        <v>216</v>
      </c>
      <c r="G215" s="89">
        <v>2.1898734177215191</v>
      </c>
    </row>
  </sheetData>
  <autoFilter ref="A2:V2"/>
  <mergeCells count="88">
    <mergeCell ref="P76:P81"/>
    <mergeCell ref="N25:N29"/>
    <mergeCell ref="N16:N19"/>
    <mergeCell ref="N20:N22"/>
    <mergeCell ref="N30:N32"/>
    <mergeCell ref="N33:N34"/>
    <mergeCell ref="N35:N43"/>
    <mergeCell ref="N48:N49"/>
    <mergeCell ref="N51:N53"/>
    <mergeCell ref="N54:N57"/>
    <mergeCell ref="N59:N62"/>
    <mergeCell ref="N63:N65"/>
    <mergeCell ref="N66:N67"/>
    <mergeCell ref="N70:N72"/>
    <mergeCell ref="P12:P24"/>
    <mergeCell ref="P25:P49"/>
    <mergeCell ref="M76:M81"/>
    <mergeCell ref="O12:O24"/>
    <mergeCell ref="O25:O49"/>
    <mergeCell ref="O50:O58"/>
    <mergeCell ref="O59:O68"/>
    <mergeCell ref="O69:O75"/>
    <mergeCell ref="O76:O81"/>
    <mergeCell ref="N73:N74"/>
    <mergeCell ref="N76:N81"/>
    <mergeCell ref="M16:M19"/>
    <mergeCell ref="M20:M22"/>
    <mergeCell ref="M25:M29"/>
    <mergeCell ref="M30:M32"/>
    <mergeCell ref="M54:M57"/>
    <mergeCell ref="M45:M47"/>
    <mergeCell ref="P50:P58"/>
    <mergeCell ref="P59:P68"/>
    <mergeCell ref="P69:P75"/>
    <mergeCell ref="I69:I75"/>
    <mergeCell ref="H70:H72"/>
    <mergeCell ref="H73:H74"/>
    <mergeCell ref="H76:H81"/>
    <mergeCell ref="I76:I81"/>
    <mergeCell ref="I12:I24"/>
    <mergeCell ref="H16:H19"/>
    <mergeCell ref="H20:H22"/>
    <mergeCell ref="H25:H29"/>
    <mergeCell ref="I25:I49"/>
    <mergeCell ref="H30:H32"/>
    <mergeCell ref="H33:H34"/>
    <mergeCell ref="H35:H43"/>
    <mergeCell ref="H48:H49"/>
    <mergeCell ref="H45:H47"/>
    <mergeCell ref="I50:I58"/>
    <mergeCell ref="H51:H53"/>
    <mergeCell ref="H54:H57"/>
    <mergeCell ref="H59:H62"/>
    <mergeCell ref="I59:I68"/>
    <mergeCell ref="H63:H65"/>
    <mergeCell ref="H66:H67"/>
    <mergeCell ref="H10:H11"/>
    <mergeCell ref="M10:M11"/>
    <mergeCell ref="N10:N11"/>
    <mergeCell ref="H12:H13"/>
    <mergeCell ref="H3:H4"/>
    <mergeCell ref="M3:M4"/>
    <mergeCell ref="N3:N4"/>
    <mergeCell ref="I3:I11"/>
    <mergeCell ref="H5:H6"/>
    <mergeCell ref="H7:H9"/>
    <mergeCell ref="M5:M6"/>
    <mergeCell ref="N5:N6"/>
    <mergeCell ref="M7:M9"/>
    <mergeCell ref="N7:N9"/>
    <mergeCell ref="M12:M13"/>
    <mergeCell ref="N12:N13"/>
    <mergeCell ref="J133:R133"/>
    <mergeCell ref="J84:R84"/>
    <mergeCell ref="J86:R86"/>
    <mergeCell ref="J108:R108"/>
    <mergeCell ref="P3:P11"/>
    <mergeCell ref="N45:N47"/>
    <mergeCell ref="O3:O11"/>
    <mergeCell ref="M59:M62"/>
    <mergeCell ref="M63:M65"/>
    <mergeCell ref="M66:M67"/>
    <mergeCell ref="M70:M72"/>
    <mergeCell ref="M73:M74"/>
    <mergeCell ref="M33:M34"/>
    <mergeCell ref="M35:M43"/>
    <mergeCell ref="M48:M49"/>
    <mergeCell ref="M51:M53"/>
  </mergeCells>
  <pageMargins left="0.70866141732283472" right="0.70866141732283472" top="0.74803149606299213" bottom="0.55118110236220474" header="0.31496062992125984" footer="0.31496062992125984"/>
  <pageSetup paperSize="9" orientation="portrait" verticalDpi="0"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view="pageBreakPreview" topLeftCell="A23" zoomScaleNormal="100" zoomScaleSheetLayoutView="100" zoomScalePageLayoutView="80" workbookViewId="0">
      <selection activeCell="D76" sqref="D76:E76"/>
    </sheetView>
  </sheetViews>
  <sheetFormatPr defaultColWidth="9.140625" defaultRowHeight="18" x14ac:dyDescent="0.25"/>
  <cols>
    <col min="1" max="1" width="6" style="63" bestFit="1" customWidth="1"/>
    <col min="2" max="2" width="51" style="114" bestFit="1" customWidth="1"/>
    <col min="3" max="3" width="27.5703125" style="63" customWidth="1"/>
    <col min="4" max="5" width="20.42578125" style="63" customWidth="1"/>
    <col min="6" max="6" width="1.5703125" style="64" customWidth="1"/>
    <col min="7" max="7" width="20.28515625" style="64" hidden="1" customWidth="1"/>
    <col min="8" max="8" width="0" style="64" hidden="1" customWidth="1"/>
    <col min="9" max="9" width="14.42578125" style="64" hidden="1" customWidth="1"/>
    <col min="10" max="16384" width="9.140625" style="64"/>
  </cols>
  <sheetData>
    <row r="1" spans="1:9" x14ac:dyDescent="0.25">
      <c r="A1" s="229" t="s">
        <v>206</v>
      </c>
      <c r="B1" s="229"/>
      <c r="C1" s="229"/>
      <c r="D1" s="229"/>
      <c r="E1" s="229"/>
    </row>
    <row r="2" spans="1:9" ht="20.100000000000001" customHeight="1" x14ac:dyDescent="0.25">
      <c r="A2" s="204" t="s">
        <v>203</v>
      </c>
      <c r="B2" s="204"/>
      <c r="C2" s="204" t="str">
        <f>'University 115m'!$J$2</f>
        <v>Institute
Name</v>
      </c>
      <c r="D2" s="204"/>
      <c r="E2" s="204"/>
    </row>
    <row r="3" spans="1:9" ht="20.100000000000001" customHeight="1" x14ac:dyDescent="0.25">
      <c r="A3" s="204" t="s">
        <v>204</v>
      </c>
      <c r="B3" s="204"/>
      <c r="C3" s="204" t="str">
        <f>'University 115m'!K$1</f>
        <v>University</v>
      </c>
      <c r="D3" s="204"/>
      <c r="E3" s="204"/>
    </row>
    <row r="4" spans="1:9" ht="20.100000000000001" customHeight="1" x14ac:dyDescent="0.25">
      <c r="A4" s="205" t="s">
        <v>205</v>
      </c>
      <c r="B4" s="205"/>
      <c r="C4" s="206"/>
      <c r="D4" s="206"/>
      <c r="E4" s="206"/>
    </row>
    <row r="5" spans="1:9" s="63" customFormat="1" ht="108" x14ac:dyDescent="0.25">
      <c r="A5" s="81" t="s">
        <v>163</v>
      </c>
      <c r="B5" s="82" t="s">
        <v>108</v>
      </c>
      <c r="C5" s="82" t="s">
        <v>130</v>
      </c>
      <c r="D5" s="82" t="s">
        <v>160</v>
      </c>
      <c r="E5" s="82" t="s">
        <v>214</v>
      </c>
      <c r="G5" s="83" t="s">
        <v>153</v>
      </c>
      <c r="H5" s="83" t="s">
        <v>154</v>
      </c>
      <c r="I5" s="84" t="s">
        <v>138</v>
      </c>
    </row>
    <row r="6" spans="1:9" s="85" customFormat="1" ht="50.1" customHeight="1" x14ac:dyDescent="0.25">
      <c r="A6" s="73">
        <v>1</v>
      </c>
      <c r="B6" s="112" t="s">
        <v>131</v>
      </c>
      <c r="C6" s="73">
        <f>SUM('Qn (79m)'!I3:I11)</f>
        <v>125</v>
      </c>
      <c r="D6" s="73">
        <f>SUM('Qn (79m)'!O3:O11)</f>
        <v>340</v>
      </c>
      <c r="E6" s="75">
        <f>D6/C6</f>
        <v>2.72</v>
      </c>
      <c r="G6" s="73" t="s">
        <v>139</v>
      </c>
      <c r="H6" s="73" t="s">
        <v>140</v>
      </c>
      <c r="I6" s="73" t="s">
        <v>141</v>
      </c>
    </row>
    <row r="7" spans="1:9" s="85" customFormat="1" ht="50.1" customHeight="1" x14ac:dyDescent="0.25">
      <c r="A7" s="73">
        <v>2</v>
      </c>
      <c r="B7" s="112" t="s">
        <v>132</v>
      </c>
      <c r="C7" s="73">
        <f>SUM('Qn (79m)'!I12:I24)</f>
        <v>148</v>
      </c>
      <c r="D7" s="73">
        <f>SUM('Qn (79m)'!O12:O24)</f>
        <v>317</v>
      </c>
      <c r="E7" s="75">
        <f t="shared" ref="E7:E12" si="0">D7/C7</f>
        <v>2.1418918918918921</v>
      </c>
      <c r="G7" s="73" t="s">
        <v>142</v>
      </c>
      <c r="H7" s="73" t="s">
        <v>149</v>
      </c>
      <c r="I7" s="73" t="s">
        <v>141</v>
      </c>
    </row>
    <row r="8" spans="1:9" s="85" customFormat="1" ht="50.1" customHeight="1" x14ac:dyDescent="0.25">
      <c r="A8" s="73">
        <v>3</v>
      </c>
      <c r="B8" s="112" t="s">
        <v>133</v>
      </c>
      <c r="C8" s="73">
        <f>SUM('Qn (79m)'!I25:I49)</f>
        <v>227</v>
      </c>
      <c r="D8" s="73">
        <f>SUM('Qn (79m)'!O25:O49)</f>
        <v>388</v>
      </c>
      <c r="E8" s="75">
        <f t="shared" si="0"/>
        <v>1.7092511013215859</v>
      </c>
      <c r="G8" s="73" t="s">
        <v>143</v>
      </c>
      <c r="H8" s="73" t="s">
        <v>125</v>
      </c>
      <c r="I8" s="73" t="s">
        <v>141</v>
      </c>
    </row>
    <row r="9" spans="1:9" s="85" customFormat="1" ht="50.1" customHeight="1" x14ac:dyDescent="0.25">
      <c r="A9" s="73">
        <v>4</v>
      </c>
      <c r="B9" s="112" t="s">
        <v>134</v>
      </c>
      <c r="C9" s="73">
        <f>SUM('Qn (79m)'!I50:I58)</f>
        <v>61</v>
      </c>
      <c r="D9" s="73">
        <f>SUM('Qn (79m)'!O50:O58)</f>
        <v>94</v>
      </c>
      <c r="E9" s="75">
        <f t="shared" si="0"/>
        <v>1.540983606557377</v>
      </c>
      <c r="G9" s="73" t="s">
        <v>144</v>
      </c>
      <c r="H9" s="73" t="s">
        <v>150</v>
      </c>
      <c r="I9" s="73" t="s">
        <v>141</v>
      </c>
    </row>
    <row r="10" spans="1:9" s="85" customFormat="1" ht="50.1" customHeight="1" x14ac:dyDescent="0.25">
      <c r="A10" s="73">
        <v>5</v>
      </c>
      <c r="B10" s="112" t="s">
        <v>135</v>
      </c>
      <c r="C10" s="73">
        <f>SUM('Qn (79m)'!I59:I68)</f>
        <v>93</v>
      </c>
      <c r="D10" s="73">
        <f>SUM('Qn (79m)'!O59:O68)</f>
        <v>125</v>
      </c>
      <c r="E10" s="75">
        <f t="shared" si="0"/>
        <v>1.3440860215053763</v>
      </c>
      <c r="G10" s="73" t="s">
        <v>145</v>
      </c>
      <c r="H10" s="73" t="s">
        <v>151</v>
      </c>
      <c r="I10" s="73" t="s">
        <v>141</v>
      </c>
    </row>
    <row r="11" spans="1:9" s="85" customFormat="1" ht="50.1" customHeight="1" x14ac:dyDescent="0.25">
      <c r="A11" s="73">
        <v>6</v>
      </c>
      <c r="B11" s="112" t="s">
        <v>136</v>
      </c>
      <c r="C11" s="73">
        <f>SUM('Qn (79m)'!I69:I75)</f>
        <v>55</v>
      </c>
      <c r="D11" s="73">
        <f>SUM('Qn (79m)'!O69:O75)</f>
        <v>92</v>
      </c>
      <c r="E11" s="75">
        <f t="shared" si="0"/>
        <v>1.6727272727272726</v>
      </c>
      <c r="G11" s="73" t="s">
        <v>146</v>
      </c>
      <c r="H11" s="73" t="s">
        <v>126</v>
      </c>
      <c r="I11" s="73" t="s">
        <v>141</v>
      </c>
    </row>
    <row r="12" spans="1:9" s="85" customFormat="1" ht="50.1" customHeight="1" x14ac:dyDescent="0.25">
      <c r="A12" s="73">
        <v>7</v>
      </c>
      <c r="B12" s="112" t="s">
        <v>137</v>
      </c>
      <c r="C12" s="73">
        <f>SUM('Qn (79m)'!I76:I81)</f>
        <v>27</v>
      </c>
      <c r="D12" s="73">
        <f>SUM('Qn (79m)'!O76:O81)</f>
        <v>108</v>
      </c>
      <c r="E12" s="75">
        <f t="shared" si="0"/>
        <v>4</v>
      </c>
      <c r="G12" s="73" t="s">
        <v>148</v>
      </c>
      <c r="H12" s="73" t="s">
        <v>128</v>
      </c>
      <c r="I12" s="73" t="s">
        <v>141</v>
      </c>
    </row>
    <row r="13" spans="1:9" ht="66" customHeight="1" x14ac:dyDescent="0.25">
      <c r="A13" s="196" t="s">
        <v>215</v>
      </c>
      <c r="B13" s="196"/>
      <c r="C13" s="73">
        <f>SUM(C6:C12)</f>
        <v>736</v>
      </c>
      <c r="D13" s="110">
        <f>SUM(D6:D12)</f>
        <v>1464</v>
      </c>
      <c r="E13" s="75">
        <f>D13/C13</f>
        <v>1.9891304347826086</v>
      </c>
      <c r="G13" s="60" t="s">
        <v>147</v>
      </c>
      <c r="H13" s="60" t="s">
        <v>127</v>
      </c>
      <c r="I13" s="60" t="s">
        <v>152</v>
      </c>
    </row>
    <row r="14" spans="1:9" s="78" customFormat="1" ht="24.95" customHeight="1" thickBot="1" x14ac:dyDescent="0.3">
      <c r="A14" s="77"/>
      <c r="B14" s="113"/>
      <c r="C14" s="77"/>
      <c r="D14" s="77"/>
      <c r="E14" s="79"/>
    </row>
    <row r="15" spans="1:9" ht="73.5" customHeight="1" thickBot="1" x14ac:dyDescent="0.3">
      <c r="A15" s="162">
        <f>D13/C13</f>
        <v>1.9891304347826086</v>
      </c>
      <c r="B15" s="163"/>
      <c r="C15" s="163"/>
      <c r="D15" s="163"/>
      <c r="E15" s="164"/>
    </row>
    <row r="16" spans="1:9" ht="18.75" thickBot="1" x14ac:dyDescent="0.3">
      <c r="D16" s="80"/>
      <c r="E16" s="77"/>
    </row>
    <row r="17" spans="1:5" ht="33.75" customHeight="1" thickBot="1" x14ac:dyDescent="0.3">
      <c r="A17" s="155" t="str">
        <f>IF(AND($A$15&lt;=4,$A$15&gt;=3.51),"A++",IF(AND($A$15&lt;=3.5,$A$15&gt;=3.26),"A+",IF(AND($A$15&lt;=3.25,$A$15&gt;3.01),"A",IF(AND($A$15&lt;=3,$A$15&gt;=2.76),"B++",IF(AND($A$15&lt;=2.75,$A$15&gt;=2.51),"B+",IF(AND($A$15&lt;=2.5,$A$15&gt;=2.01),"B",IF(AND($A$15&lt;=2,$A$15&gt;=1.51),"C","D")))))))</f>
        <v>C</v>
      </c>
      <c r="B17" s="156"/>
      <c r="C17" s="156"/>
      <c r="D17" s="156"/>
      <c r="E17" s="157"/>
    </row>
    <row r="18" spans="1:5" x14ac:dyDescent="0.25">
      <c r="D18" s="80"/>
      <c r="E18" s="77"/>
    </row>
    <row r="19" spans="1:5" ht="22.5" customHeight="1" x14ac:dyDescent="0.25">
      <c r="A19" s="203" t="s">
        <v>217</v>
      </c>
      <c r="B19" s="203"/>
      <c r="C19" s="203"/>
      <c r="D19" s="203"/>
      <c r="E19" s="203"/>
    </row>
    <row r="20" spans="1:5" ht="22.5" customHeight="1" x14ac:dyDescent="0.25">
      <c r="A20" s="204" t="s">
        <v>203</v>
      </c>
      <c r="B20" s="204"/>
      <c r="C20" s="204" t="str">
        <f>'University 115m'!$J$2</f>
        <v>Institute
Name</v>
      </c>
      <c r="D20" s="204"/>
      <c r="E20" s="204"/>
    </row>
    <row r="21" spans="1:5" ht="22.5" customHeight="1" x14ac:dyDescent="0.25">
      <c r="A21" s="204" t="s">
        <v>204</v>
      </c>
      <c r="B21" s="204"/>
      <c r="C21" s="204" t="str">
        <f>'University 115m'!$K$1</f>
        <v>University</v>
      </c>
      <c r="D21" s="204"/>
      <c r="E21" s="204"/>
    </row>
    <row r="22" spans="1:5" ht="22.5" customHeight="1" x14ac:dyDescent="0.25">
      <c r="A22" s="205" t="s">
        <v>205</v>
      </c>
      <c r="B22" s="205"/>
      <c r="C22" s="206"/>
      <c r="D22" s="206"/>
      <c r="E22" s="206"/>
    </row>
    <row r="23" spans="1:5" s="63" customFormat="1" ht="72" x14ac:dyDescent="0.25">
      <c r="A23" s="58" t="s">
        <v>163</v>
      </c>
      <c r="B23" s="59" t="s">
        <v>155</v>
      </c>
      <c r="C23" s="59" t="s">
        <v>207</v>
      </c>
      <c r="D23" s="207" t="s">
        <v>208</v>
      </c>
      <c r="E23" s="208"/>
    </row>
    <row r="24" spans="1:5" s="63" customFormat="1" ht="27.95" customHeight="1" x14ac:dyDescent="0.25">
      <c r="A24" s="170" t="s">
        <v>161</v>
      </c>
      <c r="B24" s="170"/>
      <c r="C24" s="170"/>
      <c r="D24" s="170"/>
      <c r="E24" s="170"/>
    </row>
    <row r="25" spans="1:5" ht="27" customHeight="1" x14ac:dyDescent="0.25">
      <c r="A25" s="102">
        <v>1.1000000000000001</v>
      </c>
      <c r="B25" s="115" t="s">
        <v>201</v>
      </c>
      <c r="C25" s="102">
        <v>30</v>
      </c>
      <c r="D25" s="165">
        <f>SUM('Qn (79m)'!M3:M4)</f>
        <v>90</v>
      </c>
      <c r="E25" s="166"/>
    </row>
    <row r="26" spans="1:5" ht="27" customHeight="1" x14ac:dyDescent="0.25">
      <c r="A26" s="102">
        <v>1.2</v>
      </c>
      <c r="B26" s="115" t="s">
        <v>198</v>
      </c>
      <c r="C26" s="102">
        <v>50</v>
      </c>
      <c r="D26" s="165">
        <f>SUM('Qn (79m)'!M5:M6)</f>
        <v>80</v>
      </c>
      <c r="E26" s="166"/>
    </row>
    <row r="27" spans="1:5" ht="27" customHeight="1" x14ac:dyDescent="0.25">
      <c r="A27" s="102">
        <v>1.3</v>
      </c>
      <c r="B27" s="115" t="s">
        <v>199</v>
      </c>
      <c r="C27" s="102">
        <v>25</v>
      </c>
      <c r="D27" s="165">
        <f>SUM('Qn (79m)'!M7:M9)</f>
        <v>90</v>
      </c>
      <c r="E27" s="166"/>
    </row>
    <row r="28" spans="1:5" ht="27" customHeight="1" x14ac:dyDescent="0.25">
      <c r="A28" s="102">
        <v>1.4</v>
      </c>
      <c r="B28" s="115" t="s">
        <v>200</v>
      </c>
      <c r="C28" s="102">
        <v>20</v>
      </c>
      <c r="D28" s="165">
        <f>SUM('Qn (79m)'!M10:M11)</f>
        <v>80</v>
      </c>
      <c r="E28" s="166"/>
    </row>
    <row r="29" spans="1:5" ht="30" customHeight="1" thickBot="1" x14ac:dyDescent="0.3">
      <c r="A29" s="171" t="s">
        <v>215</v>
      </c>
      <c r="B29" s="172"/>
      <c r="C29" s="99">
        <f>SUM(C25:C28)</f>
        <v>125</v>
      </c>
      <c r="D29" s="190">
        <f>SUM(D25:D28)</f>
        <v>340</v>
      </c>
      <c r="E29" s="191"/>
    </row>
    <row r="30" spans="1:5" ht="30.75" customHeight="1" thickBot="1" x14ac:dyDescent="0.3">
      <c r="A30" s="162">
        <f>D29/C29</f>
        <v>2.72</v>
      </c>
      <c r="B30" s="163"/>
      <c r="C30" s="163"/>
      <c r="D30" s="163"/>
      <c r="E30" s="164"/>
    </row>
    <row r="31" spans="1:5" ht="27.95" customHeight="1" x14ac:dyDescent="0.25">
      <c r="A31" s="195" t="s">
        <v>162</v>
      </c>
      <c r="B31" s="195"/>
      <c r="C31" s="195"/>
      <c r="D31" s="195"/>
      <c r="E31" s="195"/>
    </row>
    <row r="32" spans="1:5" ht="27" customHeight="1" x14ac:dyDescent="0.25">
      <c r="A32" s="102">
        <v>2.1</v>
      </c>
      <c r="B32" s="116" t="s">
        <v>168</v>
      </c>
      <c r="C32" s="102">
        <v>10</v>
      </c>
      <c r="D32" s="165">
        <f>SUM('Qn (79m)'!M12:M13)</f>
        <v>15</v>
      </c>
      <c r="E32" s="166"/>
    </row>
    <row r="33" spans="1:5" ht="27" customHeight="1" x14ac:dyDescent="0.25">
      <c r="A33" s="102">
        <v>2.2000000000000002</v>
      </c>
      <c r="B33" s="116" t="s">
        <v>169</v>
      </c>
      <c r="C33" s="102">
        <v>10</v>
      </c>
      <c r="D33" s="165">
        <f>SUM('Qn (79m)'!M14)</f>
        <v>40</v>
      </c>
      <c r="E33" s="166"/>
    </row>
    <row r="34" spans="1:5" ht="27" customHeight="1" x14ac:dyDescent="0.25">
      <c r="A34" s="102">
        <v>2.2999999999999998</v>
      </c>
      <c r="B34" s="116" t="s">
        <v>170</v>
      </c>
      <c r="C34" s="102">
        <v>8</v>
      </c>
      <c r="D34" s="165">
        <f>SUM('Qn (79m)'!M15)</f>
        <v>32</v>
      </c>
      <c r="E34" s="166"/>
    </row>
    <row r="35" spans="1:5" ht="27" customHeight="1" x14ac:dyDescent="0.25">
      <c r="A35" s="102">
        <v>2.4</v>
      </c>
      <c r="B35" s="116" t="s">
        <v>164</v>
      </c>
      <c r="C35" s="102">
        <v>50</v>
      </c>
      <c r="D35" s="165">
        <f>SUM('Qn (79m)'!M16:M19)</f>
        <v>115</v>
      </c>
      <c r="E35" s="166"/>
    </row>
    <row r="36" spans="1:5" ht="27" customHeight="1" x14ac:dyDescent="0.25">
      <c r="A36" s="102">
        <v>2.5</v>
      </c>
      <c r="B36" s="116" t="s">
        <v>165</v>
      </c>
      <c r="C36" s="102">
        <v>30</v>
      </c>
      <c r="D36" s="165">
        <f>SUM('Qn (79m)'!M20:M22)</f>
        <v>15</v>
      </c>
      <c r="E36" s="166"/>
    </row>
    <row r="37" spans="1:5" ht="36" x14ac:dyDescent="0.25">
      <c r="A37" s="102">
        <v>2.6</v>
      </c>
      <c r="B37" s="116" t="s">
        <v>166</v>
      </c>
      <c r="C37" s="102">
        <v>10</v>
      </c>
      <c r="D37" s="165">
        <f>SUM('Qn (79m)'!M23)</f>
        <v>40</v>
      </c>
      <c r="E37" s="166"/>
    </row>
    <row r="38" spans="1:5" ht="27" customHeight="1" x14ac:dyDescent="0.25">
      <c r="A38" s="102">
        <v>2.7</v>
      </c>
      <c r="B38" s="116" t="s">
        <v>167</v>
      </c>
      <c r="C38" s="102">
        <v>30</v>
      </c>
      <c r="D38" s="165">
        <f>SUM('Qn (79m)'!M24)</f>
        <v>60</v>
      </c>
      <c r="E38" s="166"/>
    </row>
    <row r="39" spans="1:5" ht="29.25" customHeight="1" x14ac:dyDescent="0.25">
      <c r="A39" s="187" t="s">
        <v>215</v>
      </c>
      <c r="B39" s="187"/>
      <c r="C39" s="99">
        <f>SUM(C32:C38)</f>
        <v>148</v>
      </c>
      <c r="D39" s="188">
        <f>SUM(D32:D38)</f>
        <v>317</v>
      </c>
      <c r="E39" s="188"/>
    </row>
    <row r="40" spans="1:5" ht="33.75" customHeight="1" x14ac:dyDescent="0.25">
      <c r="A40" s="230">
        <f>D39/C39</f>
        <v>2.1418918918918921</v>
      </c>
      <c r="B40" s="230"/>
      <c r="C40" s="230"/>
      <c r="D40" s="230"/>
      <c r="E40" s="230"/>
    </row>
    <row r="41" spans="1:5" ht="27.95" customHeight="1" x14ac:dyDescent="0.25">
      <c r="A41" s="170" t="s">
        <v>171</v>
      </c>
      <c r="B41" s="170"/>
      <c r="C41" s="170"/>
      <c r="D41" s="170"/>
      <c r="E41" s="170"/>
    </row>
    <row r="42" spans="1:5" ht="36" x14ac:dyDescent="0.25">
      <c r="A42" s="102">
        <v>3.1</v>
      </c>
      <c r="B42" s="116" t="s">
        <v>440</v>
      </c>
      <c r="C42" s="102">
        <v>18</v>
      </c>
      <c r="D42" s="165">
        <f>SUM('Qn (79m)'!M25:M29)</f>
        <v>43</v>
      </c>
      <c r="E42" s="166"/>
    </row>
    <row r="43" spans="1:5" ht="27" customHeight="1" x14ac:dyDescent="0.25">
      <c r="A43" s="102">
        <v>3.2</v>
      </c>
      <c r="B43" s="116" t="s">
        <v>172</v>
      </c>
      <c r="C43" s="102">
        <v>20</v>
      </c>
      <c r="D43" s="165">
        <f>SUM('Qn (79m)'!M30:M32)</f>
        <v>40</v>
      </c>
      <c r="E43" s="166"/>
    </row>
    <row r="44" spans="1:5" ht="27" customHeight="1" x14ac:dyDescent="0.25">
      <c r="A44" s="102">
        <v>3.3</v>
      </c>
      <c r="B44" s="116" t="s">
        <v>173</v>
      </c>
      <c r="C44" s="102">
        <v>20</v>
      </c>
      <c r="D44" s="165">
        <f>SUM('Qn (79m)'!M33:M34)</f>
        <v>50</v>
      </c>
      <c r="E44" s="166"/>
    </row>
    <row r="45" spans="1:5" ht="27" customHeight="1" x14ac:dyDescent="0.25">
      <c r="A45" s="102">
        <v>3.4</v>
      </c>
      <c r="B45" s="116" t="s">
        <v>174</v>
      </c>
      <c r="C45" s="102">
        <v>100</v>
      </c>
      <c r="D45" s="165">
        <f>SUM('Qn (79m)'!M35:M43)</f>
        <v>95</v>
      </c>
      <c r="E45" s="166"/>
    </row>
    <row r="46" spans="1:5" ht="27" customHeight="1" x14ac:dyDescent="0.25">
      <c r="A46" s="102">
        <v>3.5</v>
      </c>
      <c r="B46" s="116" t="s">
        <v>441</v>
      </c>
      <c r="C46" s="102">
        <v>15</v>
      </c>
      <c r="D46" s="165">
        <f>SUM('Qn (79m)'!M44)</f>
        <v>60</v>
      </c>
      <c r="E46" s="166"/>
    </row>
    <row r="47" spans="1:5" ht="27" customHeight="1" x14ac:dyDescent="0.25">
      <c r="A47" s="102">
        <v>3.6</v>
      </c>
      <c r="B47" s="116" t="s">
        <v>175</v>
      </c>
      <c r="C47" s="102">
        <v>34</v>
      </c>
      <c r="D47" s="165">
        <f>SUM('Qn (79m)'!M45:M47)</f>
        <v>60</v>
      </c>
      <c r="E47" s="166"/>
    </row>
    <row r="48" spans="1:5" ht="27" customHeight="1" x14ac:dyDescent="0.25">
      <c r="A48" s="102">
        <v>3.7</v>
      </c>
      <c r="B48" s="116" t="s">
        <v>176</v>
      </c>
      <c r="C48" s="102">
        <v>20</v>
      </c>
      <c r="D48" s="165">
        <f>SUM('Qn (79m)'!M48:M49)</f>
        <v>40</v>
      </c>
      <c r="E48" s="166"/>
    </row>
    <row r="49" spans="1:5" ht="30" customHeight="1" x14ac:dyDescent="0.25">
      <c r="A49" s="187" t="s">
        <v>215</v>
      </c>
      <c r="B49" s="187"/>
      <c r="C49" s="99">
        <f>SUM(C42:C48)</f>
        <v>227</v>
      </c>
      <c r="D49" s="188">
        <f>SUM(D42:D48)</f>
        <v>388</v>
      </c>
      <c r="E49" s="188"/>
    </row>
    <row r="50" spans="1:5" s="63" customFormat="1" ht="34.5" customHeight="1" x14ac:dyDescent="0.25">
      <c r="A50" s="231">
        <f>D49/C49</f>
        <v>1.7092511013215859</v>
      </c>
      <c r="B50" s="231"/>
      <c r="C50" s="231"/>
      <c r="D50" s="231"/>
      <c r="E50" s="231"/>
    </row>
    <row r="51" spans="1:5" ht="27.95" customHeight="1" x14ac:dyDescent="0.25">
      <c r="A51" s="170" t="s">
        <v>177</v>
      </c>
      <c r="B51" s="170"/>
      <c r="C51" s="170"/>
      <c r="D51" s="170"/>
      <c r="E51" s="170"/>
    </row>
    <row r="52" spans="1:5" ht="27" customHeight="1" x14ac:dyDescent="0.25">
      <c r="A52" s="102">
        <v>4.0999999999999996</v>
      </c>
      <c r="B52" s="116" t="s">
        <v>178</v>
      </c>
      <c r="C52" s="102">
        <v>10</v>
      </c>
      <c r="D52" s="165">
        <f>SUM('Qn (79m)'!M50)</f>
        <v>0</v>
      </c>
      <c r="E52" s="166"/>
    </row>
    <row r="53" spans="1:5" ht="27" customHeight="1" x14ac:dyDescent="0.25">
      <c r="A53" s="102">
        <v>4.2</v>
      </c>
      <c r="B53" s="116" t="s">
        <v>179</v>
      </c>
      <c r="C53" s="102">
        <v>16</v>
      </c>
      <c r="D53" s="165">
        <f>SUM('Qn (79m)'!M51:M53)</f>
        <v>54</v>
      </c>
      <c r="E53" s="166"/>
    </row>
    <row r="54" spans="1:5" ht="27" customHeight="1" x14ac:dyDescent="0.25">
      <c r="A54" s="102">
        <v>4.3</v>
      </c>
      <c r="B54" s="116" t="s">
        <v>180</v>
      </c>
      <c r="C54" s="102">
        <v>25</v>
      </c>
      <c r="D54" s="165">
        <f>SUM('Qn (79m)'!M54:M57)</f>
        <v>40</v>
      </c>
      <c r="E54" s="166"/>
    </row>
    <row r="55" spans="1:5" ht="36" x14ac:dyDescent="0.25">
      <c r="A55" s="102">
        <v>4.4000000000000004</v>
      </c>
      <c r="B55" s="116" t="s">
        <v>181</v>
      </c>
      <c r="C55" s="102">
        <v>10</v>
      </c>
      <c r="D55" s="165">
        <f>SUM('Qn (79m)'!M58)</f>
        <v>0</v>
      </c>
      <c r="E55" s="166"/>
    </row>
    <row r="56" spans="1:5" ht="27.95" customHeight="1" thickBot="1" x14ac:dyDescent="0.3">
      <c r="A56" s="171" t="s">
        <v>215</v>
      </c>
      <c r="B56" s="172"/>
      <c r="C56" s="100">
        <f>SUM(C52:C55)</f>
        <v>61</v>
      </c>
      <c r="D56" s="183">
        <f>SUM(D52:D55)</f>
        <v>94</v>
      </c>
      <c r="E56" s="184"/>
    </row>
    <row r="57" spans="1:5" s="63" customFormat="1" ht="37.5" customHeight="1" x14ac:dyDescent="0.25">
      <c r="A57" s="232">
        <f>D56/C56</f>
        <v>1.540983606557377</v>
      </c>
      <c r="B57" s="232"/>
      <c r="C57" s="232"/>
      <c r="D57" s="232"/>
      <c r="E57" s="232"/>
    </row>
    <row r="58" spans="1:5" ht="27.95" customHeight="1" x14ac:dyDescent="0.25">
      <c r="A58" s="170" t="s">
        <v>182</v>
      </c>
      <c r="B58" s="170"/>
      <c r="C58" s="170"/>
      <c r="D58" s="170"/>
      <c r="E58" s="170"/>
    </row>
    <row r="59" spans="1:5" ht="27.95" customHeight="1" x14ac:dyDescent="0.25">
      <c r="A59" s="102">
        <v>5.0999999999999996</v>
      </c>
      <c r="B59" s="116" t="s">
        <v>183</v>
      </c>
      <c r="C59" s="102">
        <v>30</v>
      </c>
      <c r="D59" s="165">
        <f>SUM('Qn (79m)'!M59:M62)</f>
        <v>50</v>
      </c>
      <c r="E59" s="166"/>
    </row>
    <row r="60" spans="1:5" ht="27.95" customHeight="1" x14ac:dyDescent="0.25">
      <c r="A60" s="102">
        <v>5.2</v>
      </c>
      <c r="B60" s="116" t="s">
        <v>184</v>
      </c>
      <c r="C60" s="102">
        <v>40</v>
      </c>
      <c r="D60" s="165">
        <f>SUM('Qn (79m)'!M63:M65)</f>
        <v>30</v>
      </c>
      <c r="E60" s="166"/>
    </row>
    <row r="61" spans="1:5" ht="27.95" customHeight="1" x14ac:dyDescent="0.25">
      <c r="A61" s="102">
        <v>5.3</v>
      </c>
      <c r="B61" s="116" t="s">
        <v>185</v>
      </c>
      <c r="C61" s="102">
        <v>15</v>
      </c>
      <c r="D61" s="165">
        <f>SUM('Qn (79m)'!M66:M67)</f>
        <v>45</v>
      </c>
      <c r="E61" s="166"/>
    </row>
    <row r="62" spans="1:5" ht="27.95" customHeight="1" x14ac:dyDescent="0.25">
      <c r="A62" s="102">
        <v>5.4</v>
      </c>
      <c r="B62" s="116" t="s">
        <v>186</v>
      </c>
      <c r="C62" s="102">
        <v>8</v>
      </c>
      <c r="D62" s="165">
        <f>SUM('Qn (79m)'!M68)</f>
        <v>0</v>
      </c>
      <c r="E62" s="166"/>
    </row>
    <row r="63" spans="1:5" ht="30" customHeight="1" x14ac:dyDescent="0.25">
      <c r="A63" s="171" t="s">
        <v>215</v>
      </c>
      <c r="B63" s="172"/>
      <c r="C63" s="117">
        <f>SUM(C59:C62)</f>
        <v>93</v>
      </c>
      <c r="D63" s="181">
        <f>SUM(D59:D62)</f>
        <v>125</v>
      </c>
      <c r="E63" s="182"/>
    </row>
    <row r="64" spans="1:5" s="63" customFormat="1" ht="35.25" customHeight="1" x14ac:dyDescent="0.25">
      <c r="A64" s="227">
        <f>D63/C63</f>
        <v>1.3440860215053763</v>
      </c>
      <c r="B64" s="227"/>
      <c r="C64" s="227"/>
      <c r="D64" s="227"/>
      <c r="E64" s="227"/>
    </row>
    <row r="65" spans="1:5" ht="27.95" customHeight="1" x14ac:dyDescent="0.25">
      <c r="A65" s="170" t="s">
        <v>187</v>
      </c>
      <c r="B65" s="170"/>
      <c r="C65" s="170"/>
      <c r="D65" s="170"/>
      <c r="E65" s="170"/>
    </row>
    <row r="66" spans="1:5" ht="36" x14ac:dyDescent="0.25">
      <c r="A66" s="102">
        <v>6.2</v>
      </c>
      <c r="B66" s="115" t="s">
        <v>189</v>
      </c>
      <c r="C66" s="102">
        <v>5</v>
      </c>
      <c r="D66" s="165">
        <f>SUM('Qn (79m)'!M69)</f>
        <v>20</v>
      </c>
      <c r="E66" s="166"/>
    </row>
    <row r="67" spans="1:5" ht="27.95" customHeight="1" x14ac:dyDescent="0.25">
      <c r="A67" s="102">
        <v>6.3</v>
      </c>
      <c r="B67" s="115" t="s">
        <v>190</v>
      </c>
      <c r="C67" s="102">
        <v>26</v>
      </c>
      <c r="D67" s="165">
        <f>SUM('Qn (79m)'!M70:M72)</f>
        <v>8</v>
      </c>
      <c r="E67" s="166"/>
    </row>
    <row r="68" spans="1:5" ht="36" x14ac:dyDescent="0.25">
      <c r="A68" s="102">
        <v>6.4</v>
      </c>
      <c r="B68" s="115" t="s">
        <v>191</v>
      </c>
      <c r="C68" s="102">
        <v>14</v>
      </c>
      <c r="D68" s="165">
        <f>SUM('Qn (79m)'!M73:M74)</f>
        <v>24</v>
      </c>
      <c r="E68" s="166"/>
    </row>
    <row r="69" spans="1:5" ht="27.95" customHeight="1" x14ac:dyDescent="0.25">
      <c r="A69" s="102">
        <v>6.5</v>
      </c>
      <c r="B69" s="115" t="s">
        <v>192</v>
      </c>
      <c r="C69" s="102">
        <v>10</v>
      </c>
      <c r="D69" s="165">
        <f>SUM('Qn (79m)'!M75)</f>
        <v>40</v>
      </c>
      <c r="E69" s="166"/>
    </row>
    <row r="70" spans="1:5" ht="31.5" customHeight="1" thickBot="1" x14ac:dyDescent="0.3">
      <c r="A70" s="177" t="s">
        <v>215</v>
      </c>
      <c r="B70" s="178"/>
      <c r="C70" s="118">
        <f>SUM(C66:C69)</f>
        <v>55</v>
      </c>
      <c r="D70" s="179">
        <f>SUM(D66:D69)</f>
        <v>92</v>
      </c>
      <c r="E70" s="180"/>
    </row>
    <row r="71" spans="1:5" s="63" customFormat="1" ht="34.5" customHeight="1" thickBot="1" x14ac:dyDescent="0.3">
      <c r="A71" s="162">
        <f>D70/C70</f>
        <v>1.6727272727272726</v>
      </c>
      <c r="B71" s="163"/>
      <c r="C71" s="163"/>
      <c r="D71" s="163"/>
      <c r="E71" s="164"/>
    </row>
    <row r="72" spans="1:5" ht="27.95" customHeight="1" x14ac:dyDescent="0.25">
      <c r="A72" s="170" t="s">
        <v>193</v>
      </c>
      <c r="B72" s="170"/>
      <c r="C72" s="170"/>
      <c r="D72" s="170"/>
      <c r="E72" s="170"/>
    </row>
    <row r="73" spans="1:5" ht="36" x14ac:dyDescent="0.25">
      <c r="A73" s="60">
        <v>7.1</v>
      </c>
      <c r="B73" s="116" t="s">
        <v>194</v>
      </c>
      <c r="C73" s="102">
        <v>27</v>
      </c>
      <c r="D73" s="165">
        <f>SUM('Qn (79m)'!M76:M81)</f>
        <v>108</v>
      </c>
      <c r="E73" s="166"/>
    </row>
    <row r="74" spans="1:5" ht="27.95" customHeight="1" x14ac:dyDescent="0.25">
      <c r="A74" s="171" t="s">
        <v>215</v>
      </c>
      <c r="B74" s="172"/>
      <c r="C74" s="100">
        <f>SUM(C73:C73)</f>
        <v>27</v>
      </c>
      <c r="D74" s="173">
        <f>SUM(D73:D73)</f>
        <v>108</v>
      </c>
      <c r="E74" s="174"/>
    </row>
    <row r="75" spans="1:5" s="63" customFormat="1" ht="34.5" customHeight="1" x14ac:dyDescent="0.25">
      <c r="A75" s="231">
        <f>D74/C74</f>
        <v>4</v>
      </c>
      <c r="B75" s="231"/>
      <c r="C75" s="231"/>
      <c r="D75" s="231"/>
      <c r="E75" s="231"/>
    </row>
    <row r="76" spans="1:5" ht="27.95" customHeight="1" x14ac:dyDescent="0.25">
      <c r="A76" s="222" t="s">
        <v>216</v>
      </c>
      <c r="B76" s="223"/>
      <c r="C76" s="72">
        <f>SUM(C29,C39,C49,C56,C63,C70,C74)</f>
        <v>736</v>
      </c>
      <c r="D76" s="224">
        <f>SUM(D29,D39,D49,D56,D63,D70,D74)</f>
        <v>1464</v>
      </c>
      <c r="E76" s="225"/>
    </row>
    <row r="77" spans="1:5" s="63" customFormat="1" ht="71.25" customHeight="1" thickBot="1" x14ac:dyDescent="0.3">
      <c r="A77" s="226">
        <f>D76/C76</f>
        <v>1.9891304347826086</v>
      </c>
      <c r="B77" s="227"/>
      <c r="C77" s="227"/>
      <c r="D77" s="227"/>
      <c r="E77" s="228"/>
    </row>
    <row r="78" spans="1:5" s="63" customFormat="1" ht="36.75" customHeight="1" thickBot="1" x14ac:dyDescent="0.3">
      <c r="A78" s="155" t="str">
        <f>IF(AND($A$77&lt;=4,$A$77&gt;=3.51),"A++",IF(AND($A$77&lt;=3.5,$A$77&gt;=3.26),"A+",IF(AND($A$77&lt;=3.25,$A$77&gt;3.01),"A",IF(AND($A$77&lt;=3,$A$77&gt;=2.76),"B++",IF(AND($A$77&lt;=2.75,$A$77&gt;=2.51),"B+",IF(AND($A$77&lt;=2.5,$A$77&gt;=2.01),"B",IF(AND($A$77&lt;=2,$A$77&gt;=1.51),"C","D")))))))</f>
        <v>C</v>
      </c>
      <c r="B78" s="156"/>
      <c r="C78" s="156"/>
      <c r="D78" s="156"/>
      <c r="E78" s="157"/>
    </row>
  </sheetData>
  <mergeCells count="81">
    <mergeCell ref="A78:E78"/>
    <mergeCell ref="D36:E36"/>
    <mergeCell ref="D46:E46"/>
    <mergeCell ref="D47:E47"/>
    <mergeCell ref="D53:E53"/>
    <mergeCell ref="D61:E61"/>
    <mergeCell ref="A58:E58"/>
    <mergeCell ref="D48:E48"/>
    <mergeCell ref="A71:E71"/>
    <mergeCell ref="D73:E73"/>
    <mergeCell ref="D74:E74"/>
    <mergeCell ref="D49:E49"/>
    <mergeCell ref="D68:E68"/>
    <mergeCell ref="A75:E75"/>
    <mergeCell ref="A64:E64"/>
    <mergeCell ref="D66:E66"/>
    <mergeCell ref="D67:E67"/>
    <mergeCell ref="D69:E69"/>
    <mergeCell ref="D70:E70"/>
    <mergeCell ref="A70:B70"/>
    <mergeCell ref="A74:B74"/>
    <mergeCell ref="A72:E72"/>
    <mergeCell ref="A65:E65"/>
    <mergeCell ref="A30:E30"/>
    <mergeCell ref="A39:B39"/>
    <mergeCell ref="A49:B49"/>
    <mergeCell ref="A31:E31"/>
    <mergeCell ref="D39:E39"/>
    <mergeCell ref="D42:E42"/>
    <mergeCell ref="D43:E43"/>
    <mergeCell ref="D44:E44"/>
    <mergeCell ref="D45:E45"/>
    <mergeCell ref="D32:E32"/>
    <mergeCell ref="D33:E33"/>
    <mergeCell ref="D35:E35"/>
    <mergeCell ref="D37:E37"/>
    <mergeCell ref="D38:E38"/>
    <mergeCell ref="D34:E34"/>
    <mergeCell ref="A29:B29"/>
    <mergeCell ref="A56:B56"/>
    <mergeCell ref="A63:B63"/>
    <mergeCell ref="A40:E40"/>
    <mergeCell ref="A50:E50"/>
    <mergeCell ref="D52:E52"/>
    <mergeCell ref="D54:E54"/>
    <mergeCell ref="D55:E55"/>
    <mergeCell ref="D56:E56"/>
    <mergeCell ref="A57:E57"/>
    <mergeCell ref="D59:E59"/>
    <mergeCell ref="D60:E60"/>
    <mergeCell ref="D62:E62"/>
    <mergeCell ref="D63:E63"/>
    <mergeCell ref="A41:E41"/>
    <mergeCell ref="A51:E51"/>
    <mergeCell ref="C22:E22"/>
    <mergeCell ref="D25:E25"/>
    <mergeCell ref="D27:E27"/>
    <mergeCell ref="D28:E28"/>
    <mergeCell ref="D29:E29"/>
    <mergeCell ref="D26:E26"/>
    <mergeCell ref="A1:E1"/>
    <mergeCell ref="A2:B2"/>
    <mergeCell ref="C2:E2"/>
    <mergeCell ref="A3:B3"/>
    <mergeCell ref="C3:E3"/>
    <mergeCell ref="A76:B76"/>
    <mergeCell ref="D76:E76"/>
    <mergeCell ref="A77:E77"/>
    <mergeCell ref="A4:B4"/>
    <mergeCell ref="C4:E4"/>
    <mergeCell ref="A19:E19"/>
    <mergeCell ref="A20:B20"/>
    <mergeCell ref="A24:E24"/>
    <mergeCell ref="A13:B13"/>
    <mergeCell ref="A15:E15"/>
    <mergeCell ref="A17:E17"/>
    <mergeCell ref="D23:E23"/>
    <mergeCell ref="C20:E20"/>
    <mergeCell ref="A21:B21"/>
    <mergeCell ref="C21:E21"/>
    <mergeCell ref="A22:B22"/>
  </mergeCells>
  <printOptions horizontalCentered="1"/>
  <pageMargins left="0" right="0" top="0.70866141732283472" bottom="0.39370078740157483" header="0.31496062992125984" footer="0.31496062992125984"/>
  <pageSetup paperSize="9" scale="66" fitToHeight="0" orientation="portrait" r:id="rId1"/>
  <headerFooter>
    <oddHeader>&amp;C
&amp;G</oddHeader>
  </headerFooter>
  <rowBreaks count="2" manualBreakCount="2">
    <brk id="18" max="16383" man="1"/>
    <brk id="57" max="16383" man="1"/>
  </rowBreaks>
  <colBreaks count="1" manualBreakCount="1">
    <brk id="5" max="1048575" man="1"/>
  </col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1"/>
  <sheetViews>
    <sheetView topLeftCell="D16" zoomScale="90" zoomScaleNormal="90" workbookViewId="0">
      <selection activeCell="P23" sqref="P23:P31"/>
    </sheetView>
  </sheetViews>
  <sheetFormatPr defaultRowHeight="15" x14ac:dyDescent="0.25"/>
  <cols>
    <col min="1" max="1" width="3.5703125" style="1" bestFit="1" customWidth="1"/>
    <col min="2" max="2" width="49.5703125" style="6" customWidth="1"/>
    <col min="3" max="3" width="14.42578125" style="6" customWidth="1"/>
    <col min="4" max="4" width="14.42578125" style="1" bestFit="1" customWidth="1"/>
    <col min="5" max="5" width="7.28515625" style="1" bestFit="1" customWidth="1"/>
    <col min="6" max="6" width="41.140625" style="94" customWidth="1"/>
    <col min="7" max="7" width="17" customWidth="1"/>
    <col min="8" max="8" width="7.85546875" style="1" customWidth="1"/>
    <col min="9" max="9" width="4.42578125" bestFit="1" customWidth="1"/>
    <col min="10" max="10" width="9.5703125" style="23" bestFit="1" customWidth="1"/>
    <col min="11" max="11" width="8.85546875" style="1" customWidth="1"/>
    <col min="12" max="12" width="8.140625" style="1" bestFit="1" customWidth="1"/>
    <col min="13" max="13" width="7.7109375" style="1" bestFit="1" customWidth="1"/>
    <col min="14" max="14" width="7.85546875" style="1" bestFit="1" customWidth="1"/>
    <col min="15" max="15" width="8.42578125" style="1" customWidth="1"/>
    <col min="16" max="16" width="8" style="1" customWidth="1"/>
    <col min="17" max="17" width="9.140625" customWidth="1"/>
    <col min="20" max="20" width="13" customWidth="1"/>
  </cols>
  <sheetData>
    <row r="1" spans="1:21" x14ac:dyDescent="0.25">
      <c r="J1" s="38" t="s">
        <v>109</v>
      </c>
      <c r="K1" s="1" t="s">
        <v>569</v>
      </c>
    </row>
    <row r="2" spans="1:21" s="1" customFormat="1" ht="66" x14ac:dyDescent="0.25">
      <c r="A2" s="12" t="s">
        <v>1</v>
      </c>
      <c r="B2" s="12" t="s">
        <v>112</v>
      </c>
      <c r="C2" s="12" t="s">
        <v>114</v>
      </c>
      <c r="D2" s="12" t="s">
        <v>113</v>
      </c>
      <c r="E2" s="12" t="s">
        <v>115</v>
      </c>
      <c r="F2" s="120" t="s">
        <v>124</v>
      </c>
      <c r="G2" s="12" t="s">
        <v>122</v>
      </c>
      <c r="H2" s="12" t="s">
        <v>123</v>
      </c>
      <c r="I2" s="12" t="s">
        <v>111</v>
      </c>
      <c r="J2" s="46" t="s">
        <v>213</v>
      </c>
      <c r="K2" s="16" t="s">
        <v>121</v>
      </c>
      <c r="L2" s="17" t="s">
        <v>120</v>
      </c>
      <c r="M2" s="16" t="s">
        <v>116</v>
      </c>
      <c r="N2" s="16" t="s">
        <v>117</v>
      </c>
      <c r="O2" s="16" t="s">
        <v>119</v>
      </c>
      <c r="P2" s="18" t="s">
        <v>118</v>
      </c>
      <c r="Q2" s="43"/>
      <c r="R2" s="43"/>
      <c r="S2" s="43"/>
      <c r="T2" s="43"/>
      <c r="U2" s="43"/>
    </row>
    <row r="3" spans="1:21" ht="15" customHeight="1" x14ac:dyDescent="0.25">
      <c r="A3" s="36">
        <v>1</v>
      </c>
      <c r="B3" s="8" t="s">
        <v>91</v>
      </c>
      <c r="C3" s="8" t="s">
        <v>60</v>
      </c>
      <c r="D3" s="131" t="s">
        <v>58</v>
      </c>
      <c r="E3" s="131" t="s">
        <v>3</v>
      </c>
      <c r="F3" s="111" t="s">
        <v>443</v>
      </c>
      <c r="G3" s="132">
        <v>20</v>
      </c>
      <c r="H3" s="141">
        <f>G3</f>
        <v>20</v>
      </c>
      <c r="I3" s="236">
        <v>25</v>
      </c>
      <c r="J3" s="22"/>
      <c r="K3" s="127">
        <f t="shared" ref="K3:K37" si="0">IF(J3&gt;80,4,IF(AND(J3&lt;=80,J3&gt;60),3,IF(AND(J3&lt;=60,J3&gt;40),2,IF(AND(J3&lt;=40,J3&gt;20),1,IF(J3&lt;=20,0)))))</f>
        <v>0</v>
      </c>
      <c r="L3" s="141">
        <f t="shared" ref="L3:L38" si="1">K3*H3</f>
        <v>0</v>
      </c>
      <c r="M3" s="141">
        <f>L3</f>
        <v>0</v>
      </c>
      <c r="N3" s="141">
        <f>M3/H3</f>
        <v>0</v>
      </c>
      <c r="O3" s="236">
        <f>M3+M4</f>
        <v>0</v>
      </c>
      <c r="P3" s="236">
        <f>O3/I3</f>
        <v>0</v>
      </c>
      <c r="Q3" s="237"/>
      <c r="R3" s="92"/>
      <c r="S3" s="92"/>
      <c r="T3" s="92"/>
      <c r="U3" s="92"/>
    </row>
    <row r="4" spans="1:21" ht="15" customHeight="1" x14ac:dyDescent="0.25">
      <c r="A4" s="36">
        <v>2</v>
      </c>
      <c r="B4" s="8" t="s">
        <v>91</v>
      </c>
      <c r="C4" s="8" t="s">
        <v>62</v>
      </c>
      <c r="D4" s="131" t="s">
        <v>58</v>
      </c>
      <c r="E4" s="131" t="s">
        <v>6</v>
      </c>
      <c r="F4" s="111" t="s">
        <v>448</v>
      </c>
      <c r="G4" s="132">
        <v>5</v>
      </c>
      <c r="H4" s="141">
        <f>G4</f>
        <v>5</v>
      </c>
      <c r="I4" s="236"/>
      <c r="J4" s="22"/>
      <c r="K4" s="127">
        <f t="shared" si="0"/>
        <v>0</v>
      </c>
      <c r="L4" s="141">
        <f t="shared" si="1"/>
        <v>0</v>
      </c>
      <c r="M4" s="141">
        <f t="shared" ref="M4:M5" si="2">L4</f>
        <v>0</v>
      </c>
      <c r="N4" s="141">
        <f>M4/H4</f>
        <v>0</v>
      </c>
      <c r="O4" s="236"/>
      <c r="P4" s="236"/>
      <c r="Q4" s="237"/>
      <c r="R4" s="92"/>
      <c r="S4" s="92"/>
      <c r="T4" s="92"/>
      <c r="U4" s="92"/>
    </row>
    <row r="5" spans="1:21" ht="15" customHeight="1" x14ac:dyDescent="0.25">
      <c r="A5" s="98">
        <v>3</v>
      </c>
      <c r="B5" s="8" t="s">
        <v>92</v>
      </c>
      <c r="C5" s="8" t="s">
        <v>431</v>
      </c>
      <c r="D5" s="131" t="s">
        <v>58</v>
      </c>
      <c r="E5" s="131" t="s">
        <v>11</v>
      </c>
      <c r="F5" s="111" t="s">
        <v>456</v>
      </c>
      <c r="G5" s="132">
        <v>10</v>
      </c>
      <c r="H5" s="141">
        <f>G5</f>
        <v>10</v>
      </c>
      <c r="I5" s="233">
        <v>52</v>
      </c>
      <c r="J5" s="22"/>
      <c r="K5" s="127">
        <f t="shared" si="0"/>
        <v>0</v>
      </c>
      <c r="L5" s="141">
        <f t="shared" si="1"/>
        <v>0</v>
      </c>
      <c r="M5" s="141">
        <f t="shared" si="2"/>
        <v>0</v>
      </c>
      <c r="N5" s="141">
        <f>M5/H5</f>
        <v>0</v>
      </c>
      <c r="O5" s="233">
        <f>SUM(M5:M10)</f>
        <v>0</v>
      </c>
      <c r="P5" s="233">
        <f>O5/I5</f>
        <v>0</v>
      </c>
      <c r="Q5" s="237"/>
      <c r="R5" s="92"/>
      <c r="S5" s="92"/>
      <c r="T5" s="92"/>
      <c r="U5" s="92"/>
    </row>
    <row r="6" spans="1:21" ht="15" customHeight="1" x14ac:dyDescent="0.25">
      <c r="A6" s="98">
        <v>4</v>
      </c>
      <c r="B6" s="8" t="s">
        <v>92</v>
      </c>
      <c r="C6" s="8" t="s">
        <v>432</v>
      </c>
      <c r="D6" s="131" t="s">
        <v>58</v>
      </c>
      <c r="E6" s="4" t="s">
        <v>12</v>
      </c>
      <c r="F6" s="111" t="s">
        <v>458</v>
      </c>
      <c r="G6" s="132">
        <v>6</v>
      </c>
      <c r="H6" s="236">
        <f>G6+G7</f>
        <v>12</v>
      </c>
      <c r="I6" s="235"/>
      <c r="J6" s="22"/>
      <c r="K6" s="127">
        <f t="shared" si="0"/>
        <v>0</v>
      </c>
      <c r="L6" s="141">
        <f t="shared" si="1"/>
        <v>0</v>
      </c>
      <c r="M6" s="236">
        <f>L6+L7</f>
        <v>0</v>
      </c>
      <c r="N6" s="236">
        <f>M6/H6</f>
        <v>0</v>
      </c>
      <c r="O6" s="235"/>
      <c r="P6" s="235"/>
      <c r="Q6" s="237"/>
      <c r="R6" s="92"/>
      <c r="S6" s="92"/>
      <c r="T6" s="92"/>
      <c r="U6" s="92"/>
    </row>
    <row r="7" spans="1:21" ht="15" customHeight="1" x14ac:dyDescent="0.25">
      <c r="A7" s="98">
        <v>5</v>
      </c>
      <c r="B7" s="8" t="s">
        <v>92</v>
      </c>
      <c r="C7" s="8" t="s">
        <v>432</v>
      </c>
      <c r="D7" s="131" t="s">
        <v>58</v>
      </c>
      <c r="E7" s="5" t="s">
        <v>255</v>
      </c>
      <c r="F7" s="111" t="s">
        <v>459</v>
      </c>
      <c r="G7" s="132">
        <v>6</v>
      </c>
      <c r="H7" s="236"/>
      <c r="I7" s="235"/>
      <c r="J7" s="22"/>
      <c r="K7" s="127">
        <f t="shared" si="0"/>
        <v>0</v>
      </c>
      <c r="L7" s="141">
        <f t="shared" si="1"/>
        <v>0</v>
      </c>
      <c r="M7" s="236"/>
      <c r="N7" s="236"/>
      <c r="O7" s="235"/>
      <c r="P7" s="235"/>
      <c r="Q7" s="237"/>
      <c r="R7" s="92"/>
      <c r="S7" s="92"/>
      <c r="T7" s="92"/>
      <c r="U7" s="92"/>
    </row>
    <row r="8" spans="1:21" ht="15" customHeight="1" x14ac:dyDescent="0.25">
      <c r="A8" s="98">
        <v>6</v>
      </c>
      <c r="B8" s="8" t="s">
        <v>92</v>
      </c>
      <c r="C8" s="8" t="s">
        <v>67</v>
      </c>
      <c r="D8" s="131" t="s">
        <v>58</v>
      </c>
      <c r="E8" s="4" t="s">
        <v>268</v>
      </c>
      <c r="F8" s="111" t="s">
        <v>467</v>
      </c>
      <c r="G8" s="132">
        <v>10</v>
      </c>
      <c r="H8" s="141">
        <f>G8</f>
        <v>10</v>
      </c>
      <c r="I8" s="235"/>
      <c r="J8" s="22"/>
      <c r="K8" s="127">
        <f t="shared" si="0"/>
        <v>0</v>
      </c>
      <c r="L8" s="141">
        <f t="shared" si="1"/>
        <v>0</v>
      </c>
      <c r="M8" s="141">
        <f t="shared" ref="M8" si="3">L8</f>
        <v>0</v>
      </c>
      <c r="N8" s="141">
        <f>M8/H8</f>
        <v>0</v>
      </c>
      <c r="O8" s="235"/>
      <c r="P8" s="235"/>
      <c r="Q8" s="237"/>
      <c r="R8" s="92"/>
      <c r="S8" s="92"/>
      <c r="T8" s="92"/>
      <c r="U8" s="92"/>
    </row>
    <row r="9" spans="1:21" ht="15" customHeight="1" x14ac:dyDescent="0.25">
      <c r="A9" s="98">
        <v>7</v>
      </c>
      <c r="B9" s="8" t="s">
        <v>92</v>
      </c>
      <c r="C9" s="8" t="s">
        <v>68</v>
      </c>
      <c r="D9" s="131" t="s">
        <v>58</v>
      </c>
      <c r="E9" s="4" t="s">
        <v>16</v>
      </c>
      <c r="F9" s="111" t="s">
        <v>469</v>
      </c>
      <c r="G9" s="132">
        <v>10</v>
      </c>
      <c r="H9" s="236">
        <f>G9+G10</f>
        <v>20</v>
      </c>
      <c r="I9" s="235"/>
      <c r="J9" s="22"/>
      <c r="K9" s="127">
        <f t="shared" si="0"/>
        <v>0</v>
      </c>
      <c r="L9" s="141">
        <f t="shared" si="1"/>
        <v>0</v>
      </c>
      <c r="M9" s="236">
        <f>L9+L10</f>
        <v>0</v>
      </c>
      <c r="N9" s="236">
        <f>M9/H9</f>
        <v>0</v>
      </c>
      <c r="O9" s="235"/>
      <c r="P9" s="235"/>
      <c r="Q9" s="237"/>
      <c r="R9" s="92"/>
      <c r="S9" s="92"/>
      <c r="T9" s="92"/>
      <c r="U9" s="92"/>
    </row>
    <row r="10" spans="1:21" ht="15" customHeight="1" x14ac:dyDescent="0.25">
      <c r="A10" s="98">
        <v>8</v>
      </c>
      <c r="B10" s="8" t="s">
        <v>92</v>
      </c>
      <c r="C10" s="8" t="s">
        <v>68</v>
      </c>
      <c r="D10" s="131" t="s">
        <v>58</v>
      </c>
      <c r="E10" s="131" t="s">
        <v>17</v>
      </c>
      <c r="F10" s="111" t="s">
        <v>470</v>
      </c>
      <c r="G10" s="132">
        <v>10</v>
      </c>
      <c r="H10" s="236"/>
      <c r="I10" s="234"/>
      <c r="J10" s="22"/>
      <c r="K10" s="127">
        <f t="shared" si="0"/>
        <v>0</v>
      </c>
      <c r="L10" s="141">
        <f t="shared" si="1"/>
        <v>0</v>
      </c>
      <c r="M10" s="236"/>
      <c r="N10" s="236"/>
      <c r="O10" s="234"/>
      <c r="P10" s="234"/>
      <c r="Q10" s="237"/>
      <c r="R10" s="92"/>
      <c r="S10" s="92"/>
      <c r="T10" s="92"/>
      <c r="U10" s="92"/>
    </row>
    <row r="11" spans="1:21" ht="15" customHeight="1" x14ac:dyDescent="0.25">
      <c r="A11" s="98">
        <v>9</v>
      </c>
      <c r="B11" s="8" t="s">
        <v>93</v>
      </c>
      <c r="C11" s="8" t="s">
        <v>433</v>
      </c>
      <c r="D11" s="131" t="s">
        <v>58</v>
      </c>
      <c r="E11" s="4" t="s">
        <v>19</v>
      </c>
      <c r="F11" s="111" t="s">
        <v>473</v>
      </c>
      <c r="G11" s="132">
        <v>2</v>
      </c>
      <c r="H11" s="141">
        <f>G11</f>
        <v>2</v>
      </c>
      <c r="I11" s="233">
        <v>23</v>
      </c>
      <c r="J11" s="22"/>
      <c r="K11" s="127">
        <f t="shared" si="0"/>
        <v>0</v>
      </c>
      <c r="L11" s="141">
        <f t="shared" si="1"/>
        <v>0</v>
      </c>
      <c r="M11" s="141">
        <f t="shared" ref="M11:M14" si="4">L11</f>
        <v>0</v>
      </c>
      <c r="N11" s="141">
        <f>M11/H11</f>
        <v>0</v>
      </c>
      <c r="O11" s="233">
        <f>SUM(M11:M14)</f>
        <v>0</v>
      </c>
      <c r="P11" s="233">
        <f>O11/I11</f>
        <v>0</v>
      </c>
      <c r="Q11" s="237"/>
      <c r="R11" s="92"/>
      <c r="S11" s="92"/>
      <c r="T11" s="92"/>
      <c r="U11" s="92"/>
    </row>
    <row r="12" spans="1:21" ht="15" customHeight="1" x14ac:dyDescent="0.25">
      <c r="A12" s="98">
        <v>10</v>
      </c>
      <c r="B12" s="8" t="s">
        <v>93</v>
      </c>
      <c r="C12" s="8" t="s">
        <v>434</v>
      </c>
      <c r="D12" s="131" t="s">
        <v>58</v>
      </c>
      <c r="E12" s="131" t="s">
        <v>22</v>
      </c>
      <c r="F12" s="111" t="s">
        <v>482</v>
      </c>
      <c r="G12" s="132">
        <v>10</v>
      </c>
      <c r="H12" s="141">
        <f>G12</f>
        <v>10</v>
      </c>
      <c r="I12" s="235"/>
      <c r="J12" s="22"/>
      <c r="K12" s="127">
        <f t="shared" si="0"/>
        <v>0</v>
      </c>
      <c r="L12" s="141">
        <f t="shared" si="1"/>
        <v>0</v>
      </c>
      <c r="M12" s="141">
        <f t="shared" si="4"/>
        <v>0</v>
      </c>
      <c r="N12" s="141">
        <f>M12/H12</f>
        <v>0</v>
      </c>
      <c r="O12" s="235"/>
      <c r="P12" s="235"/>
      <c r="Q12" s="237"/>
      <c r="R12" s="92"/>
      <c r="S12" s="92"/>
      <c r="T12" s="92"/>
      <c r="U12" s="92"/>
    </row>
    <row r="13" spans="1:21" ht="15" customHeight="1" x14ac:dyDescent="0.25">
      <c r="A13" s="98">
        <v>11</v>
      </c>
      <c r="B13" s="8" t="s">
        <v>93</v>
      </c>
      <c r="C13" s="8" t="s">
        <v>437</v>
      </c>
      <c r="D13" s="131" t="s">
        <v>58</v>
      </c>
      <c r="E13" s="131" t="s">
        <v>27</v>
      </c>
      <c r="F13" s="111" t="s">
        <v>494</v>
      </c>
      <c r="G13" s="132">
        <v>5</v>
      </c>
      <c r="H13" s="141">
        <f>G13</f>
        <v>5</v>
      </c>
      <c r="I13" s="235"/>
      <c r="J13" s="22"/>
      <c r="K13" s="127">
        <f t="shared" si="0"/>
        <v>0</v>
      </c>
      <c r="L13" s="141">
        <f t="shared" si="1"/>
        <v>0</v>
      </c>
      <c r="M13" s="141">
        <f t="shared" si="4"/>
        <v>0</v>
      </c>
      <c r="N13" s="141">
        <f>M13/H13</f>
        <v>0</v>
      </c>
      <c r="O13" s="235"/>
      <c r="P13" s="235"/>
      <c r="Q13" s="237"/>
      <c r="R13" s="92"/>
      <c r="S13" s="92"/>
      <c r="T13" s="92"/>
      <c r="U13" s="92"/>
    </row>
    <row r="14" spans="1:21" ht="15" customHeight="1" x14ac:dyDescent="0.25">
      <c r="A14" s="98">
        <v>12</v>
      </c>
      <c r="B14" s="8" t="s">
        <v>94</v>
      </c>
      <c r="C14" s="8" t="s">
        <v>438</v>
      </c>
      <c r="D14" s="131" t="s">
        <v>58</v>
      </c>
      <c r="E14" s="131" t="s">
        <v>300</v>
      </c>
      <c r="F14" s="111" t="s">
        <v>496</v>
      </c>
      <c r="G14" s="132">
        <v>6</v>
      </c>
      <c r="H14" s="141">
        <f>G14</f>
        <v>6</v>
      </c>
      <c r="I14" s="234"/>
      <c r="J14" s="22"/>
      <c r="K14" s="127">
        <f t="shared" si="0"/>
        <v>0</v>
      </c>
      <c r="L14" s="141">
        <f t="shared" si="1"/>
        <v>0</v>
      </c>
      <c r="M14" s="141">
        <f t="shared" si="4"/>
        <v>0</v>
      </c>
      <c r="N14" s="141">
        <f>M14/H14</f>
        <v>0</v>
      </c>
      <c r="O14" s="234"/>
      <c r="P14" s="234"/>
      <c r="Q14" s="237"/>
      <c r="R14" s="92"/>
      <c r="S14" s="92"/>
      <c r="T14" s="92"/>
      <c r="U14" s="92"/>
    </row>
    <row r="15" spans="1:21" ht="15" customHeight="1" x14ac:dyDescent="0.25">
      <c r="A15" s="98">
        <v>13</v>
      </c>
      <c r="B15" s="8" t="s">
        <v>94</v>
      </c>
      <c r="C15" s="8" t="s">
        <v>75</v>
      </c>
      <c r="D15" s="131" t="s">
        <v>58</v>
      </c>
      <c r="E15" s="131" t="s">
        <v>28</v>
      </c>
      <c r="F15" s="111" t="s">
        <v>502</v>
      </c>
      <c r="G15" s="132">
        <v>10</v>
      </c>
      <c r="H15" s="236">
        <f>G15+G16+G17</f>
        <v>20</v>
      </c>
      <c r="I15" s="233">
        <v>29</v>
      </c>
      <c r="J15" s="22"/>
      <c r="K15" s="127">
        <f t="shared" si="0"/>
        <v>0</v>
      </c>
      <c r="L15" s="141">
        <f t="shared" si="1"/>
        <v>0</v>
      </c>
      <c r="M15" s="236">
        <f>SUM(L15:L17)</f>
        <v>0</v>
      </c>
      <c r="N15" s="236">
        <f>M15/H15</f>
        <v>0</v>
      </c>
      <c r="O15" s="236">
        <f>SUM(M15:M21)</f>
        <v>0</v>
      </c>
      <c r="P15" s="236">
        <f>O15/I15</f>
        <v>0</v>
      </c>
      <c r="Q15" s="237"/>
      <c r="R15" s="92"/>
      <c r="S15" s="92"/>
      <c r="T15" s="92"/>
      <c r="U15" s="92"/>
    </row>
    <row r="16" spans="1:21" ht="15" customHeight="1" x14ac:dyDescent="0.25">
      <c r="A16" s="98">
        <v>14</v>
      </c>
      <c r="B16" s="8" t="s">
        <v>94</v>
      </c>
      <c r="C16" s="8" t="s">
        <v>75</v>
      </c>
      <c r="D16" s="131" t="s">
        <v>58</v>
      </c>
      <c r="E16" s="131" t="s">
        <v>29</v>
      </c>
      <c r="F16" s="111" t="s">
        <v>503</v>
      </c>
      <c r="G16" s="132">
        <v>5</v>
      </c>
      <c r="H16" s="236"/>
      <c r="I16" s="235"/>
      <c r="J16" s="22"/>
      <c r="K16" s="127">
        <f t="shared" si="0"/>
        <v>0</v>
      </c>
      <c r="L16" s="141">
        <f t="shared" si="1"/>
        <v>0</v>
      </c>
      <c r="M16" s="236"/>
      <c r="N16" s="236"/>
      <c r="O16" s="236"/>
      <c r="P16" s="236"/>
      <c r="Q16" s="237"/>
      <c r="R16" s="92"/>
      <c r="S16" s="92"/>
      <c r="T16" s="92"/>
      <c r="U16" s="92"/>
    </row>
    <row r="17" spans="1:21" ht="15" customHeight="1" x14ac:dyDescent="0.25">
      <c r="A17" s="98">
        <v>15</v>
      </c>
      <c r="B17" s="8" t="s">
        <v>94</v>
      </c>
      <c r="C17" s="8" t="s">
        <v>75</v>
      </c>
      <c r="D17" s="131" t="s">
        <v>58</v>
      </c>
      <c r="E17" s="131" t="s">
        <v>314</v>
      </c>
      <c r="F17" s="111" t="s">
        <v>504</v>
      </c>
      <c r="G17" s="132">
        <v>5</v>
      </c>
      <c r="H17" s="236"/>
      <c r="I17" s="235"/>
      <c r="J17" s="22"/>
      <c r="K17" s="127">
        <f t="shared" si="0"/>
        <v>0</v>
      </c>
      <c r="L17" s="141">
        <f t="shared" si="1"/>
        <v>0</v>
      </c>
      <c r="M17" s="236"/>
      <c r="N17" s="236"/>
      <c r="O17" s="236"/>
      <c r="P17" s="236"/>
      <c r="Q17" s="237"/>
      <c r="R17" s="92"/>
      <c r="S17" s="92"/>
      <c r="T17" s="92"/>
      <c r="U17" s="92"/>
    </row>
    <row r="18" spans="1:21" ht="15" customHeight="1" x14ac:dyDescent="0.25">
      <c r="A18" s="98">
        <v>16</v>
      </c>
      <c r="B18" s="8" t="s">
        <v>94</v>
      </c>
      <c r="C18" s="8" t="s">
        <v>76</v>
      </c>
      <c r="D18" s="131" t="s">
        <v>58</v>
      </c>
      <c r="E18" s="131" t="s">
        <v>30</v>
      </c>
      <c r="F18" s="111" t="s">
        <v>506</v>
      </c>
      <c r="G18" s="132">
        <v>4</v>
      </c>
      <c r="H18" s="141">
        <f>G18</f>
        <v>4</v>
      </c>
      <c r="I18" s="235"/>
      <c r="J18" s="22"/>
      <c r="K18" s="127">
        <f t="shared" si="0"/>
        <v>0</v>
      </c>
      <c r="L18" s="141">
        <f t="shared" si="1"/>
        <v>0</v>
      </c>
      <c r="M18" s="141">
        <f t="shared" ref="M18" si="5">L18</f>
        <v>0</v>
      </c>
      <c r="N18" s="141">
        <f>M18/H18</f>
        <v>0</v>
      </c>
      <c r="O18" s="236"/>
      <c r="P18" s="236"/>
      <c r="Q18" s="237"/>
      <c r="R18" s="92"/>
      <c r="S18" s="92"/>
      <c r="T18" s="92"/>
      <c r="U18" s="92"/>
    </row>
    <row r="19" spans="1:21" ht="15" customHeight="1" x14ac:dyDescent="0.25">
      <c r="A19" s="98">
        <v>17</v>
      </c>
      <c r="B19" s="8" t="s">
        <v>95</v>
      </c>
      <c r="C19" s="8" t="s">
        <v>77</v>
      </c>
      <c r="D19" s="131" t="s">
        <v>58</v>
      </c>
      <c r="E19" s="131" t="s">
        <v>32</v>
      </c>
      <c r="F19" s="111" t="s">
        <v>511</v>
      </c>
      <c r="G19" s="132">
        <v>5</v>
      </c>
      <c r="H19" s="141">
        <f>G19</f>
        <v>5</v>
      </c>
      <c r="I19" s="235"/>
      <c r="J19" s="22"/>
      <c r="K19" s="127">
        <f t="shared" si="0"/>
        <v>0</v>
      </c>
      <c r="L19" s="141">
        <f t="shared" si="1"/>
        <v>0</v>
      </c>
      <c r="M19" s="141">
        <f>L19/H19</f>
        <v>0</v>
      </c>
      <c r="N19" s="141">
        <f>M19/H19</f>
        <v>0</v>
      </c>
      <c r="O19" s="236"/>
      <c r="P19" s="236"/>
      <c r="Q19" s="237"/>
      <c r="R19" s="92"/>
      <c r="S19" s="92"/>
      <c r="T19" s="92"/>
      <c r="U19" s="92"/>
    </row>
    <row r="20" spans="1:21" ht="15" customHeight="1" x14ac:dyDescent="0.25">
      <c r="A20" s="98">
        <v>18</v>
      </c>
      <c r="B20" s="8" t="s">
        <v>95</v>
      </c>
      <c r="C20" s="8" t="s">
        <v>78</v>
      </c>
      <c r="D20" s="131" t="s">
        <v>58</v>
      </c>
      <c r="E20" s="131" t="s">
        <v>332</v>
      </c>
      <c r="F20" s="111" t="s">
        <v>516</v>
      </c>
      <c r="G20" s="132">
        <v>10</v>
      </c>
      <c r="H20" s="141">
        <f>G20</f>
        <v>10</v>
      </c>
      <c r="I20" s="234"/>
      <c r="J20" s="22"/>
      <c r="K20" s="127">
        <f t="shared" si="0"/>
        <v>0</v>
      </c>
      <c r="L20" s="141">
        <f t="shared" si="1"/>
        <v>0</v>
      </c>
      <c r="M20" s="141">
        <f t="shared" ref="M20:M22" si="6">L20</f>
        <v>0</v>
      </c>
      <c r="N20" s="141">
        <f>M20/H20</f>
        <v>0</v>
      </c>
      <c r="O20" s="236"/>
      <c r="P20" s="236"/>
      <c r="Q20" s="237"/>
      <c r="R20" s="92"/>
      <c r="S20" s="92"/>
      <c r="T20" s="92"/>
      <c r="U20" s="92"/>
    </row>
    <row r="21" spans="1:21" ht="15" customHeight="1" x14ac:dyDescent="0.25">
      <c r="A21" s="98">
        <v>19</v>
      </c>
      <c r="B21" s="8" t="s">
        <v>96</v>
      </c>
      <c r="C21" s="8" t="s">
        <v>81</v>
      </c>
      <c r="D21" s="131" t="s">
        <v>58</v>
      </c>
      <c r="E21" s="131" t="s">
        <v>41</v>
      </c>
      <c r="F21" s="111" t="s">
        <v>525</v>
      </c>
      <c r="G21" s="132">
        <v>5</v>
      </c>
      <c r="H21" s="141">
        <f>G21</f>
        <v>5</v>
      </c>
      <c r="I21" s="236">
        <v>10</v>
      </c>
      <c r="J21" s="22"/>
      <c r="K21" s="127">
        <f t="shared" si="0"/>
        <v>0</v>
      </c>
      <c r="L21" s="141">
        <f t="shared" si="1"/>
        <v>0</v>
      </c>
      <c r="M21" s="141">
        <f t="shared" si="6"/>
        <v>0</v>
      </c>
      <c r="N21" s="141">
        <f>M21/H21</f>
        <v>0</v>
      </c>
      <c r="O21" s="236">
        <f>SUM(M22:M31)</f>
        <v>0</v>
      </c>
      <c r="P21" s="236">
        <f>O21/I21</f>
        <v>0</v>
      </c>
      <c r="Q21" s="237"/>
      <c r="R21" s="92"/>
      <c r="S21" s="92"/>
      <c r="T21" s="92"/>
      <c r="U21" s="92"/>
    </row>
    <row r="22" spans="1:21" ht="15" customHeight="1" x14ac:dyDescent="0.25">
      <c r="A22" s="98">
        <v>20</v>
      </c>
      <c r="B22" s="8" t="s">
        <v>96</v>
      </c>
      <c r="C22" s="8" t="s">
        <v>82</v>
      </c>
      <c r="D22" s="131" t="s">
        <v>58</v>
      </c>
      <c r="E22" s="131" t="s">
        <v>42</v>
      </c>
      <c r="F22" s="111" t="s">
        <v>527</v>
      </c>
      <c r="G22" s="132">
        <v>2</v>
      </c>
      <c r="H22" s="141">
        <f>G22</f>
        <v>2</v>
      </c>
      <c r="I22" s="236"/>
      <c r="J22" s="22"/>
      <c r="K22" s="127">
        <f t="shared" si="0"/>
        <v>0</v>
      </c>
      <c r="L22" s="141">
        <f t="shared" si="1"/>
        <v>0</v>
      </c>
      <c r="M22" s="141">
        <f t="shared" si="6"/>
        <v>0</v>
      </c>
      <c r="N22" s="141">
        <f>M22/H22</f>
        <v>0</v>
      </c>
      <c r="O22" s="236"/>
      <c r="P22" s="236"/>
      <c r="Q22" s="237"/>
      <c r="R22" s="92"/>
      <c r="S22" s="92"/>
      <c r="T22" s="92"/>
      <c r="U22" s="92"/>
    </row>
    <row r="23" spans="1:21" ht="15" customHeight="1" x14ac:dyDescent="0.25">
      <c r="A23" s="98">
        <v>21</v>
      </c>
      <c r="B23" s="8" t="s">
        <v>96</v>
      </c>
      <c r="C23" s="8" t="s">
        <v>83</v>
      </c>
      <c r="D23" s="131" t="s">
        <v>58</v>
      </c>
      <c r="E23" s="131" t="s">
        <v>43</v>
      </c>
      <c r="F23" s="111" t="s">
        <v>529</v>
      </c>
      <c r="G23" s="132">
        <v>5</v>
      </c>
      <c r="H23" s="252">
        <f>G23+G24</f>
        <v>10</v>
      </c>
      <c r="I23" s="236">
        <v>45</v>
      </c>
      <c r="J23" s="22"/>
      <c r="K23" s="127">
        <f t="shared" si="0"/>
        <v>0</v>
      </c>
      <c r="L23" s="141">
        <f t="shared" si="1"/>
        <v>0</v>
      </c>
      <c r="M23" s="236">
        <f>L23+L24</f>
        <v>0</v>
      </c>
      <c r="N23" s="252">
        <f>M23/H23</f>
        <v>0</v>
      </c>
      <c r="O23" s="236">
        <f>SUM(M23:M31)</f>
        <v>0</v>
      </c>
      <c r="P23" s="236">
        <f>O23/I23</f>
        <v>0</v>
      </c>
      <c r="Q23" s="237"/>
      <c r="R23" s="92"/>
      <c r="S23" s="92"/>
      <c r="T23" s="92"/>
      <c r="U23" s="92"/>
    </row>
    <row r="24" spans="1:21" ht="15" customHeight="1" x14ac:dyDescent="0.25">
      <c r="A24" s="98">
        <v>22</v>
      </c>
      <c r="B24" s="8" t="s">
        <v>96</v>
      </c>
      <c r="C24" s="8" t="s">
        <v>83</v>
      </c>
      <c r="D24" s="131" t="s">
        <v>58</v>
      </c>
      <c r="E24" s="131" t="s">
        <v>352</v>
      </c>
      <c r="F24" s="111" t="s">
        <v>530</v>
      </c>
      <c r="G24" s="132">
        <v>5</v>
      </c>
      <c r="H24" s="252"/>
      <c r="I24" s="236"/>
      <c r="J24" s="119"/>
      <c r="K24" s="127">
        <f t="shared" si="0"/>
        <v>0</v>
      </c>
      <c r="L24" s="141">
        <f t="shared" si="1"/>
        <v>0</v>
      </c>
      <c r="M24" s="236"/>
      <c r="N24" s="252"/>
      <c r="O24" s="236"/>
      <c r="P24" s="236"/>
      <c r="Q24" s="237"/>
      <c r="R24" s="92"/>
      <c r="S24" s="92"/>
      <c r="T24" s="92"/>
      <c r="U24" s="92"/>
    </row>
    <row r="25" spans="1:21" ht="15" customHeight="1" x14ac:dyDescent="0.25">
      <c r="A25" s="98">
        <v>23</v>
      </c>
      <c r="B25" s="8" t="s">
        <v>96</v>
      </c>
      <c r="C25" s="8" t="s">
        <v>84</v>
      </c>
      <c r="D25" s="131" t="s">
        <v>58</v>
      </c>
      <c r="E25" s="131" t="s">
        <v>44</v>
      </c>
      <c r="F25" s="111" t="s">
        <v>531</v>
      </c>
      <c r="G25" s="132">
        <v>3</v>
      </c>
      <c r="H25" s="236">
        <f>G25+G26</f>
        <v>5</v>
      </c>
      <c r="I25" s="236"/>
      <c r="J25" s="119"/>
      <c r="K25" s="127">
        <f t="shared" si="0"/>
        <v>0</v>
      </c>
      <c r="L25" s="141">
        <f t="shared" si="1"/>
        <v>0</v>
      </c>
      <c r="M25" s="236">
        <f>L25+L26</f>
        <v>0</v>
      </c>
      <c r="N25" s="236">
        <f>M25/H25</f>
        <v>0</v>
      </c>
      <c r="O25" s="236"/>
      <c r="P25" s="236"/>
      <c r="Q25" s="237"/>
      <c r="R25" s="92"/>
      <c r="S25" s="92"/>
      <c r="T25" s="92"/>
      <c r="U25" s="92"/>
    </row>
    <row r="26" spans="1:21" ht="15" customHeight="1" x14ac:dyDescent="0.25">
      <c r="A26" s="98">
        <v>24</v>
      </c>
      <c r="B26" s="8" t="s">
        <v>96</v>
      </c>
      <c r="C26" s="8" t="s">
        <v>84</v>
      </c>
      <c r="D26" s="131" t="s">
        <v>58</v>
      </c>
      <c r="E26" s="131" t="s">
        <v>45</v>
      </c>
      <c r="F26" s="111" t="s">
        <v>532</v>
      </c>
      <c r="G26" s="132">
        <v>2</v>
      </c>
      <c r="H26" s="236"/>
      <c r="I26" s="236"/>
      <c r="J26" s="119"/>
      <c r="K26" s="127">
        <f t="shared" si="0"/>
        <v>0</v>
      </c>
      <c r="L26" s="141">
        <f t="shared" si="1"/>
        <v>0</v>
      </c>
      <c r="M26" s="236"/>
      <c r="N26" s="236"/>
      <c r="O26" s="236"/>
      <c r="P26" s="236"/>
      <c r="Q26" s="237"/>
      <c r="R26" s="92"/>
      <c r="S26" s="92"/>
      <c r="T26" s="92"/>
      <c r="U26" s="92"/>
    </row>
    <row r="27" spans="1:21" ht="15" customHeight="1" x14ac:dyDescent="0.25">
      <c r="A27" s="98">
        <v>25</v>
      </c>
      <c r="B27" s="8" t="s">
        <v>96</v>
      </c>
      <c r="C27" s="8" t="s">
        <v>85</v>
      </c>
      <c r="D27" s="131" t="s">
        <v>58</v>
      </c>
      <c r="E27" s="131" t="s">
        <v>46</v>
      </c>
      <c r="F27" s="111" t="s">
        <v>534</v>
      </c>
      <c r="G27" s="132">
        <v>4</v>
      </c>
      <c r="H27" s="141">
        <f>G27</f>
        <v>4</v>
      </c>
      <c r="I27" s="236"/>
      <c r="J27" s="119"/>
      <c r="K27" s="127">
        <f t="shared" si="0"/>
        <v>0</v>
      </c>
      <c r="L27" s="141">
        <f t="shared" si="1"/>
        <v>0</v>
      </c>
      <c r="M27" s="141">
        <f t="shared" ref="M27" si="7">L27</f>
        <v>0</v>
      </c>
      <c r="N27" s="141">
        <f>M27/H27</f>
        <v>0</v>
      </c>
      <c r="O27" s="236"/>
      <c r="P27" s="236"/>
      <c r="Q27" s="237"/>
      <c r="R27" s="92"/>
      <c r="S27" s="92"/>
      <c r="T27" s="92"/>
      <c r="U27" s="92"/>
    </row>
    <row r="28" spans="1:21" ht="15" customHeight="1" x14ac:dyDescent="0.25">
      <c r="A28" s="98">
        <v>26</v>
      </c>
      <c r="B28" s="8" t="s">
        <v>97</v>
      </c>
      <c r="C28" s="8" t="s">
        <v>86</v>
      </c>
      <c r="D28" s="131" t="s">
        <v>58</v>
      </c>
      <c r="E28" s="131" t="s">
        <v>49</v>
      </c>
      <c r="F28" s="111" t="s">
        <v>538</v>
      </c>
      <c r="G28" s="132">
        <v>4</v>
      </c>
      <c r="H28" s="236">
        <f>G28+G29</f>
        <v>6</v>
      </c>
      <c r="I28" s="236"/>
      <c r="J28" s="119"/>
      <c r="K28" s="127">
        <f t="shared" si="0"/>
        <v>0</v>
      </c>
      <c r="L28" s="141">
        <f t="shared" si="1"/>
        <v>0</v>
      </c>
      <c r="M28" s="236">
        <f>L28+L29</f>
        <v>0</v>
      </c>
      <c r="N28" s="236">
        <f>M28/H28</f>
        <v>0</v>
      </c>
      <c r="O28" s="236"/>
      <c r="P28" s="236"/>
      <c r="Q28" s="237"/>
      <c r="R28" s="92"/>
      <c r="S28" s="92"/>
      <c r="T28" s="92"/>
      <c r="U28" s="92"/>
    </row>
    <row r="29" spans="1:21" ht="15" customHeight="1" x14ac:dyDescent="0.25">
      <c r="A29" s="98">
        <v>27</v>
      </c>
      <c r="B29" s="8" t="s">
        <v>97</v>
      </c>
      <c r="C29" s="8" t="s">
        <v>86</v>
      </c>
      <c r="D29" s="131" t="s">
        <v>58</v>
      </c>
      <c r="E29" s="131" t="s">
        <v>568</v>
      </c>
      <c r="F29" s="111" t="s">
        <v>541</v>
      </c>
      <c r="G29" s="132">
        <v>2</v>
      </c>
      <c r="H29" s="236"/>
      <c r="I29" s="236"/>
      <c r="J29" s="119"/>
      <c r="K29" s="127">
        <f t="shared" si="0"/>
        <v>0</v>
      </c>
      <c r="L29" s="141">
        <f t="shared" si="1"/>
        <v>0</v>
      </c>
      <c r="M29" s="236"/>
      <c r="N29" s="236"/>
      <c r="O29" s="236"/>
      <c r="P29" s="236"/>
      <c r="Q29" s="237"/>
      <c r="R29" s="92"/>
      <c r="S29" s="92"/>
      <c r="T29" s="92"/>
      <c r="U29" s="92"/>
    </row>
    <row r="30" spans="1:21" ht="15" customHeight="1" x14ac:dyDescent="0.25">
      <c r="A30" s="98">
        <v>28</v>
      </c>
      <c r="B30" s="8" t="s">
        <v>97</v>
      </c>
      <c r="C30" s="8" t="s">
        <v>87</v>
      </c>
      <c r="D30" s="131" t="s">
        <v>58</v>
      </c>
      <c r="E30" s="131" t="s">
        <v>50</v>
      </c>
      <c r="F30" s="111" t="s">
        <v>542</v>
      </c>
      <c r="G30" s="132">
        <v>10</v>
      </c>
      <c r="H30" s="236">
        <f>G30+G31</f>
        <v>20</v>
      </c>
      <c r="I30" s="236"/>
      <c r="J30" s="119"/>
      <c r="K30" s="127">
        <f t="shared" si="0"/>
        <v>0</v>
      </c>
      <c r="L30" s="141">
        <f t="shared" si="1"/>
        <v>0</v>
      </c>
      <c r="M30" s="236">
        <f>L30+L31</f>
        <v>0</v>
      </c>
      <c r="N30" s="236">
        <f>M30/H30</f>
        <v>0</v>
      </c>
      <c r="O30" s="236"/>
      <c r="P30" s="236"/>
      <c r="Q30" s="237"/>
      <c r="R30" s="92"/>
      <c r="S30" s="92"/>
      <c r="T30" s="92"/>
      <c r="U30" s="92"/>
    </row>
    <row r="31" spans="1:21" ht="15" customHeight="1" x14ac:dyDescent="0.25">
      <c r="A31" s="98">
        <v>29</v>
      </c>
      <c r="B31" s="8" t="s">
        <v>97</v>
      </c>
      <c r="C31" s="8" t="s">
        <v>87</v>
      </c>
      <c r="D31" s="131" t="s">
        <v>58</v>
      </c>
      <c r="E31" s="131" t="s">
        <v>370</v>
      </c>
      <c r="F31" s="111" t="s">
        <v>544</v>
      </c>
      <c r="G31" s="132">
        <v>10</v>
      </c>
      <c r="H31" s="236"/>
      <c r="I31" s="236"/>
      <c r="J31" s="119"/>
      <c r="K31" s="127">
        <f t="shared" si="0"/>
        <v>0</v>
      </c>
      <c r="L31" s="141">
        <f t="shared" si="1"/>
        <v>0</v>
      </c>
      <c r="M31" s="236"/>
      <c r="N31" s="236"/>
      <c r="O31" s="236"/>
      <c r="P31" s="236"/>
      <c r="Q31" s="237"/>
      <c r="R31" s="92"/>
      <c r="S31" s="92"/>
      <c r="T31" s="92"/>
      <c r="U31" s="92"/>
    </row>
    <row r="32" spans="1:21" ht="15" customHeight="1" x14ac:dyDescent="0.25">
      <c r="A32" s="98">
        <v>30</v>
      </c>
      <c r="B32" s="8" t="s">
        <v>97</v>
      </c>
      <c r="C32" s="8" t="s">
        <v>88</v>
      </c>
      <c r="D32" s="131" t="s">
        <v>58</v>
      </c>
      <c r="E32" s="131" t="s">
        <v>52</v>
      </c>
      <c r="F32" s="111" t="s">
        <v>545</v>
      </c>
      <c r="G32" s="132">
        <v>5</v>
      </c>
      <c r="H32" s="236">
        <f>SUM(G32:G36)</f>
        <v>23</v>
      </c>
      <c r="I32" s="233">
        <v>73</v>
      </c>
      <c r="J32" s="119"/>
      <c r="K32" s="127">
        <f t="shared" si="0"/>
        <v>0</v>
      </c>
      <c r="L32" s="141">
        <f t="shared" si="1"/>
        <v>0</v>
      </c>
      <c r="M32" s="236">
        <f>SUM(L32:L36)</f>
        <v>0</v>
      </c>
      <c r="N32" s="236">
        <f>M32/H32</f>
        <v>0</v>
      </c>
      <c r="O32" s="236">
        <f>SUM(M32:M38)</f>
        <v>0</v>
      </c>
      <c r="P32" s="236">
        <f>O32/I32</f>
        <v>0</v>
      </c>
      <c r="Q32" s="237"/>
      <c r="R32" s="92"/>
      <c r="S32" s="92"/>
      <c r="T32" s="92"/>
      <c r="U32" s="92"/>
    </row>
    <row r="33" spans="1:21" ht="15" customHeight="1" x14ac:dyDescent="0.25">
      <c r="A33" s="98">
        <v>31</v>
      </c>
      <c r="B33" s="8" t="s">
        <v>97</v>
      </c>
      <c r="C33" s="8" t="s">
        <v>88</v>
      </c>
      <c r="D33" s="131" t="s">
        <v>58</v>
      </c>
      <c r="E33" s="131" t="s">
        <v>54</v>
      </c>
      <c r="F33" s="111" t="s">
        <v>547</v>
      </c>
      <c r="G33" s="132">
        <v>4</v>
      </c>
      <c r="H33" s="236"/>
      <c r="I33" s="235"/>
      <c r="J33" s="119"/>
      <c r="K33" s="127">
        <f t="shared" si="0"/>
        <v>0</v>
      </c>
      <c r="L33" s="141">
        <f t="shared" si="1"/>
        <v>0</v>
      </c>
      <c r="M33" s="236"/>
      <c r="N33" s="236"/>
      <c r="O33" s="236"/>
      <c r="P33" s="236"/>
      <c r="Q33" s="237"/>
      <c r="R33" s="92"/>
      <c r="S33" s="92"/>
      <c r="T33" s="92"/>
      <c r="U33" s="92"/>
    </row>
    <row r="34" spans="1:21" ht="15" customHeight="1" x14ac:dyDescent="0.25">
      <c r="A34" s="98">
        <v>32</v>
      </c>
      <c r="B34" s="8" t="s">
        <v>97</v>
      </c>
      <c r="C34" s="8" t="s">
        <v>88</v>
      </c>
      <c r="D34" s="131" t="s">
        <v>58</v>
      </c>
      <c r="E34" s="131" t="s">
        <v>382</v>
      </c>
      <c r="F34" s="111" t="s">
        <v>552</v>
      </c>
      <c r="G34" s="131">
        <v>5</v>
      </c>
      <c r="H34" s="236"/>
      <c r="I34" s="235"/>
      <c r="J34" s="119"/>
      <c r="K34" s="127">
        <f t="shared" si="0"/>
        <v>0</v>
      </c>
      <c r="L34" s="141">
        <f t="shared" si="1"/>
        <v>0</v>
      </c>
      <c r="M34" s="236"/>
      <c r="N34" s="236"/>
      <c r="O34" s="236"/>
      <c r="P34" s="236"/>
      <c r="Q34" s="237"/>
      <c r="R34" s="92"/>
      <c r="S34" s="92"/>
      <c r="T34" s="92"/>
      <c r="U34" s="92"/>
    </row>
    <row r="35" spans="1:21" ht="15" customHeight="1" x14ac:dyDescent="0.25">
      <c r="A35" s="98">
        <v>33</v>
      </c>
      <c r="B35" s="8" t="s">
        <v>97</v>
      </c>
      <c r="C35" s="8" t="s">
        <v>88</v>
      </c>
      <c r="D35" s="131" t="s">
        <v>58</v>
      </c>
      <c r="E35" s="131" t="s">
        <v>384</v>
      </c>
      <c r="F35" s="111" t="s">
        <v>553</v>
      </c>
      <c r="G35" s="131">
        <v>4</v>
      </c>
      <c r="H35" s="236"/>
      <c r="I35" s="235"/>
      <c r="J35" s="119"/>
      <c r="K35" s="127">
        <f t="shared" si="0"/>
        <v>0</v>
      </c>
      <c r="L35" s="141">
        <f t="shared" si="1"/>
        <v>0</v>
      </c>
      <c r="M35" s="236"/>
      <c r="N35" s="236"/>
      <c r="O35" s="236"/>
      <c r="P35" s="236"/>
      <c r="Q35" s="237"/>
      <c r="R35" s="92"/>
      <c r="S35" s="92"/>
      <c r="T35" s="92"/>
      <c r="U35" s="92"/>
    </row>
    <row r="36" spans="1:21" ht="15" customHeight="1" x14ac:dyDescent="0.25">
      <c r="A36" s="98">
        <v>34</v>
      </c>
      <c r="B36" s="8" t="s">
        <v>97</v>
      </c>
      <c r="C36" s="8" t="s">
        <v>88</v>
      </c>
      <c r="D36" s="131" t="s">
        <v>58</v>
      </c>
      <c r="E36" s="131" t="s">
        <v>388</v>
      </c>
      <c r="F36" s="111" t="s">
        <v>555</v>
      </c>
      <c r="G36" s="131">
        <v>5</v>
      </c>
      <c r="H36" s="236"/>
      <c r="I36" s="235"/>
      <c r="J36" s="119"/>
      <c r="K36" s="127">
        <f t="shared" si="0"/>
        <v>0</v>
      </c>
      <c r="L36" s="141">
        <f t="shared" si="1"/>
        <v>0</v>
      </c>
      <c r="M36" s="236"/>
      <c r="N36" s="236"/>
      <c r="O36" s="236"/>
      <c r="P36" s="236"/>
      <c r="Q36" s="237"/>
      <c r="R36" s="92"/>
      <c r="S36" s="92"/>
      <c r="T36" s="92"/>
      <c r="U36" s="92"/>
    </row>
    <row r="37" spans="1:21" ht="15" customHeight="1" x14ac:dyDescent="0.25">
      <c r="A37" s="98">
        <v>35</v>
      </c>
      <c r="B37" s="8" t="s">
        <v>97</v>
      </c>
      <c r="C37" s="8" t="s">
        <v>89</v>
      </c>
      <c r="D37" s="127" t="s">
        <v>58</v>
      </c>
      <c r="E37" s="127" t="s">
        <v>56</v>
      </c>
      <c r="F37" s="20" t="s">
        <v>556</v>
      </c>
      <c r="G37" s="127">
        <v>30</v>
      </c>
      <c r="H37" s="141">
        <f>G37</f>
        <v>30</v>
      </c>
      <c r="I37" s="235"/>
      <c r="J37" s="119"/>
      <c r="K37" s="127">
        <f t="shared" si="0"/>
        <v>0</v>
      </c>
      <c r="L37" s="141">
        <f t="shared" si="1"/>
        <v>0</v>
      </c>
      <c r="M37" s="141">
        <f t="shared" ref="M37:M38" si="8">L37</f>
        <v>0</v>
      </c>
      <c r="N37" s="141">
        <f>M37/H37</f>
        <v>0</v>
      </c>
      <c r="O37" s="236"/>
      <c r="P37" s="236"/>
      <c r="Q37" s="237"/>
      <c r="R37" s="92"/>
      <c r="S37" s="92"/>
      <c r="T37" s="92"/>
      <c r="U37" s="92"/>
    </row>
    <row r="38" spans="1:21" ht="15" customHeight="1" x14ac:dyDescent="0.25">
      <c r="A38" s="127">
        <v>36</v>
      </c>
      <c r="B38" s="8" t="s">
        <v>97</v>
      </c>
      <c r="C38" s="8" t="s">
        <v>90</v>
      </c>
      <c r="D38" s="127" t="s">
        <v>58</v>
      </c>
      <c r="E38" s="127" t="s">
        <v>57</v>
      </c>
      <c r="F38" s="20" t="s">
        <v>557</v>
      </c>
      <c r="G38" s="127">
        <v>20</v>
      </c>
      <c r="H38" s="127">
        <f>G38</f>
        <v>20</v>
      </c>
      <c r="I38" s="234"/>
      <c r="J38" s="119"/>
      <c r="K38" s="127">
        <v>0</v>
      </c>
      <c r="L38" s="141">
        <f t="shared" si="1"/>
        <v>0</v>
      </c>
      <c r="M38" s="141">
        <f t="shared" si="8"/>
        <v>0</v>
      </c>
      <c r="N38" s="127">
        <f>M38/H38</f>
        <v>0</v>
      </c>
      <c r="O38" s="236"/>
      <c r="P38" s="236"/>
      <c r="Q38" s="92"/>
      <c r="R38" s="92"/>
      <c r="S38" s="92"/>
      <c r="T38" s="92"/>
      <c r="U38" s="92"/>
    </row>
    <row r="39" spans="1:21" ht="15.75" thickBot="1" x14ac:dyDescent="0.3">
      <c r="H39"/>
    </row>
    <row r="40" spans="1:21" ht="23.25" thickBot="1" x14ac:dyDescent="0.3">
      <c r="B40" s="87" t="s">
        <v>220</v>
      </c>
      <c r="C40" t="s">
        <v>572</v>
      </c>
      <c r="D40"/>
      <c r="I40" s="152" t="s">
        <v>222</v>
      </c>
      <c r="J40" s="153"/>
      <c r="K40" s="153"/>
      <c r="L40" s="153"/>
      <c r="M40" s="153"/>
      <c r="N40" s="153"/>
      <c r="O40" s="153"/>
      <c r="P40" s="153"/>
      <c r="Q40" s="153"/>
      <c r="R40" s="153"/>
      <c r="S40" s="153"/>
      <c r="T40" s="154"/>
    </row>
    <row r="41" spans="1:21" x14ac:dyDescent="0.25">
      <c r="B41" s="88" t="s">
        <v>60</v>
      </c>
      <c r="C41" s="89">
        <v>20</v>
      </c>
      <c r="D41"/>
    </row>
    <row r="42" spans="1:21" x14ac:dyDescent="0.25">
      <c r="B42" s="88" t="s">
        <v>62</v>
      </c>
      <c r="C42" s="89">
        <v>10</v>
      </c>
      <c r="D42"/>
    </row>
    <row r="43" spans="1:21" ht="15.75" thickBot="1" x14ac:dyDescent="0.3">
      <c r="B43" s="88" t="s">
        <v>431</v>
      </c>
      <c r="C43" s="89">
        <v>15</v>
      </c>
      <c r="D43"/>
    </row>
    <row r="44" spans="1:21" ht="19.5" thickBot="1" x14ac:dyDescent="0.35">
      <c r="B44" s="88" t="s">
        <v>432</v>
      </c>
      <c r="C44" s="89">
        <v>40</v>
      </c>
      <c r="D44"/>
      <c r="I44" s="149" t="s">
        <v>227</v>
      </c>
      <c r="J44" s="150"/>
      <c r="K44" s="150"/>
      <c r="L44" s="150"/>
      <c r="M44" s="150"/>
      <c r="N44" s="150"/>
      <c r="O44" s="150"/>
      <c r="P44" s="150"/>
      <c r="Q44" s="150"/>
      <c r="R44" s="150"/>
      <c r="S44" s="150"/>
      <c r="T44" s="151"/>
    </row>
    <row r="45" spans="1:21" x14ac:dyDescent="0.25">
      <c r="B45" s="88" t="s">
        <v>67</v>
      </c>
      <c r="C45" s="89">
        <v>15</v>
      </c>
      <c r="D45"/>
      <c r="F45" s="121" t="s">
        <v>220</v>
      </c>
      <c r="G45" t="s">
        <v>221</v>
      </c>
    </row>
    <row r="46" spans="1:21" x14ac:dyDescent="0.25">
      <c r="B46" s="88" t="s">
        <v>68</v>
      </c>
      <c r="C46" s="89">
        <v>30</v>
      </c>
      <c r="D46"/>
      <c r="F46" s="88" t="s">
        <v>3</v>
      </c>
      <c r="G46" s="89">
        <v>0</v>
      </c>
    </row>
    <row r="47" spans="1:21" x14ac:dyDescent="0.25">
      <c r="B47" s="88" t="s">
        <v>433</v>
      </c>
      <c r="C47" s="89">
        <v>6</v>
      </c>
      <c r="D47"/>
      <c r="F47" s="88" t="s">
        <v>6</v>
      </c>
      <c r="G47" s="89">
        <v>0</v>
      </c>
    </row>
    <row r="48" spans="1:21" x14ac:dyDescent="0.25">
      <c r="B48" s="88" t="s">
        <v>435</v>
      </c>
      <c r="C48" s="89">
        <v>5</v>
      </c>
      <c r="D48"/>
      <c r="F48" s="88" t="s">
        <v>11</v>
      </c>
      <c r="G48" s="89">
        <v>0</v>
      </c>
    </row>
    <row r="49" spans="2:20" x14ac:dyDescent="0.25">
      <c r="B49" s="88" t="s">
        <v>438</v>
      </c>
      <c r="C49" s="89">
        <v>10</v>
      </c>
      <c r="D49"/>
      <c r="F49" s="88" t="s">
        <v>12</v>
      </c>
      <c r="G49" s="89">
        <v>0</v>
      </c>
    </row>
    <row r="50" spans="2:20" x14ac:dyDescent="0.25">
      <c r="B50" s="88" t="s">
        <v>75</v>
      </c>
      <c r="C50" s="89">
        <v>10</v>
      </c>
      <c r="D50"/>
      <c r="F50" s="88" t="s">
        <v>255</v>
      </c>
      <c r="G50" s="89">
        <v>0</v>
      </c>
    </row>
    <row r="51" spans="2:20" x14ac:dyDescent="0.25">
      <c r="B51" s="88" t="s">
        <v>76</v>
      </c>
      <c r="C51" s="89">
        <v>5</v>
      </c>
      <c r="D51"/>
      <c r="F51" s="88" t="s">
        <v>268</v>
      </c>
      <c r="G51" s="89">
        <v>0</v>
      </c>
    </row>
    <row r="52" spans="2:20" x14ac:dyDescent="0.25">
      <c r="B52" s="88" t="s">
        <v>77</v>
      </c>
      <c r="C52" s="89">
        <v>8</v>
      </c>
      <c r="D52"/>
      <c r="F52" s="88" t="s">
        <v>16</v>
      </c>
      <c r="G52" s="89">
        <v>0</v>
      </c>
    </row>
    <row r="53" spans="2:20" x14ac:dyDescent="0.25">
      <c r="B53" s="88" t="s">
        <v>78</v>
      </c>
      <c r="C53" s="89">
        <v>10</v>
      </c>
      <c r="D53"/>
      <c r="F53" s="88" t="s">
        <v>17</v>
      </c>
      <c r="G53" s="89">
        <v>0</v>
      </c>
    </row>
    <row r="54" spans="2:20" x14ac:dyDescent="0.25">
      <c r="B54" s="88" t="s">
        <v>81</v>
      </c>
      <c r="C54" s="89">
        <v>10</v>
      </c>
      <c r="D54"/>
      <c r="F54" s="88" t="s">
        <v>19</v>
      </c>
      <c r="G54" s="89">
        <v>0</v>
      </c>
    </row>
    <row r="55" spans="2:20" x14ac:dyDescent="0.25">
      <c r="B55" s="88" t="s">
        <v>82</v>
      </c>
      <c r="C55" s="89">
        <v>5</v>
      </c>
      <c r="D55"/>
      <c r="F55" s="88" t="s">
        <v>22</v>
      </c>
      <c r="G55" s="89">
        <v>0</v>
      </c>
    </row>
    <row r="56" spans="2:20" x14ac:dyDescent="0.25">
      <c r="B56" s="88" t="s">
        <v>83</v>
      </c>
      <c r="C56" s="89">
        <v>10</v>
      </c>
      <c r="D56"/>
      <c r="F56" s="88" t="s">
        <v>27</v>
      </c>
      <c r="G56" s="89">
        <v>0</v>
      </c>
    </row>
    <row r="57" spans="2:20" x14ac:dyDescent="0.25">
      <c r="B57" s="88" t="s">
        <v>84</v>
      </c>
      <c r="C57" s="89">
        <v>6</v>
      </c>
      <c r="D57"/>
      <c r="F57" s="88" t="s">
        <v>300</v>
      </c>
      <c r="G57" s="89">
        <v>0</v>
      </c>
    </row>
    <row r="58" spans="2:20" x14ac:dyDescent="0.25">
      <c r="B58" s="88" t="s">
        <v>85</v>
      </c>
      <c r="C58" s="89">
        <v>4</v>
      </c>
      <c r="D58"/>
      <c r="F58" s="88" t="s">
        <v>28</v>
      </c>
      <c r="G58" s="89">
        <v>0</v>
      </c>
    </row>
    <row r="59" spans="2:20" x14ac:dyDescent="0.25">
      <c r="B59" s="88" t="s">
        <v>86</v>
      </c>
      <c r="C59" s="89">
        <v>10</v>
      </c>
      <c r="D59"/>
      <c r="F59" s="88" t="s">
        <v>29</v>
      </c>
      <c r="G59" s="89">
        <v>0</v>
      </c>
    </row>
    <row r="60" spans="2:20" x14ac:dyDescent="0.25">
      <c r="B60" s="88" t="s">
        <v>87</v>
      </c>
      <c r="C60" s="89">
        <v>20</v>
      </c>
      <c r="D60"/>
      <c r="F60" s="88" t="s">
        <v>314</v>
      </c>
      <c r="G60" s="89">
        <v>0</v>
      </c>
    </row>
    <row r="61" spans="2:20" x14ac:dyDescent="0.25">
      <c r="B61" s="88" t="s">
        <v>88</v>
      </c>
      <c r="C61" s="89">
        <v>23</v>
      </c>
      <c r="D61"/>
      <c r="F61" s="88" t="s">
        <v>30</v>
      </c>
      <c r="G61" s="89">
        <v>0</v>
      </c>
    </row>
    <row r="62" spans="2:20" ht="15.75" thickBot="1" x14ac:dyDescent="0.3">
      <c r="B62" s="88" t="s">
        <v>89</v>
      </c>
      <c r="C62" s="89">
        <v>30</v>
      </c>
      <c r="D62"/>
      <c r="F62" s="88" t="s">
        <v>32</v>
      </c>
      <c r="G62" s="89">
        <v>0</v>
      </c>
    </row>
    <row r="63" spans="2:20" ht="19.5" thickBot="1" x14ac:dyDescent="0.35">
      <c r="B63" s="88" t="s">
        <v>90</v>
      </c>
      <c r="C63" s="89">
        <v>20</v>
      </c>
      <c r="D63"/>
      <c r="F63" s="88" t="s">
        <v>332</v>
      </c>
      <c r="G63" s="89">
        <v>0</v>
      </c>
      <c r="I63" s="149" t="s">
        <v>228</v>
      </c>
      <c r="J63" s="150"/>
      <c r="K63" s="150"/>
      <c r="L63" s="150"/>
      <c r="M63" s="150"/>
      <c r="N63" s="150"/>
      <c r="O63" s="150"/>
      <c r="P63" s="150"/>
      <c r="Q63" s="150"/>
      <c r="R63" s="150"/>
      <c r="S63" s="150"/>
      <c r="T63" s="151"/>
    </row>
    <row r="64" spans="2:20" x14ac:dyDescent="0.25">
      <c r="B64" s="88" t="s">
        <v>216</v>
      </c>
      <c r="C64" s="89">
        <v>322</v>
      </c>
      <c r="D64"/>
      <c r="F64" s="88" t="s">
        <v>41</v>
      </c>
      <c r="G64" s="89">
        <v>0</v>
      </c>
    </row>
    <row r="65" spans="6:7" x14ac:dyDescent="0.25">
      <c r="F65" s="88" t="s">
        <v>42</v>
      </c>
      <c r="G65" s="89">
        <v>0</v>
      </c>
    </row>
    <row r="66" spans="6:7" x14ac:dyDescent="0.25">
      <c r="F66" s="88" t="s">
        <v>43</v>
      </c>
      <c r="G66" s="89">
        <v>0</v>
      </c>
    </row>
    <row r="67" spans="6:7" x14ac:dyDescent="0.25">
      <c r="F67" s="88" t="s">
        <v>352</v>
      </c>
      <c r="G67" s="89">
        <v>0</v>
      </c>
    </row>
    <row r="68" spans="6:7" x14ac:dyDescent="0.25">
      <c r="F68" s="88" t="s">
        <v>44</v>
      </c>
      <c r="G68" s="89">
        <v>0</v>
      </c>
    </row>
    <row r="69" spans="6:7" x14ac:dyDescent="0.25">
      <c r="F69" s="88" t="s">
        <v>45</v>
      </c>
      <c r="G69" s="89">
        <v>0</v>
      </c>
    </row>
    <row r="70" spans="6:7" x14ac:dyDescent="0.25">
      <c r="F70" s="88" t="s">
        <v>46</v>
      </c>
      <c r="G70" s="89">
        <v>0</v>
      </c>
    </row>
    <row r="71" spans="6:7" x14ac:dyDescent="0.25">
      <c r="F71" s="88" t="s">
        <v>49</v>
      </c>
      <c r="G71" s="89">
        <v>0</v>
      </c>
    </row>
    <row r="72" spans="6:7" x14ac:dyDescent="0.25">
      <c r="F72" s="88" t="s">
        <v>568</v>
      </c>
      <c r="G72" s="89">
        <v>0</v>
      </c>
    </row>
    <row r="73" spans="6:7" x14ac:dyDescent="0.25">
      <c r="F73" s="88" t="s">
        <v>50</v>
      </c>
      <c r="G73" s="89">
        <v>0</v>
      </c>
    </row>
    <row r="74" spans="6:7" x14ac:dyDescent="0.25">
      <c r="F74" s="88" t="s">
        <v>370</v>
      </c>
      <c r="G74" s="89">
        <v>0</v>
      </c>
    </row>
    <row r="75" spans="6:7" x14ac:dyDescent="0.25">
      <c r="F75" s="88" t="s">
        <v>52</v>
      </c>
      <c r="G75" s="89">
        <v>0</v>
      </c>
    </row>
    <row r="76" spans="6:7" x14ac:dyDescent="0.25">
      <c r="F76" s="88" t="s">
        <v>388</v>
      </c>
      <c r="G76" s="89">
        <v>0</v>
      </c>
    </row>
    <row r="77" spans="6:7" x14ac:dyDescent="0.25">
      <c r="F77" s="88" t="s">
        <v>54</v>
      </c>
      <c r="G77" s="89">
        <v>0</v>
      </c>
    </row>
    <row r="78" spans="6:7" x14ac:dyDescent="0.25">
      <c r="F78" s="88" t="s">
        <v>382</v>
      </c>
      <c r="G78" s="89">
        <v>0</v>
      </c>
    </row>
    <row r="79" spans="6:7" x14ac:dyDescent="0.25">
      <c r="F79" s="88" t="s">
        <v>384</v>
      </c>
      <c r="G79" s="89">
        <v>0</v>
      </c>
    </row>
    <row r="80" spans="6:7" x14ac:dyDescent="0.25">
      <c r="F80" s="88" t="s">
        <v>56</v>
      </c>
      <c r="G80" s="89">
        <v>0</v>
      </c>
    </row>
    <row r="81" spans="6:20" x14ac:dyDescent="0.25">
      <c r="F81" s="88" t="s">
        <v>57</v>
      </c>
      <c r="G81" s="89">
        <v>0</v>
      </c>
    </row>
    <row r="82" spans="6:20" x14ac:dyDescent="0.25">
      <c r="F82" s="88" t="s">
        <v>216</v>
      </c>
      <c r="G82" s="89">
        <v>0</v>
      </c>
    </row>
    <row r="83" spans="6:20" x14ac:dyDescent="0.25">
      <c r="F83" s="88"/>
      <c r="G83" s="89"/>
    </row>
    <row r="84" spans="6:20" x14ac:dyDescent="0.25">
      <c r="F84" s="121" t="s">
        <v>220</v>
      </c>
      <c r="G84" t="s">
        <v>221</v>
      </c>
    </row>
    <row r="85" spans="6:20" ht="15.75" thickBot="1" x14ac:dyDescent="0.3">
      <c r="F85" s="88" t="s">
        <v>60</v>
      </c>
      <c r="G85" s="89">
        <v>0</v>
      </c>
    </row>
    <row r="86" spans="6:20" ht="19.5" thickBot="1" x14ac:dyDescent="0.35">
      <c r="F86" s="88" t="s">
        <v>62</v>
      </c>
      <c r="G86" s="89">
        <v>0</v>
      </c>
      <c r="I86" s="149" t="s">
        <v>226</v>
      </c>
      <c r="J86" s="150"/>
      <c r="K86" s="150"/>
      <c r="L86" s="150"/>
      <c r="M86" s="150"/>
      <c r="N86" s="150"/>
      <c r="O86" s="150"/>
      <c r="P86" s="150"/>
      <c r="Q86" s="150"/>
      <c r="R86" s="150"/>
      <c r="S86" s="150"/>
      <c r="T86" s="151"/>
    </row>
    <row r="87" spans="6:20" x14ac:dyDescent="0.25">
      <c r="F87" s="88" t="s">
        <v>431</v>
      </c>
      <c r="G87" s="89">
        <v>0</v>
      </c>
    </row>
    <row r="88" spans="6:20" x14ac:dyDescent="0.25">
      <c r="F88" s="88" t="s">
        <v>432</v>
      </c>
      <c r="G88" s="89">
        <v>0</v>
      </c>
    </row>
    <row r="89" spans="6:20" x14ac:dyDescent="0.25">
      <c r="F89" s="88" t="s">
        <v>67</v>
      </c>
      <c r="G89" s="89">
        <v>0</v>
      </c>
    </row>
    <row r="90" spans="6:20" x14ac:dyDescent="0.25">
      <c r="F90" s="88" t="s">
        <v>68</v>
      </c>
      <c r="G90" s="89">
        <v>0</v>
      </c>
    </row>
    <row r="91" spans="6:20" x14ac:dyDescent="0.25">
      <c r="F91" s="88" t="s">
        <v>433</v>
      </c>
      <c r="G91" s="89">
        <v>0</v>
      </c>
    </row>
    <row r="92" spans="6:20" x14ac:dyDescent="0.25">
      <c r="F92" s="88" t="s">
        <v>434</v>
      </c>
      <c r="G92" s="89">
        <v>0</v>
      </c>
    </row>
    <row r="93" spans="6:20" x14ac:dyDescent="0.25">
      <c r="F93" s="88" t="s">
        <v>437</v>
      </c>
      <c r="G93" s="89">
        <v>0</v>
      </c>
    </row>
    <row r="94" spans="6:20" x14ac:dyDescent="0.25">
      <c r="F94" s="88" t="s">
        <v>438</v>
      </c>
      <c r="G94" s="89">
        <v>0</v>
      </c>
    </row>
    <row r="95" spans="6:20" x14ac:dyDescent="0.25">
      <c r="F95" s="88" t="s">
        <v>75</v>
      </c>
      <c r="G95" s="89">
        <v>0</v>
      </c>
    </row>
    <row r="96" spans="6:20" x14ac:dyDescent="0.25">
      <c r="F96" s="88" t="s">
        <v>76</v>
      </c>
      <c r="G96" s="89">
        <v>0</v>
      </c>
    </row>
    <row r="97" spans="6:7" x14ac:dyDescent="0.25">
      <c r="F97" s="88" t="s">
        <v>77</v>
      </c>
      <c r="G97" s="89">
        <v>0</v>
      </c>
    </row>
    <row r="98" spans="6:7" x14ac:dyDescent="0.25">
      <c r="F98" s="88" t="s">
        <v>78</v>
      </c>
      <c r="G98" s="89">
        <v>0</v>
      </c>
    </row>
    <row r="99" spans="6:7" x14ac:dyDescent="0.25">
      <c r="F99" s="88" t="s">
        <v>81</v>
      </c>
      <c r="G99" s="89">
        <v>0</v>
      </c>
    </row>
    <row r="100" spans="6:7" x14ac:dyDescent="0.25">
      <c r="F100" s="88" t="s">
        <v>82</v>
      </c>
      <c r="G100" s="89">
        <v>0</v>
      </c>
    </row>
    <row r="101" spans="6:7" x14ac:dyDescent="0.25">
      <c r="F101" s="88" t="s">
        <v>83</v>
      </c>
      <c r="G101" s="89">
        <v>0</v>
      </c>
    </row>
    <row r="102" spans="6:7" x14ac:dyDescent="0.25">
      <c r="F102" s="88" t="s">
        <v>84</v>
      </c>
      <c r="G102" s="89">
        <v>0</v>
      </c>
    </row>
    <row r="103" spans="6:7" x14ac:dyDescent="0.25">
      <c r="F103" s="88" t="s">
        <v>85</v>
      </c>
      <c r="G103" s="89">
        <v>0</v>
      </c>
    </row>
    <row r="104" spans="6:7" x14ac:dyDescent="0.25">
      <c r="F104" s="88" t="s">
        <v>86</v>
      </c>
      <c r="G104" s="89">
        <v>0</v>
      </c>
    </row>
    <row r="105" spans="6:7" x14ac:dyDescent="0.25">
      <c r="F105" s="88" t="s">
        <v>87</v>
      </c>
      <c r="G105" s="89">
        <v>0</v>
      </c>
    </row>
    <row r="106" spans="6:7" x14ac:dyDescent="0.25">
      <c r="F106" s="88" t="s">
        <v>88</v>
      </c>
      <c r="G106" s="89">
        <v>0</v>
      </c>
    </row>
    <row r="107" spans="6:7" x14ac:dyDescent="0.25">
      <c r="F107" s="88" t="s">
        <v>89</v>
      </c>
      <c r="G107" s="89">
        <v>0</v>
      </c>
    </row>
    <row r="108" spans="6:7" x14ac:dyDescent="0.25">
      <c r="F108" s="88" t="s">
        <v>90</v>
      </c>
      <c r="G108" s="89">
        <v>0</v>
      </c>
    </row>
    <row r="109" spans="6:7" x14ac:dyDescent="0.25">
      <c r="F109" s="88" t="s">
        <v>216</v>
      </c>
      <c r="G109" s="89">
        <v>0</v>
      </c>
    </row>
    <row r="110" spans="6:7" x14ac:dyDescent="0.25">
      <c r="F110" s="88"/>
      <c r="G110" s="89"/>
    </row>
    <row r="111" spans="6:7" x14ac:dyDescent="0.25">
      <c r="F111" s="88"/>
      <c r="G111" s="89"/>
    </row>
    <row r="112" spans="6:7" x14ac:dyDescent="0.25">
      <c r="F112" s="121" t="s">
        <v>220</v>
      </c>
      <c r="G112" t="s">
        <v>221</v>
      </c>
    </row>
    <row r="113" spans="6:7" x14ac:dyDescent="0.25">
      <c r="F113" s="88" t="s">
        <v>91</v>
      </c>
      <c r="G113" s="89">
        <v>0</v>
      </c>
    </row>
    <row r="114" spans="6:7" x14ac:dyDescent="0.25">
      <c r="F114" s="88" t="s">
        <v>92</v>
      </c>
      <c r="G114" s="89">
        <v>0</v>
      </c>
    </row>
    <row r="115" spans="6:7" x14ac:dyDescent="0.25">
      <c r="F115" s="88" t="s">
        <v>93</v>
      </c>
      <c r="G115" s="89">
        <v>0</v>
      </c>
    </row>
    <row r="116" spans="6:7" x14ac:dyDescent="0.25">
      <c r="F116" s="88" t="s">
        <v>94</v>
      </c>
      <c r="G116" s="89">
        <v>0</v>
      </c>
    </row>
    <row r="117" spans="6:7" x14ac:dyDescent="0.25">
      <c r="F117" s="88" t="s">
        <v>95</v>
      </c>
      <c r="G117" s="89">
        <v>0</v>
      </c>
    </row>
    <row r="118" spans="6:7" x14ac:dyDescent="0.25">
      <c r="F118" s="88" t="s">
        <v>96</v>
      </c>
      <c r="G118" s="89">
        <v>0</v>
      </c>
    </row>
    <row r="119" spans="6:7" x14ac:dyDescent="0.25">
      <c r="F119" s="88" t="s">
        <v>97</v>
      </c>
      <c r="G119" s="89">
        <v>0</v>
      </c>
    </row>
    <row r="120" spans="6:7" x14ac:dyDescent="0.25">
      <c r="F120" s="88" t="s">
        <v>216</v>
      </c>
      <c r="G120" s="89">
        <v>0</v>
      </c>
    </row>
    <row r="121" spans="6:7" x14ac:dyDescent="0.25">
      <c r="F121"/>
    </row>
  </sheetData>
  <mergeCells count="56">
    <mergeCell ref="P23:P31"/>
    <mergeCell ref="P32:P38"/>
    <mergeCell ref="I5:I10"/>
    <mergeCell ref="I11:I14"/>
    <mergeCell ref="O5:O10"/>
    <mergeCell ref="O11:O14"/>
    <mergeCell ref="P5:P10"/>
    <mergeCell ref="P11:P14"/>
    <mergeCell ref="I15:I20"/>
    <mergeCell ref="I21:I22"/>
    <mergeCell ref="I23:I31"/>
    <mergeCell ref="O15:O20"/>
    <mergeCell ref="P15:P20"/>
    <mergeCell ref="O21:O22"/>
    <mergeCell ref="P21:P22"/>
    <mergeCell ref="O23:O31"/>
    <mergeCell ref="M25:M26"/>
    <mergeCell ref="M28:M29"/>
    <mergeCell ref="M30:M31"/>
    <mergeCell ref="M32:M36"/>
    <mergeCell ref="O32:O38"/>
    <mergeCell ref="N23:N24"/>
    <mergeCell ref="N25:N26"/>
    <mergeCell ref="N28:N29"/>
    <mergeCell ref="N30:N31"/>
    <mergeCell ref="N32:N36"/>
    <mergeCell ref="Q12:Q14"/>
    <mergeCell ref="Q15:Q19"/>
    <mergeCell ref="Q20:Q21"/>
    <mergeCell ref="N15:N17"/>
    <mergeCell ref="Q3:Q4"/>
    <mergeCell ref="Q5:Q11"/>
    <mergeCell ref="O3:O4"/>
    <mergeCell ref="P3:P4"/>
    <mergeCell ref="N6:N7"/>
    <mergeCell ref="N9:N10"/>
    <mergeCell ref="H25:H26"/>
    <mergeCell ref="H28:H29"/>
    <mergeCell ref="H30:H31"/>
    <mergeCell ref="H32:H36"/>
    <mergeCell ref="I32:I38"/>
    <mergeCell ref="I86:T86"/>
    <mergeCell ref="I63:T63"/>
    <mergeCell ref="I44:T44"/>
    <mergeCell ref="I40:T40"/>
    <mergeCell ref="Q22:Q30"/>
    <mergeCell ref="Q31:Q37"/>
    <mergeCell ref="H23:H24"/>
    <mergeCell ref="H15:H17"/>
    <mergeCell ref="M6:M7"/>
    <mergeCell ref="M9:M10"/>
    <mergeCell ref="M15:M17"/>
    <mergeCell ref="M23:M24"/>
    <mergeCell ref="I3:I4"/>
    <mergeCell ref="H6:H7"/>
    <mergeCell ref="H9:H10"/>
  </mergeCells>
  <pageMargins left="0.7" right="0.7" top="0.75" bottom="0.75" header="0.3" footer="0.3"/>
  <pageSetup paperSize="9" orientation="portrait" verticalDpi="0" r:id="rId5"/>
  <rowBreaks count="2" manualBreakCount="2">
    <brk id="38" max="16383" man="1"/>
    <brk id="99" max="16383" man="1"/>
  </rowBreaks>
  <colBreaks count="1" manualBreakCount="1">
    <brk id="8" max="1048575" man="1"/>
  </colBreaks>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tabSelected="1" view="pageBreakPreview" topLeftCell="A16" zoomScaleNormal="100" zoomScaleSheetLayoutView="100" workbookViewId="0">
      <selection activeCell="A17" sqref="A17:E17"/>
    </sheetView>
  </sheetViews>
  <sheetFormatPr defaultColWidth="9.140625" defaultRowHeight="14.25" x14ac:dyDescent="0.25"/>
  <cols>
    <col min="1" max="1" width="6" style="49" bestFit="1" customWidth="1"/>
    <col min="2" max="2" width="62.28515625" style="47" bestFit="1" customWidth="1"/>
    <col min="3" max="3" width="25.140625" style="49" customWidth="1"/>
    <col min="4" max="4" width="19" style="49" customWidth="1"/>
    <col min="5" max="5" width="18.85546875" style="49" customWidth="1"/>
    <col min="6" max="6" width="1.5703125" style="47" customWidth="1"/>
    <col min="7" max="7" width="20.28515625" style="47" hidden="1" customWidth="1"/>
    <col min="8" max="8" width="0" style="47" hidden="1" customWidth="1"/>
    <col min="9" max="9" width="14.42578125" style="47" hidden="1" customWidth="1"/>
    <col min="10" max="16384" width="9.140625" style="47"/>
  </cols>
  <sheetData>
    <row r="1" spans="1:9" ht="23.25" x14ac:dyDescent="0.25">
      <c r="A1" s="242" t="s">
        <v>206</v>
      </c>
      <c r="B1" s="242"/>
      <c r="C1" s="242"/>
      <c r="D1" s="242"/>
      <c r="E1" s="242"/>
    </row>
    <row r="2" spans="1:9" s="48" customFormat="1" ht="20.100000000000001" customHeight="1" x14ac:dyDescent="0.25">
      <c r="A2" s="243" t="s">
        <v>203</v>
      </c>
      <c r="B2" s="243"/>
      <c r="C2" s="243" t="str">
        <f>'University 115m'!$J$2</f>
        <v>Institute
Name</v>
      </c>
      <c r="D2" s="243"/>
      <c r="E2" s="243"/>
    </row>
    <row r="3" spans="1:9" s="48" customFormat="1" ht="20.100000000000001" customHeight="1" x14ac:dyDescent="0.25">
      <c r="A3" s="243" t="s">
        <v>204</v>
      </c>
      <c r="B3" s="243"/>
      <c r="C3" s="243" t="str">
        <f>'University 115m'!K$1</f>
        <v>University</v>
      </c>
      <c r="D3" s="243"/>
      <c r="E3" s="243"/>
    </row>
    <row r="4" spans="1:9" s="48" customFormat="1" ht="20.100000000000001" customHeight="1" x14ac:dyDescent="0.25">
      <c r="A4" s="240" t="s">
        <v>205</v>
      </c>
      <c r="B4" s="240"/>
      <c r="C4" s="241"/>
      <c r="D4" s="241"/>
      <c r="E4" s="241"/>
    </row>
    <row r="5" spans="1:9" s="49" customFormat="1" ht="113.25" customHeight="1" x14ac:dyDescent="0.25">
      <c r="A5" s="81" t="s">
        <v>163</v>
      </c>
      <c r="B5" s="81" t="s">
        <v>108</v>
      </c>
      <c r="C5" s="82" t="s">
        <v>130</v>
      </c>
      <c r="D5" s="122" t="s">
        <v>160</v>
      </c>
      <c r="E5" s="82" t="s">
        <v>214</v>
      </c>
      <c r="G5" s="50" t="s">
        <v>153</v>
      </c>
      <c r="H5" s="50" t="s">
        <v>154</v>
      </c>
      <c r="I5" s="51" t="s">
        <v>138</v>
      </c>
    </row>
    <row r="6" spans="1:9" s="55" customFormat="1" ht="50.1" customHeight="1" x14ac:dyDescent="0.25">
      <c r="A6" s="73">
        <v>1</v>
      </c>
      <c r="B6" s="74" t="s">
        <v>131</v>
      </c>
      <c r="C6" s="73">
        <v>25</v>
      </c>
      <c r="D6" s="73">
        <f>SUM('Ql (36m)'!O3:O4)</f>
        <v>0</v>
      </c>
      <c r="E6" s="75">
        <f>D6/C6</f>
        <v>0</v>
      </c>
      <c r="G6" s="57" t="s">
        <v>139</v>
      </c>
      <c r="H6" s="57" t="s">
        <v>140</v>
      </c>
      <c r="I6" s="57" t="s">
        <v>141</v>
      </c>
    </row>
    <row r="7" spans="1:9" s="55" customFormat="1" ht="50.1" customHeight="1" x14ac:dyDescent="0.25">
      <c r="A7" s="73">
        <v>2</v>
      </c>
      <c r="B7" s="74" t="s">
        <v>132</v>
      </c>
      <c r="C7" s="73">
        <v>52</v>
      </c>
      <c r="D7" s="75">
        <f>SUM('Ql (36m)'!O5:O10)</f>
        <v>0</v>
      </c>
      <c r="E7" s="75">
        <f t="shared" ref="E7:E12" si="0">D7/C7</f>
        <v>0</v>
      </c>
      <c r="G7" s="57" t="s">
        <v>142</v>
      </c>
      <c r="H7" s="57" t="s">
        <v>149</v>
      </c>
      <c r="I7" s="57" t="s">
        <v>141</v>
      </c>
    </row>
    <row r="8" spans="1:9" s="55" customFormat="1" ht="50.1" customHeight="1" x14ac:dyDescent="0.25">
      <c r="A8" s="73">
        <v>3</v>
      </c>
      <c r="B8" s="74" t="s">
        <v>133</v>
      </c>
      <c r="C8" s="73">
        <v>23</v>
      </c>
      <c r="D8" s="75">
        <f>SUM('Ql (36m)'!O11:O14)</f>
        <v>0</v>
      </c>
      <c r="E8" s="75">
        <f t="shared" si="0"/>
        <v>0</v>
      </c>
      <c r="G8" s="57" t="s">
        <v>143</v>
      </c>
      <c r="H8" s="57" t="s">
        <v>125</v>
      </c>
      <c r="I8" s="57" t="s">
        <v>141</v>
      </c>
    </row>
    <row r="9" spans="1:9" s="55" customFormat="1" ht="50.1" customHeight="1" x14ac:dyDescent="0.25">
      <c r="A9" s="73">
        <v>4</v>
      </c>
      <c r="B9" s="74" t="s">
        <v>134</v>
      </c>
      <c r="C9" s="73">
        <v>29</v>
      </c>
      <c r="D9" s="75">
        <f>SUM('Ql (36m)'!O15:O19)</f>
        <v>0</v>
      </c>
      <c r="E9" s="75">
        <f t="shared" si="0"/>
        <v>0</v>
      </c>
      <c r="G9" s="57" t="s">
        <v>144</v>
      </c>
      <c r="H9" s="57" t="s">
        <v>150</v>
      </c>
      <c r="I9" s="57" t="s">
        <v>141</v>
      </c>
    </row>
    <row r="10" spans="1:9" s="55" customFormat="1" ht="50.1" customHeight="1" x14ac:dyDescent="0.25">
      <c r="A10" s="73">
        <v>5</v>
      </c>
      <c r="B10" s="74" t="s">
        <v>135</v>
      </c>
      <c r="C10" s="73">
        <v>15</v>
      </c>
      <c r="D10" s="75">
        <f>SUM('Ql (36m)'!O20:O21)</f>
        <v>0</v>
      </c>
      <c r="E10" s="75">
        <f t="shared" si="0"/>
        <v>0</v>
      </c>
      <c r="G10" s="57" t="s">
        <v>145</v>
      </c>
      <c r="H10" s="57" t="s">
        <v>151</v>
      </c>
      <c r="I10" s="57" t="s">
        <v>141</v>
      </c>
    </row>
    <row r="11" spans="1:9" s="55" customFormat="1" ht="50.1" customHeight="1" x14ac:dyDescent="0.25">
      <c r="A11" s="73">
        <v>6</v>
      </c>
      <c r="B11" s="74" t="s">
        <v>136</v>
      </c>
      <c r="C11" s="73">
        <v>47</v>
      </c>
      <c r="D11" s="75">
        <f>SUM('Ql (36m)'!O21:O31)</f>
        <v>0</v>
      </c>
      <c r="E11" s="75">
        <f t="shared" si="0"/>
        <v>0</v>
      </c>
      <c r="G11" s="57" t="s">
        <v>146</v>
      </c>
      <c r="H11" s="57" t="s">
        <v>126</v>
      </c>
      <c r="I11" s="57" t="s">
        <v>141</v>
      </c>
    </row>
    <row r="12" spans="1:9" s="55" customFormat="1" ht="50.1" customHeight="1" x14ac:dyDescent="0.25">
      <c r="A12" s="73">
        <v>7</v>
      </c>
      <c r="B12" s="74" t="s">
        <v>137</v>
      </c>
      <c r="C12" s="73">
        <v>73</v>
      </c>
      <c r="D12" s="75">
        <f>SUM('Ql (36m)'!O32:O38)</f>
        <v>0</v>
      </c>
      <c r="E12" s="75">
        <f t="shared" si="0"/>
        <v>0</v>
      </c>
      <c r="G12" s="57" t="s">
        <v>148</v>
      </c>
      <c r="H12" s="57" t="s">
        <v>128</v>
      </c>
      <c r="I12" s="57" t="s">
        <v>141</v>
      </c>
    </row>
    <row r="13" spans="1:9" ht="66" customHeight="1" x14ac:dyDescent="0.25">
      <c r="A13" s="196" t="s">
        <v>215</v>
      </c>
      <c r="B13" s="196"/>
      <c r="C13" s="73">
        <f>SUM(C6:C12)</f>
        <v>264</v>
      </c>
      <c r="D13" s="73">
        <f>SUM(D6:D12)</f>
        <v>0</v>
      </c>
      <c r="E13" s="75">
        <f>D13/C13</f>
        <v>0</v>
      </c>
      <c r="G13" s="52" t="s">
        <v>147</v>
      </c>
      <c r="H13" s="52" t="s">
        <v>127</v>
      </c>
      <c r="I13" s="52" t="s">
        <v>152</v>
      </c>
    </row>
    <row r="14" spans="1:9" s="56" customFormat="1" ht="24.95" customHeight="1" thickBot="1" x14ac:dyDescent="0.3">
      <c r="A14" s="77"/>
      <c r="B14" s="78"/>
      <c r="C14" s="77"/>
      <c r="D14" s="77"/>
      <c r="E14" s="79"/>
    </row>
    <row r="15" spans="1:9" ht="73.5" customHeight="1" thickBot="1" x14ac:dyDescent="0.3">
      <c r="A15" s="162">
        <f>D13/C13</f>
        <v>0</v>
      </c>
      <c r="B15" s="163"/>
      <c r="C15" s="163"/>
      <c r="D15" s="163"/>
      <c r="E15" s="164"/>
    </row>
    <row r="16" spans="1:9" ht="18.75" thickBot="1" x14ac:dyDescent="0.3">
      <c r="A16" s="63"/>
      <c r="B16" s="64"/>
      <c r="C16" s="63"/>
      <c r="D16" s="80"/>
      <c r="E16" s="77"/>
    </row>
    <row r="17" spans="1:5" ht="33.75" customHeight="1" thickBot="1" x14ac:dyDescent="0.3">
      <c r="A17" s="155" t="str">
        <f>IF(AND($A$15&lt;=4,$A$15&gt;=3.51),"A++",IF(AND($A$15&lt;=3.5,$A$15&gt;=3.26),"A+",IF(AND($A$15&lt;=3.25,$A$15&gt;3.01),"A",IF(AND($A$15&lt;=3,$A$15&gt;=2.76),"B++",IF(AND($A$15&lt;=2.75,$A$15&gt;=2.51),"B+",IF(AND($A$15&lt;=2.5,$A$15&gt;=2.01),"B",IF(AND($A$15&lt;=2,$A$15&gt;=1.51),"C","D")))))))</f>
        <v>D</v>
      </c>
      <c r="B17" s="156"/>
      <c r="C17" s="156"/>
      <c r="D17" s="156"/>
      <c r="E17" s="157"/>
    </row>
    <row r="18" spans="1:5" x14ac:dyDescent="0.25">
      <c r="D18" s="53"/>
      <c r="E18" s="54"/>
    </row>
    <row r="19" spans="1:5" x14ac:dyDescent="0.25">
      <c r="D19" s="53"/>
      <c r="E19" s="54"/>
    </row>
    <row r="20" spans="1:5" ht="18" x14ac:dyDescent="0.25">
      <c r="A20" s="229" t="s">
        <v>206</v>
      </c>
      <c r="B20" s="229"/>
      <c r="C20" s="229"/>
      <c r="D20" s="229"/>
      <c r="E20" s="229"/>
    </row>
    <row r="21" spans="1:5" s="48" customFormat="1" ht="20.100000000000001" customHeight="1" x14ac:dyDescent="0.25">
      <c r="A21" s="204" t="s">
        <v>203</v>
      </c>
      <c r="B21" s="204"/>
      <c r="C21" s="204" t="str">
        <f>'University 115m'!$J$2</f>
        <v>Institute
Name</v>
      </c>
      <c r="D21" s="204"/>
      <c r="E21" s="204"/>
    </row>
    <row r="22" spans="1:5" s="48" customFormat="1" ht="20.100000000000001" customHeight="1" x14ac:dyDescent="0.25">
      <c r="A22" s="204" t="s">
        <v>204</v>
      </c>
      <c r="B22" s="204"/>
      <c r="C22" s="204" t="str">
        <f>'University 115m'!$K$1</f>
        <v>University</v>
      </c>
      <c r="D22" s="204"/>
      <c r="E22" s="204"/>
    </row>
    <row r="23" spans="1:5" s="48" customFormat="1" ht="20.100000000000001" customHeight="1" x14ac:dyDescent="0.25">
      <c r="A23" s="205" t="s">
        <v>205</v>
      </c>
      <c r="B23" s="205"/>
      <c r="C23" s="206"/>
      <c r="D23" s="206"/>
      <c r="E23" s="206"/>
    </row>
    <row r="24" spans="1:5" s="49" customFormat="1" ht="72" x14ac:dyDescent="0.25">
      <c r="A24" s="58" t="s">
        <v>163</v>
      </c>
      <c r="B24" s="58" t="s">
        <v>155</v>
      </c>
      <c r="C24" s="59" t="s">
        <v>207</v>
      </c>
      <c r="D24" s="207" t="s">
        <v>208</v>
      </c>
      <c r="E24" s="208"/>
    </row>
    <row r="25" spans="1:5" s="49" customFormat="1" ht="33" customHeight="1" x14ac:dyDescent="0.25">
      <c r="A25" s="170" t="s">
        <v>161</v>
      </c>
      <c r="B25" s="170"/>
      <c r="C25" s="170"/>
      <c r="D25" s="170"/>
      <c r="E25" s="170"/>
    </row>
    <row r="26" spans="1:5" ht="33" customHeight="1" x14ac:dyDescent="0.25">
      <c r="A26" s="60">
        <v>1.1000000000000001</v>
      </c>
      <c r="B26" s="61" t="s">
        <v>201</v>
      </c>
      <c r="C26" s="107">
        <v>20</v>
      </c>
      <c r="D26" s="165">
        <f>SUM('Ql (36m)'!M3)</f>
        <v>0</v>
      </c>
      <c r="E26" s="166"/>
    </row>
    <row r="27" spans="1:5" ht="33" customHeight="1" x14ac:dyDescent="0.25">
      <c r="A27" s="60">
        <v>1.3</v>
      </c>
      <c r="B27" s="61" t="s">
        <v>199</v>
      </c>
      <c r="C27" s="107">
        <v>5</v>
      </c>
      <c r="D27" s="165">
        <f>SUM('Ql (36m)'!M4)</f>
        <v>0</v>
      </c>
      <c r="E27" s="166"/>
    </row>
    <row r="28" spans="1:5" ht="33" customHeight="1" thickBot="1" x14ac:dyDescent="0.3">
      <c r="A28" s="171" t="s">
        <v>215</v>
      </c>
      <c r="B28" s="172"/>
      <c r="C28" s="108">
        <f>SUM(C26:C27)</f>
        <v>25</v>
      </c>
      <c r="D28" s="187">
        <f>SUM(D26:D27)</f>
        <v>0</v>
      </c>
      <c r="E28" s="187"/>
    </row>
    <row r="29" spans="1:5" ht="33" customHeight="1" thickBot="1" x14ac:dyDescent="0.3">
      <c r="A29" s="162">
        <f>D28/C28</f>
        <v>0</v>
      </c>
      <c r="B29" s="163"/>
      <c r="C29" s="163"/>
      <c r="D29" s="163"/>
      <c r="E29" s="164"/>
    </row>
    <row r="30" spans="1:5" ht="33" customHeight="1" x14ac:dyDescent="0.25">
      <c r="A30" s="195" t="s">
        <v>162</v>
      </c>
      <c r="B30" s="195"/>
      <c r="C30" s="195"/>
      <c r="D30" s="195"/>
      <c r="E30" s="195"/>
    </row>
    <row r="31" spans="1:5" ht="33" customHeight="1" x14ac:dyDescent="0.25">
      <c r="A31" s="60">
        <v>2.2000000000000002</v>
      </c>
      <c r="B31" s="61" t="s">
        <v>169</v>
      </c>
      <c r="C31" s="107">
        <v>10</v>
      </c>
      <c r="D31" s="165">
        <f>SUM('Ql (36m)'!M5)</f>
        <v>0</v>
      </c>
      <c r="E31" s="166"/>
    </row>
    <row r="32" spans="1:5" ht="33" customHeight="1" x14ac:dyDescent="0.25">
      <c r="A32" s="60">
        <v>2.2999999999999998</v>
      </c>
      <c r="B32" s="61" t="s">
        <v>442</v>
      </c>
      <c r="C32" s="107">
        <v>12</v>
      </c>
      <c r="D32" s="165">
        <f>SUM('Ql (36m)'!M6:M7)</f>
        <v>0</v>
      </c>
      <c r="E32" s="166"/>
    </row>
    <row r="33" spans="1:5" ht="33" customHeight="1" x14ac:dyDescent="0.25">
      <c r="A33" s="107">
        <v>2.5</v>
      </c>
      <c r="B33" s="61" t="s">
        <v>165</v>
      </c>
      <c r="C33" s="107">
        <v>10</v>
      </c>
      <c r="D33" s="165">
        <f>SUM('Ql (36m)'!M8)</f>
        <v>0</v>
      </c>
      <c r="E33" s="166"/>
    </row>
    <row r="34" spans="1:5" ht="33" customHeight="1" x14ac:dyDescent="0.25">
      <c r="A34" s="60">
        <v>2.6</v>
      </c>
      <c r="B34" s="61" t="s">
        <v>166</v>
      </c>
      <c r="C34" s="107">
        <v>20</v>
      </c>
      <c r="D34" s="165">
        <f>SUM('Ql (36m)'!M9:M10)</f>
        <v>0</v>
      </c>
      <c r="E34" s="166"/>
    </row>
    <row r="35" spans="1:5" ht="33" customHeight="1" x14ac:dyDescent="0.25">
      <c r="A35" s="187" t="s">
        <v>215</v>
      </c>
      <c r="B35" s="187"/>
      <c r="C35" s="108">
        <f>SUM(C31:C34)</f>
        <v>52</v>
      </c>
      <c r="D35" s="187">
        <f>SUM(D31:D34)</f>
        <v>0</v>
      </c>
      <c r="E35" s="187"/>
    </row>
    <row r="36" spans="1:5" ht="33" customHeight="1" x14ac:dyDescent="0.25">
      <c r="A36" s="230">
        <f>D35/C35</f>
        <v>0</v>
      </c>
      <c r="B36" s="230"/>
      <c r="C36" s="230"/>
      <c r="D36" s="230"/>
      <c r="E36" s="230"/>
    </row>
    <row r="37" spans="1:5" ht="33" customHeight="1" x14ac:dyDescent="0.25">
      <c r="A37" s="170" t="s">
        <v>171</v>
      </c>
      <c r="B37" s="170"/>
      <c r="C37" s="170"/>
      <c r="D37" s="170"/>
      <c r="E37" s="170"/>
    </row>
    <row r="38" spans="1:5" ht="33" customHeight="1" x14ac:dyDescent="0.25">
      <c r="A38" s="60">
        <v>3.1</v>
      </c>
      <c r="B38" s="61" t="s">
        <v>440</v>
      </c>
      <c r="C38" s="107">
        <v>2</v>
      </c>
      <c r="D38" s="165">
        <f>SUM('Ql (36m)'!M11)</f>
        <v>0</v>
      </c>
      <c r="E38" s="166"/>
    </row>
    <row r="39" spans="1:5" ht="33" customHeight="1" x14ac:dyDescent="0.25">
      <c r="A39" s="107">
        <v>3.3</v>
      </c>
      <c r="B39" s="61" t="s">
        <v>173</v>
      </c>
      <c r="C39" s="107">
        <v>10</v>
      </c>
      <c r="D39" s="165">
        <f>SUM('Ql (36m)'!M12)</f>
        <v>0</v>
      </c>
      <c r="E39" s="166"/>
    </row>
    <row r="40" spans="1:5" ht="33" customHeight="1" x14ac:dyDescent="0.25">
      <c r="A40" s="107">
        <v>3.5</v>
      </c>
      <c r="B40" s="61" t="s">
        <v>441</v>
      </c>
      <c r="C40" s="107">
        <v>5</v>
      </c>
      <c r="D40" s="165">
        <f>SUM('Ql (36m)'!M13)</f>
        <v>0</v>
      </c>
      <c r="E40" s="166"/>
    </row>
    <row r="41" spans="1:5" ht="33" customHeight="1" x14ac:dyDescent="0.25">
      <c r="A41" s="60">
        <v>3.6</v>
      </c>
      <c r="B41" s="61" t="s">
        <v>175</v>
      </c>
      <c r="C41" s="107">
        <v>6</v>
      </c>
      <c r="D41" s="165">
        <f>SUM('Ql (36m)'!M14)</f>
        <v>0</v>
      </c>
      <c r="E41" s="166"/>
    </row>
    <row r="42" spans="1:5" ht="33" customHeight="1" x14ac:dyDescent="0.25">
      <c r="A42" s="187" t="s">
        <v>215</v>
      </c>
      <c r="B42" s="187"/>
      <c r="C42" s="108">
        <f>SUM(C38:C41)</f>
        <v>23</v>
      </c>
      <c r="D42" s="187">
        <f>SUM(D38:D41)</f>
        <v>0</v>
      </c>
      <c r="E42" s="187"/>
    </row>
    <row r="43" spans="1:5" ht="33" customHeight="1" x14ac:dyDescent="0.25">
      <c r="A43" s="239">
        <f>D42/C42</f>
        <v>0</v>
      </c>
      <c r="B43" s="239"/>
      <c r="C43" s="239"/>
      <c r="D43" s="239"/>
      <c r="E43" s="239"/>
    </row>
    <row r="44" spans="1:5" ht="33" customHeight="1" x14ac:dyDescent="0.25">
      <c r="A44" s="170" t="s">
        <v>177</v>
      </c>
      <c r="B44" s="170"/>
      <c r="C44" s="170"/>
      <c r="D44" s="170"/>
      <c r="E44" s="170"/>
    </row>
    <row r="45" spans="1:5" ht="33" customHeight="1" x14ac:dyDescent="0.25">
      <c r="A45" s="107">
        <v>4.0999999999999996</v>
      </c>
      <c r="B45" s="116" t="s">
        <v>178</v>
      </c>
      <c r="C45" s="107">
        <v>20</v>
      </c>
      <c r="D45" s="165">
        <f>SUM('Ql (36m)'!M15:M17)</f>
        <v>0</v>
      </c>
      <c r="E45" s="166"/>
    </row>
    <row r="46" spans="1:5" ht="33" customHeight="1" x14ac:dyDescent="0.25">
      <c r="A46" s="107">
        <v>4.2</v>
      </c>
      <c r="B46" s="116" t="s">
        <v>179</v>
      </c>
      <c r="C46" s="107">
        <v>4</v>
      </c>
      <c r="D46" s="165">
        <f>SUM('Ql (36m)'!M18)</f>
        <v>0</v>
      </c>
      <c r="E46" s="166"/>
    </row>
    <row r="47" spans="1:5" ht="33" customHeight="1" x14ac:dyDescent="0.25">
      <c r="A47" s="107">
        <v>4.3</v>
      </c>
      <c r="B47" s="116" t="s">
        <v>180</v>
      </c>
      <c r="C47" s="107">
        <v>5</v>
      </c>
      <c r="D47" s="165">
        <f>SUM('Ql (36m)'!M19)</f>
        <v>0</v>
      </c>
      <c r="E47" s="166"/>
    </row>
    <row r="48" spans="1:5" ht="33" customHeight="1" x14ac:dyDescent="0.25">
      <c r="A48" s="107">
        <v>4.4000000000000004</v>
      </c>
      <c r="B48" s="116" t="s">
        <v>181</v>
      </c>
      <c r="C48" s="107">
        <v>10</v>
      </c>
      <c r="D48" s="165">
        <f>SUM('Ql (36m)'!M20)</f>
        <v>0</v>
      </c>
      <c r="E48" s="166"/>
    </row>
    <row r="49" spans="1:5" ht="33" customHeight="1" thickBot="1" x14ac:dyDescent="0.3">
      <c r="A49" s="171" t="s">
        <v>215</v>
      </c>
      <c r="B49" s="172"/>
      <c r="C49" s="109">
        <f>SUM(C45:C48)</f>
        <v>39</v>
      </c>
      <c r="D49" s="254">
        <f>SUM(D45:D48)</f>
        <v>0</v>
      </c>
      <c r="E49" s="255"/>
    </row>
    <row r="50" spans="1:5" ht="33" customHeight="1" x14ac:dyDescent="0.25">
      <c r="A50" s="206">
        <f>D49/C49</f>
        <v>0</v>
      </c>
      <c r="B50" s="206"/>
      <c r="C50" s="206"/>
      <c r="D50" s="206"/>
      <c r="E50" s="206"/>
    </row>
    <row r="51" spans="1:5" ht="33" customHeight="1" x14ac:dyDescent="0.25">
      <c r="A51" s="170" t="s">
        <v>182</v>
      </c>
      <c r="B51" s="170"/>
      <c r="C51" s="170"/>
      <c r="D51" s="170"/>
      <c r="E51" s="170"/>
    </row>
    <row r="52" spans="1:5" ht="33" customHeight="1" x14ac:dyDescent="0.25">
      <c r="A52" s="107">
        <v>5.3</v>
      </c>
      <c r="B52" s="61" t="s">
        <v>185</v>
      </c>
      <c r="C52" s="107">
        <v>5</v>
      </c>
      <c r="D52" s="165">
        <f>SUM('Ql (36m)'!M21)</f>
        <v>0</v>
      </c>
      <c r="E52" s="166"/>
    </row>
    <row r="53" spans="1:5" ht="33" customHeight="1" x14ac:dyDescent="0.25">
      <c r="A53" s="107">
        <v>5.4</v>
      </c>
      <c r="B53" s="61" t="s">
        <v>186</v>
      </c>
      <c r="C53" s="106">
        <v>2</v>
      </c>
      <c r="D53" s="165">
        <f>SUM('Ql (36m)'!M22)</f>
        <v>0</v>
      </c>
      <c r="E53" s="166"/>
    </row>
    <row r="54" spans="1:5" ht="33" customHeight="1" x14ac:dyDescent="0.25">
      <c r="A54" s="171" t="s">
        <v>215</v>
      </c>
      <c r="B54" s="172"/>
      <c r="C54" s="117">
        <f>SUM(C52:C53)</f>
        <v>7</v>
      </c>
      <c r="D54" s="171">
        <f>SUM(D52:D53)</f>
        <v>0</v>
      </c>
      <c r="E54" s="172"/>
    </row>
    <row r="55" spans="1:5" ht="33" customHeight="1" x14ac:dyDescent="0.25">
      <c r="A55" s="227">
        <f>D54/C54</f>
        <v>0</v>
      </c>
      <c r="B55" s="227"/>
      <c r="C55" s="227"/>
      <c r="D55" s="227"/>
      <c r="E55" s="227"/>
    </row>
    <row r="56" spans="1:5" ht="33" customHeight="1" x14ac:dyDescent="0.25">
      <c r="A56" s="170" t="s">
        <v>187</v>
      </c>
      <c r="B56" s="170"/>
      <c r="C56" s="170"/>
      <c r="D56" s="170"/>
      <c r="E56" s="170"/>
    </row>
    <row r="57" spans="1:5" ht="33" customHeight="1" x14ac:dyDescent="0.25">
      <c r="A57" s="60">
        <v>6.1</v>
      </c>
      <c r="B57" s="61" t="s">
        <v>188</v>
      </c>
      <c r="C57" s="107">
        <v>10</v>
      </c>
      <c r="D57" s="165">
        <f>SUM('Ql (36m)'!M23:M24)</f>
        <v>0</v>
      </c>
      <c r="E57" s="166"/>
    </row>
    <row r="58" spans="1:5" ht="33" customHeight="1" x14ac:dyDescent="0.25">
      <c r="A58" s="60">
        <v>6.2</v>
      </c>
      <c r="B58" s="61" t="s">
        <v>189</v>
      </c>
      <c r="C58" s="107">
        <v>5</v>
      </c>
      <c r="D58" s="165">
        <f>SUM('Ql (36m)'!M25:M26)</f>
        <v>0</v>
      </c>
      <c r="E58" s="166"/>
    </row>
    <row r="59" spans="1:5" ht="33" customHeight="1" x14ac:dyDescent="0.25">
      <c r="A59" s="60">
        <v>6.3</v>
      </c>
      <c r="B59" s="61" t="s">
        <v>190</v>
      </c>
      <c r="C59" s="107">
        <v>4</v>
      </c>
      <c r="D59" s="165">
        <f>SUM('Ql (36m)'!M27)</f>
        <v>0</v>
      </c>
      <c r="E59" s="166"/>
    </row>
    <row r="60" spans="1:5" ht="33" customHeight="1" x14ac:dyDescent="0.25">
      <c r="A60" s="60">
        <v>6.4</v>
      </c>
      <c r="B60" s="61" t="s">
        <v>191</v>
      </c>
      <c r="C60" s="107">
        <v>6</v>
      </c>
      <c r="D60" s="165">
        <f>SUM('Ql (36m)'!M28:M29)</f>
        <v>0</v>
      </c>
      <c r="E60" s="166"/>
    </row>
    <row r="61" spans="1:5" ht="33" customHeight="1" x14ac:dyDescent="0.25">
      <c r="A61" s="60">
        <v>6.5</v>
      </c>
      <c r="B61" s="61" t="s">
        <v>192</v>
      </c>
      <c r="C61" s="107">
        <v>20</v>
      </c>
      <c r="D61" s="165">
        <f>SUM('Ql (36m)'!M30:M31)</f>
        <v>0</v>
      </c>
      <c r="E61" s="166"/>
    </row>
    <row r="62" spans="1:5" ht="33" customHeight="1" thickBot="1" x14ac:dyDescent="0.3">
      <c r="A62" s="177" t="s">
        <v>215</v>
      </c>
      <c r="B62" s="178"/>
      <c r="C62" s="118">
        <f>SUM(C57:C61)</f>
        <v>45</v>
      </c>
      <c r="D62" s="256">
        <f>SUM(D57:D59)</f>
        <v>0</v>
      </c>
      <c r="E62" s="257"/>
    </row>
    <row r="63" spans="1:5" ht="33" customHeight="1" thickBot="1" x14ac:dyDescent="0.3">
      <c r="A63" s="162">
        <f>D62/C62</f>
        <v>0</v>
      </c>
      <c r="B63" s="163"/>
      <c r="C63" s="163"/>
      <c r="D63" s="163"/>
      <c r="E63" s="164"/>
    </row>
    <row r="64" spans="1:5" ht="33" customHeight="1" x14ac:dyDescent="0.25">
      <c r="A64" s="170" t="s">
        <v>193</v>
      </c>
      <c r="B64" s="170"/>
      <c r="C64" s="170"/>
      <c r="D64" s="170"/>
      <c r="E64" s="170"/>
    </row>
    <row r="65" spans="1:5" ht="33" customHeight="1" x14ac:dyDescent="0.25">
      <c r="A65" s="60">
        <v>7.1</v>
      </c>
      <c r="B65" s="61" t="s">
        <v>194</v>
      </c>
      <c r="C65" s="107">
        <v>23</v>
      </c>
      <c r="D65" s="165">
        <f>SUM('Ql (36m)'!M32:M36)</f>
        <v>0</v>
      </c>
      <c r="E65" s="166"/>
    </row>
    <row r="66" spans="1:5" ht="33" customHeight="1" x14ac:dyDescent="0.25">
      <c r="A66" s="60">
        <v>7.2</v>
      </c>
      <c r="B66" s="61" t="s">
        <v>129</v>
      </c>
      <c r="C66" s="107">
        <v>30</v>
      </c>
      <c r="D66" s="165">
        <f>SUM('Ql (36m)'!M37)</f>
        <v>0</v>
      </c>
      <c r="E66" s="166"/>
    </row>
    <row r="67" spans="1:5" ht="33" customHeight="1" x14ac:dyDescent="0.25">
      <c r="A67" s="60">
        <v>7.3</v>
      </c>
      <c r="B67" s="61" t="s">
        <v>195</v>
      </c>
      <c r="C67" s="107">
        <v>20</v>
      </c>
      <c r="D67" s="165">
        <f>SUM('Ql (36m)'!M38)</f>
        <v>0</v>
      </c>
      <c r="E67" s="166"/>
    </row>
    <row r="68" spans="1:5" ht="33" customHeight="1" x14ac:dyDescent="0.25">
      <c r="A68" s="171" t="s">
        <v>215</v>
      </c>
      <c r="B68" s="172"/>
      <c r="C68" s="109">
        <f>SUM(C65:C67)</f>
        <v>73</v>
      </c>
      <c r="D68" s="173">
        <f>SUM(D65:D65)</f>
        <v>0</v>
      </c>
      <c r="E68" s="174"/>
    </row>
    <row r="69" spans="1:5" ht="33" customHeight="1" x14ac:dyDescent="0.25">
      <c r="A69" s="175">
        <f>D68/C68</f>
        <v>0</v>
      </c>
      <c r="B69" s="175"/>
      <c r="C69" s="175"/>
      <c r="D69" s="175"/>
      <c r="E69" s="175"/>
    </row>
    <row r="70" spans="1:5" ht="33" customHeight="1" x14ac:dyDescent="0.25">
      <c r="A70" s="222" t="s">
        <v>216</v>
      </c>
      <c r="B70" s="223"/>
      <c r="C70" s="72">
        <f>SUM(C68,C62,C54,C49,C42,C35,C28)</f>
        <v>264</v>
      </c>
      <c r="D70" s="224">
        <f>SUM(D68,D62,D54,D49,D42,D35,D28)</f>
        <v>0</v>
      </c>
      <c r="E70" s="225"/>
    </row>
    <row r="71" spans="1:5" ht="71.25" customHeight="1" x14ac:dyDescent="0.25">
      <c r="A71" s="226">
        <f>D70/C70</f>
        <v>0</v>
      </c>
      <c r="B71" s="227"/>
      <c r="C71" s="227"/>
      <c r="D71" s="227"/>
      <c r="E71" s="228"/>
    </row>
    <row r="72" spans="1:5" ht="29.25" customHeight="1" x14ac:dyDescent="0.25">
      <c r="A72" s="238" t="str">
        <f>IF(AND($A$71&lt;=4,$A$71&gt;=3.51),"A++",IF(AND($A$71&lt;=3.5,$A$71&gt;=3.26),"A+",IF(AND($A$71&lt;=3.25,$A$71&gt;3.01),"A",IF(AND($A$71&lt;=3,$A$71&gt;=2.76),"B++",IF(AND($A$71&lt;=2.75,$A$71&gt;=2.51),"B+",IF(AND($A$71&lt;=2.5,$A$71&gt;=2.01),"B",IF(AND($A$71&lt;=2,$A$71&gt;=1.51),"C","D")))))))</f>
        <v>D</v>
      </c>
      <c r="B72" s="238"/>
      <c r="C72" s="238"/>
      <c r="D72" s="238"/>
      <c r="E72" s="238"/>
    </row>
  </sheetData>
  <mergeCells count="74">
    <mergeCell ref="A4:B4"/>
    <mergeCell ref="C4:E4"/>
    <mergeCell ref="A1:E1"/>
    <mergeCell ref="A2:B2"/>
    <mergeCell ref="C2:E2"/>
    <mergeCell ref="A3:B3"/>
    <mergeCell ref="C3:E3"/>
    <mergeCell ref="A25:E25"/>
    <mergeCell ref="A13:B13"/>
    <mergeCell ref="A15:E15"/>
    <mergeCell ref="A17:E17"/>
    <mergeCell ref="A20:E20"/>
    <mergeCell ref="A21:B21"/>
    <mergeCell ref="C21:E21"/>
    <mergeCell ref="A22:B22"/>
    <mergeCell ref="C22:E22"/>
    <mergeCell ref="A23:B23"/>
    <mergeCell ref="C23:E23"/>
    <mergeCell ref="D24:E24"/>
    <mergeCell ref="A30:E30"/>
    <mergeCell ref="D31:E31"/>
    <mergeCell ref="D32:E32"/>
    <mergeCell ref="D34:E34"/>
    <mergeCell ref="D26:E26"/>
    <mergeCell ref="D27:E27"/>
    <mergeCell ref="A28:B28"/>
    <mergeCell ref="D28:E28"/>
    <mergeCell ref="A29:E29"/>
    <mergeCell ref="D33:E33"/>
    <mergeCell ref="A42:B42"/>
    <mergeCell ref="D42:E42"/>
    <mergeCell ref="A43:E43"/>
    <mergeCell ref="A35:B35"/>
    <mergeCell ref="D35:E35"/>
    <mergeCell ref="A36:E36"/>
    <mergeCell ref="A37:E37"/>
    <mergeCell ref="D38:E38"/>
    <mergeCell ref="D41:E41"/>
    <mergeCell ref="D39:E39"/>
    <mergeCell ref="D40:E40"/>
    <mergeCell ref="A44:E44"/>
    <mergeCell ref="D45:E45"/>
    <mergeCell ref="D46:E46"/>
    <mergeCell ref="D48:E48"/>
    <mergeCell ref="A49:B49"/>
    <mergeCell ref="D49:E49"/>
    <mergeCell ref="D47:E47"/>
    <mergeCell ref="A62:B62"/>
    <mergeCell ref="D62:E62"/>
    <mergeCell ref="D60:E60"/>
    <mergeCell ref="D61:E61"/>
    <mergeCell ref="A50:E50"/>
    <mergeCell ref="A51:E51"/>
    <mergeCell ref="D52:E52"/>
    <mergeCell ref="A54:B54"/>
    <mergeCell ref="D54:E54"/>
    <mergeCell ref="A55:E55"/>
    <mergeCell ref="A56:E56"/>
    <mergeCell ref="D57:E57"/>
    <mergeCell ref="D58:E58"/>
    <mergeCell ref="D59:E59"/>
    <mergeCell ref="D53:E53"/>
    <mergeCell ref="A72:E72"/>
    <mergeCell ref="A70:B70"/>
    <mergeCell ref="D70:E70"/>
    <mergeCell ref="A71:E71"/>
    <mergeCell ref="A63:E63"/>
    <mergeCell ref="A64:E64"/>
    <mergeCell ref="D65:E65"/>
    <mergeCell ref="A68:B68"/>
    <mergeCell ref="D68:E68"/>
    <mergeCell ref="A69:E69"/>
    <mergeCell ref="D66:E66"/>
    <mergeCell ref="D67:E67"/>
  </mergeCells>
  <printOptions horizontalCentered="1"/>
  <pageMargins left="0.19685039370078741" right="0.19685039370078741" top="0.78740157480314965" bottom="0.39370078740157483" header="0.31496062992125984" footer="0.31496062992125984"/>
  <pageSetup paperSize="9" scale="74" fitToHeight="0" orientation="portrait" r:id="rId1"/>
  <headerFooter>
    <oddHeader>&amp;C
&amp;G</oddHeader>
  </headerFooter>
  <rowBreaks count="2" manualBreakCount="2">
    <brk id="19" max="16383" man="1"/>
    <brk id="50" max="16383" man="1"/>
  </rowBreaks>
  <colBreaks count="1" manualBreakCount="1">
    <brk id="5" max="1048575" man="1"/>
  </col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view="pageBreakPreview" topLeftCell="A37" zoomScaleNormal="100" zoomScaleSheetLayoutView="100" workbookViewId="0">
      <selection activeCell="A56" sqref="A56:E58"/>
    </sheetView>
  </sheetViews>
  <sheetFormatPr defaultColWidth="9.140625" defaultRowHeight="15" x14ac:dyDescent="0.25"/>
  <cols>
    <col min="1" max="1" width="5.140625" style="1" bestFit="1" customWidth="1"/>
    <col min="2" max="2" width="52.7109375" style="39" bestFit="1" customWidth="1"/>
    <col min="3" max="3" width="14.140625" style="1" customWidth="1"/>
    <col min="4" max="4" width="16.5703125" style="1" customWidth="1"/>
    <col min="5" max="5" width="17.42578125" style="1" bestFit="1" customWidth="1"/>
    <col min="6" max="6" width="1.5703125" style="39" customWidth="1"/>
    <col min="7" max="7" width="20.28515625" style="39" bestFit="1" customWidth="1"/>
    <col min="8" max="8" width="9.140625" style="39"/>
    <col min="9" max="9" width="14.42578125" style="39" bestFit="1" customWidth="1"/>
    <col min="10" max="16384" width="9.140625" style="39"/>
  </cols>
  <sheetData>
    <row r="1" spans="1:9" ht="23.25" x14ac:dyDescent="0.25">
      <c r="A1" s="248" t="s">
        <v>202</v>
      </c>
      <c r="B1" s="248"/>
      <c r="C1" s="248"/>
      <c r="D1" s="248"/>
      <c r="E1" s="248"/>
    </row>
    <row r="2" spans="1:9" s="42" customFormat="1" ht="20.100000000000001" customHeight="1" x14ac:dyDescent="0.25">
      <c r="A2" s="249" t="s">
        <v>203</v>
      </c>
      <c r="B2" s="249"/>
      <c r="C2" s="251"/>
      <c r="D2" s="251"/>
      <c r="E2" s="251"/>
    </row>
    <row r="3" spans="1:9" s="42" customFormat="1" ht="20.100000000000001" customHeight="1" x14ac:dyDescent="0.25">
      <c r="A3" s="249" t="s">
        <v>204</v>
      </c>
      <c r="B3" s="249"/>
      <c r="C3" s="251"/>
      <c r="D3" s="251"/>
      <c r="E3" s="251"/>
    </row>
    <row r="4" spans="1:9" s="42" customFormat="1" ht="20.100000000000001" customHeight="1" x14ac:dyDescent="0.25">
      <c r="A4" s="250" t="s">
        <v>205</v>
      </c>
      <c r="B4" s="250"/>
      <c r="C4" s="251"/>
      <c r="D4" s="251"/>
      <c r="E4" s="251"/>
    </row>
    <row r="5" spans="1:9" s="1" customFormat="1" ht="60" x14ac:dyDescent="0.25">
      <c r="A5" s="26" t="s">
        <v>163</v>
      </c>
      <c r="B5" s="26" t="s">
        <v>108</v>
      </c>
      <c r="C5" s="27" t="s">
        <v>130</v>
      </c>
      <c r="D5" s="27" t="s">
        <v>160</v>
      </c>
      <c r="E5" s="27" t="s">
        <v>159</v>
      </c>
      <c r="G5" s="24" t="s">
        <v>153</v>
      </c>
      <c r="H5" s="24" t="s">
        <v>154</v>
      </c>
      <c r="I5" s="25" t="s">
        <v>138</v>
      </c>
    </row>
    <row r="6" spans="1:9" ht="24.95" customHeight="1" x14ac:dyDescent="0.25">
      <c r="A6" s="36">
        <v>1</v>
      </c>
      <c r="B6" s="15" t="s">
        <v>131</v>
      </c>
      <c r="C6" s="36">
        <v>30</v>
      </c>
      <c r="D6" s="44">
        <f>SUM('Ql (36m)'!O3:O4)</f>
        <v>0</v>
      </c>
      <c r="E6" s="31">
        <f>D6/C6</f>
        <v>0</v>
      </c>
      <c r="G6" s="36" t="s">
        <v>139</v>
      </c>
      <c r="H6" s="36" t="s">
        <v>140</v>
      </c>
      <c r="I6" s="36" t="s">
        <v>141</v>
      </c>
    </row>
    <row r="7" spans="1:9" ht="24.95" customHeight="1" x14ac:dyDescent="0.25">
      <c r="A7" s="36">
        <v>2</v>
      </c>
      <c r="B7" s="15" t="s">
        <v>132</v>
      </c>
      <c r="C7" s="36">
        <v>125</v>
      </c>
      <c r="D7" s="36">
        <f>SUM('Ql (36m)'!O5:O7)</f>
        <v>0</v>
      </c>
      <c r="E7" s="31">
        <f t="shared" ref="E7:E12" si="0">D7/C7</f>
        <v>0</v>
      </c>
      <c r="G7" s="36" t="s">
        <v>142</v>
      </c>
      <c r="H7" s="36" t="s">
        <v>149</v>
      </c>
      <c r="I7" s="36" t="s">
        <v>141</v>
      </c>
    </row>
    <row r="8" spans="1:9" ht="24.95" customHeight="1" x14ac:dyDescent="0.25">
      <c r="A8" s="36">
        <v>3</v>
      </c>
      <c r="B8" s="15" t="s">
        <v>133</v>
      </c>
      <c r="C8" s="36">
        <v>30</v>
      </c>
      <c r="D8" s="36">
        <f>SUM('Ql (36m)'!O8:O10)</f>
        <v>0</v>
      </c>
      <c r="E8" s="31">
        <f t="shared" si="0"/>
        <v>0</v>
      </c>
      <c r="G8" s="36" t="s">
        <v>143</v>
      </c>
      <c r="H8" s="36" t="s">
        <v>125</v>
      </c>
      <c r="I8" s="36" t="s">
        <v>141</v>
      </c>
    </row>
    <row r="9" spans="1:9" ht="24.95" customHeight="1" x14ac:dyDescent="0.25">
      <c r="A9" s="36">
        <v>4</v>
      </c>
      <c r="B9" s="15" t="s">
        <v>134</v>
      </c>
      <c r="C9" s="36">
        <v>60</v>
      </c>
      <c r="D9" s="36">
        <f>SUM('Ql (36m)'!O11:O13)</f>
        <v>0</v>
      </c>
      <c r="E9" s="31">
        <f t="shared" si="0"/>
        <v>0</v>
      </c>
      <c r="G9" s="36" t="s">
        <v>144</v>
      </c>
      <c r="H9" s="36" t="s">
        <v>150</v>
      </c>
      <c r="I9" s="36" t="s">
        <v>141</v>
      </c>
    </row>
    <row r="10" spans="1:9" ht="24.95" customHeight="1" x14ac:dyDescent="0.25">
      <c r="A10" s="36">
        <v>5</v>
      </c>
      <c r="B10" s="15" t="s">
        <v>135</v>
      </c>
      <c r="C10" s="36">
        <v>10</v>
      </c>
      <c r="D10" s="36">
        <f>SUM('Ql (36m)'!O14)</f>
        <v>0</v>
      </c>
      <c r="E10" s="31">
        <f t="shared" si="0"/>
        <v>0</v>
      </c>
      <c r="G10" s="36" t="s">
        <v>145</v>
      </c>
      <c r="H10" s="36" t="s">
        <v>151</v>
      </c>
      <c r="I10" s="36" t="s">
        <v>141</v>
      </c>
    </row>
    <row r="11" spans="1:9" ht="24.95" customHeight="1" x14ac:dyDescent="0.25">
      <c r="A11" s="36">
        <v>6</v>
      </c>
      <c r="B11" s="15" t="s">
        <v>136</v>
      </c>
      <c r="C11" s="36">
        <v>54</v>
      </c>
      <c r="D11" s="36">
        <f>SUM('Ql (36m)'!O15:O19)</f>
        <v>0</v>
      </c>
      <c r="E11" s="31">
        <f t="shared" si="0"/>
        <v>0</v>
      </c>
      <c r="G11" s="36" t="s">
        <v>146</v>
      </c>
      <c r="H11" s="36" t="s">
        <v>126</v>
      </c>
      <c r="I11" s="36" t="s">
        <v>141</v>
      </c>
    </row>
    <row r="12" spans="1:9" ht="24.95" customHeight="1" x14ac:dyDescent="0.25">
      <c r="A12" s="36">
        <v>7</v>
      </c>
      <c r="B12" s="15" t="s">
        <v>137</v>
      </c>
      <c r="C12" s="36">
        <v>70</v>
      </c>
      <c r="D12" s="36">
        <f>SUM('Ql (36m)'!O20:O23)</f>
        <v>0</v>
      </c>
      <c r="E12" s="31">
        <f t="shared" si="0"/>
        <v>0</v>
      </c>
      <c r="G12" s="36" t="s">
        <v>148</v>
      </c>
      <c r="H12" s="36" t="s">
        <v>128</v>
      </c>
      <c r="I12" s="36" t="s">
        <v>141</v>
      </c>
    </row>
    <row r="13" spans="1:9" ht="24.95" customHeight="1" thickBot="1" x14ac:dyDescent="0.3">
      <c r="C13" s="36">
        <f>SUM(C6:C12)</f>
        <v>379</v>
      </c>
      <c r="D13" s="36">
        <f>SUM(D6:D12)</f>
        <v>0</v>
      </c>
      <c r="E13" s="33">
        <f>D13/C13</f>
        <v>0</v>
      </c>
      <c r="G13" s="36" t="s">
        <v>147</v>
      </c>
      <c r="H13" s="36" t="s">
        <v>127</v>
      </c>
      <c r="I13" s="36" t="s">
        <v>152</v>
      </c>
    </row>
    <row r="14" spans="1:9" ht="24.95" customHeight="1" thickBot="1" x14ac:dyDescent="0.3">
      <c r="D14" s="41" t="s">
        <v>110</v>
      </c>
      <c r="E14" s="35" t="str">
        <f>IF(AND($E$13&lt;=4,$E$13&gt;=3.51),"A++",IF(AND($E$13&lt;=3.5,$E$13&gt;=3.26),"A+",IF(AND($E$13&lt;=3.25,$E$13&gt;3.01),"A",IF(AND($E$13&lt;=3,$E$13&gt;=2.76),"B++",IF(AND($E$13&lt;=2.75,$E$13&gt;=2.51),"B+",IF(AND($E$13&lt;=2.5,$E$13&gt;=2.01),"B",IF(AND($E$13&lt;=2,$E$13&gt;=1.51),"C","D")))))))</f>
        <v>D</v>
      </c>
    </row>
    <row r="15" spans="1:9" x14ac:dyDescent="0.25">
      <c r="D15" s="43"/>
      <c r="E15" s="28"/>
    </row>
    <row r="16" spans="1:9" ht="23.25" x14ac:dyDescent="0.25">
      <c r="A16" s="248" t="s">
        <v>202</v>
      </c>
      <c r="B16" s="248"/>
      <c r="C16" s="248"/>
      <c r="D16" s="248"/>
      <c r="E16" s="248"/>
    </row>
    <row r="17" spans="1:5" s="42" customFormat="1" ht="20.100000000000001" customHeight="1" x14ac:dyDescent="0.25">
      <c r="A17" s="249" t="s">
        <v>203</v>
      </c>
      <c r="B17" s="249"/>
      <c r="C17" s="251"/>
      <c r="D17" s="251"/>
      <c r="E17" s="251"/>
    </row>
    <row r="18" spans="1:5" s="42" customFormat="1" ht="20.100000000000001" customHeight="1" x14ac:dyDescent="0.25">
      <c r="A18" s="249" t="s">
        <v>204</v>
      </c>
      <c r="B18" s="249"/>
      <c r="C18" s="251"/>
      <c r="D18" s="251"/>
      <c r="E18" s="251"/>
    </row>
    <row r="19" spans="1:5" s="42" customFormat="1" ht="20.100000000000001" customHeight="1" x14ac:dyDescent="0.25">
      <c r="A19" s="250" t="s">
        <v>205</v>
      </c>
      <c r="B19" s="250"/>
      <c r="C19" s="251"/>
      <c r="D19" s="251"/>
      <c r="E19" s="251"/>
    </row>
    <row r="20" spans="1:5" s="1" customFormat="1" ht="75" x14ac:dyDescent="0.25">
      <c r="A20" s="26" t="s">
        <v>163</v>
      </c>
      <c r="B20" s="26" t="s">
        <v>155</v>
      </c>
      <c r="C20" s="27" t="s">
        <v>156</v>
      </c>
      <c r="D20" s="27" t="s">
        <v>157</v>
      </c>
      <c r="E20" s="27" t="s">
        <v>158</v>
      </c>
    </row>
    <row r="21" spans="1:5" s="1" customFormat="1" ht="18.95" customHeight="1" x14ac:dyDescent="0.25">
      <c r="A21" s="214" t="s">
        <v>161</v>
      </c>
      <c r="B21" s="214"/>
      <c r="C21" s="214"/>
      <c r="D21" s="214"/>
      <c r="E21" s="214"/>
    </row>
    <row r="22" spans="1:5" ht="18.95" customHeight="1" x14ac:dyDescent="0.25">
      <c r="A22" s="36">
        <v>1.1000000000000001</v>
      </c>
      <c r="B22" s="15" t="s">
        <v>201</v>
      </c>
      <c r="C22" s="36">
        <v>20</v>
      </c>
      <c r="D22" s="246">
        <f>SUM('Ql (36m)'!M3)</f>
        <v>0</v>
      </c>
      <c r="E22" s="247"/>
    </row>
    <row r="23" spans="1:5" ht="18.95" customHeight="1" x14ac:dyDescent="0.25">
      <c r="A23" s="36">
        <v>1.3</v>
      </c>
      <c r="B23" s="15" t="s">
        <v>199</v>
      </c>
      <c r="C23" s="36">
        <v>10</v>
      </c>
      <c r="D23" s="246">
        <f>SUM('Ql (36m)'!M4)</f>
        <v>0</v>
      </c>
      <c r="E23" s="247"/>
    </row>
    <row r="24" spans="1:5" ht="18.95" customHeight="1" thickBot="1" x14ac:dyDescent="0.3">
      <c r="C24" s="36">
        <f>SUM(C22:C23)</f>
        <v>30</v>
      </c>
      <c r="D24" s="244">
        <f>SUM(D22:D23)</f>
        <v>0</v>
      </c>
      <c r="E24" s="245"/>
    </row>
    <row r="25" spans="1:5" ht="18.95" customHeight="1" thickBot="1" x14ac:dyDescent="0.3">
      <c r="D25" s="41" t="s">
        <v>110</v>
      </c>
      <c r="E25" s="35" t="str">
        <f>IF(AND($E$24&lt;=4,$E$24&gt;=3.51),"A++",IF(AND($E$24&lt;=3.5,$E$24&gt;=3.26),"A+",IF(AND($E$24&lt;=3.25,$E$24&gt;3.01),"A",IF(AND($E$24&lt;=3,$E$24&gt;=2.76),"B++",IF(AND($E$24&lt;=2.75,$E$24&gt;=2.51),"B+",IF(AND($E$24&lt;=2.5,$E$24&gt;=2.01),"B",IF(AND($E$24&lt;=2,$E$24&gt;=1.51),"C","D")))))))</f>
        <v>D</v>
      </c>
    </row>
    <row r="26" spans="1:5" ht="18.95" customHeight="1" x14ac:dyDescent="0.25">
      <c r="A26" s="214" t="s">
        <v>162</v>
      </c>
      <c r="B26" s="214"/>
      <c r="C26" s="214"/>
      <c r="D26" s="214"/>
      <c r="E26" s="214"/>
    </row>
    <row r="27" spans="1:5" ht="18.95" customHeight="1" x14ac:dyDescent="0.25">
      <c r="A27" s="36">
        <v>2.2999999999999998</v>
      </c>
      <c r="B27" s="15" t="s">
        <v>170</v>
      </c>
      <c r="C27" s="36">
        <v>40</v>
      </c>
      <c r="D27" s="246">
        <f>SUM('Ql (36m)'!M5)</f>
        <v>0</v>
      </c>
      <c r="E27" s="247"/>
    </row>
    <row r="28" spans="1:5" ht="18.95" customHeight="1" x14ac:dyDescent="0.25">
      <c r="A28" s="36">
        <v>2.5</v>
      </c>
      <c r="B28" s="15" t="s">
        <v>165</v>
      </c>
      <c r="C28" s="36">
        <v>40</v>
      </c>
      <c r="D28" s="246">
        <f>SUM('Ql (36m)'!M6)</f>
        <v>0</v>
      </c>
      <c r="E28" s="247"/>
    </row>
    <row r="29" spans="1:5" ht="18.95" customHeight="1" x14ac:dyDescent="0.25">
      <c r="A29" s="36">
        <v>2.6</v>
      </c>
      <c r="B29" s="15" t="s">
        <v>166</v>
      </c>
      <c r="C29" s="36">
        <v>45</v>
      </c>
      <c r="D29" s="246">
        <f>SUM('Ql (36m)'!M7)</f>
        <v>0</v>
      </c>
      <c r="E29" s="247"/>
    </row>
    <row r="30" spans="1:5" ht="18.95" customHeight="1" thickBot="1" x14ac:dyDescent="0.3">
      <c r="C30" s="37">
        <f>SUM(C27:C29)</f>
        <v>125</v>
      </c>
      <c r="D30" s="244">
        <f>SUM(D27:D29)</f>
        <v>0</v>
      </c>
      <c r="E30" s="245"/>
    </row>
    <row r="31" spans="1:5" ht="18.95" customHeight="1" thickBot="1" x14ac:dyDescent="0.3">
      <c r="D31" s="41" t="s">
        <v>110</v>
      </c>
      <c r="E31" s="35" t="str">
        <f>IF(AND($E$30&lt;=4,$E$30&gt;=3.51),"A++",IF(AND($E$30&lt;=3.5,$E$30&gt;=3.26),"A+",IF(AND($E$30&lt;=3.25,$E$30&gt;3.01),"A",IF(AND($E$30&lt;=3,$E$30&gt;=2.76),"B++",IF(AND($E$30&lt;=2.75,$E$30&gt;=2.51),"B+",IF(AND($E$30&lt;=2.5,$E$30&gt;=2.01),"B",IF(AND($E$30&lt;=2,$E$30&gt;=1.51),"C","D")))))))</f>
        <v>D</v>
      </c>
    </row>
    <row r="32" spans="1:5" ht="18.95" customHeight="1" x14ac:dyDescent="0.25">
      <c r="A32" s="214" t="s">
        <v>171</v>
      </c>
      <c r="B32" s="214"/>
      <c r="C32" s="214"/>
      <c r="D32" s="214"/>
      <c r="E32" s="214"/>
    </row>
    <row r="33" spans="1:5" ht="18.95" customHeight="1" x14ac:dyDescent="0.25">
      <c r="A33" s="36">
        <v>3.2</v>
      </c>
      <c r="B33" s="15" t="s">
        <v>173</v>
      </c>
      <c r="C33" s="36">
        <v>10</v>
      </c>
      <c r="D33" s="246">
        <f>SUM('Ql (36m)'!M8)</f>
        <v>0</v>
      </c>
      <c r="E33" s="247"/>
    </row>
    <row r="34" spans="1:5" ht="18.95" customHeight="1" x14ac:dyDescent="0.25">
      <c r="A34" s="36">
        <v>3.4</v>
      </c>
      <c r="B34" s="15" t="s">
        <v>175</v>
      </c>
      <c r="C34" s="36">
        <v>20</v>
      </c>
      <c r="D34" s="246">
        <f>SUM('Ql (36m)'!M9:M10)</f>
        <v>0</v>
      </c>
      <c r="E34" s="247"/>
    </row>
    <row r="35" spans="1:5" ht="18.95" customHeight="1" thickBot="1" x14ac:dyDescent="0.3">
      <c r="C35" s="37">
        <f>SUM(C33:C34)</f>
        <v>30</v>
      </c>
      <c r="D35" s="244">
        <f>SUM(D33:D34)</f>
        <v>0</v>
      </c>
      <c r="E35" s="245"/>
    </row>
    <row r="36" spans="1:5" ht="18.95" customHeight="1" thickBot="1" x14ac:dyDescent="0.3">
      <c r="D36" s="41" t="s">
        <v>110</v>
      </c>
      <c r="E36" s="35" t="str">
        <f>IF(AND($E$41&lt;=4,$E$41&gt;=3.51),"A++",IF(AND($E$41&lt;=3.5,$E$41&gt;=3.26),"A+",IF(AND($E$41&lt;=3.25,$E$41&gt;3.01),"A",IF(AND($E$41&lt;=3,$E$41&gt;=2.76),"B++",IF(AND($E$41&lt;=2.75,$E$41&gt;=2.51),"B+",IF(AND($E$41&lt;=2.5,$E$41&gt;=2.01),"B",IF(AND($E$41&lt;=2,$E$41&gt;=1.51),"C","D")))))))</f>
        <v>D</v>
      </c>
    </row>
    <row r="37" spans="1:5" ht="18.95" customHeight="1" x14ac:dyDescent="0.25">
      <c r="A37" s="214" t="s">
        <v>177</v>
      </c>
      <c r="B37" s="214"/>
      <c r="C37" s="214"/>
      <c r="D37" s="214"/>
      <c r="E37" s="214"/>
    </row>
    <row r="38" spans="1:5" ht="18.95" customHeight="1" x14ac:dyDescent="0.25">
      <c r="A38" s="36">
        <v>4.0999999999999996</v>
      </c>
      <c r="B38" s="15" t="s">
        <v>178</v>
      </c>
      <c r="C38" s="36">
        <v>20</v>
      </c>
      <c r="D38" s="246">
        <f>SUM('Ql (36m)'!M11)</f>
        <v>0</v>
      </c>
      <c r="E38" s="247"/>
    </row>
    <row r="39" spans="1:5" ht="18.95" customHeight="1" x14ac:dyDescent="0.25">
      <c r="A39" s="36">
        <v>4.2</v>
      </c>
      <c r="B39" s="15" t="s">
        <v>179</v>
      </c>
      <c r="C39" s="36">
        <v>20</v>
      </c>
      <c r="D39" s="246">
        <f>SUM('Ql (36m)'!M12)</f>
        <v>0</v>
      </c>
      <c r="E39" s="247"/>
    </row>
    <row r="40" spans="1:5" ht="18.95" customHeight="1" x14ac:dyDescent="0.25">
      <c r="A40" s="36">
        <v>4.3</v>
      </c>
      <c r="B40" s="15" t="s">
        <v>180</v>
      </c>
      <c r="C40" s="36">
        <v>20</v>
      </c>
      <c r="D40" s="246">
        <f>SUM('Ql (36m)'!M13)</f>
        <v>0</v>
      </c>
      <c r="E40" s="247"/>
    </row>
    <row r="41" spans="1:5" ht="18.95" customHeight="1" thickBot="1" x14ac:dyDescent="0.3">
      <c r="C41" s="37">
        <f>SUM(C38:C40)</f>
        <v>60</v>
      </c>
      <c r="D41" s="244">
        <f>SUM(D38:D40)</f>
        <v>0</v>
      </c>
      <c r="E41" s="245"/>
    </row>
    <row r="42" spans="1:5" ht="18.95" customHeight="1" thickBot="1" x14ac:dyDescent="0.3">
      <c r="D42" s="41" t="s">
        <v>110</v>
      </c>
      <c r="E42" s="35" t="str">
        <f>IF(AND($E$41&lt;=4,$E$41&gt;=3.51),"A++",IF(AND($E$41&lt;=3.5,$E$41&gt;=3.26),"A+",IF(AND($E$41&lt;=3.25,$E$41&gt;3.01),"A",IF(AND($E$41&lt;=3,$E$41&gt;=2.76),"B++",IF(AND($E$41&lt;=2.75,$E$41&gt;=2.51),"B+",IF(AND($E$41&lt;=2.5,$E$41&gt;=2.01),"B",IF(AND($E$41&lt;=2,$E$41&gt;=1.51),"C","D")))))))</f>
        <v>D</v>
      </c>
    </row>
    <row r="43" spans="1:5" ht="18.95" customHeight="1" x14ac:dyDescent="0.25">
      <c r="A43" s="214" t="s">
        <v>182</v>
      </c>
      <c r="B43" s="214"/>
      <c r="C43" s="214"/>
      <c r="D43" s="214"/>
      <c r="E43" s="214"/>
    </row>
    <row r="44" spans="1:5" ht="18.95" customHeight="1" x14ac:dyDescent="0.25">
      <c r="A44" s="36">
        <v>5.4</v>
      </c>
      <c r="B44" s="15" t="s">
        <v>186</v>
      </c>
      <c r="C44" s="36">
        <v>10</v>
      </c>
      <c r="D44" s="246">
        <f>SUM('Ql (36m)'!M14)</f>
        <v>0</v>
      </c>
      <c r="E44" s="247"/>
    </row>
    <row r="45" spans="1:5" ht="18.95" customHeight="1" thickBot="1" x14ac:dyDescent="0.3">
      <c r="C45" s="37">
        <f>SUM(C44:C44)</f>
        <v>10</v>
      </c>
      <c r="D45" s="244">
        <f>SUM(D44:D44)</f>
        <v>0</v>
      </c>
      <c r="E45" s="245"/>
    </row>
    <row r="46" spans="1:5" ht="18.95" customHeight="1" thickBot="1" x14ac:dyDescent="0.3">
      <c r="D46" s="41" t="s">
        <v>110</v>
      </c>
      <c r="E46" s="35" t="str">
        <f>IF(AND($E$45&lt;=4,$E$45&gt;=3.51),"A++",IF(AND($E$45&lt;=3.5,$E$45&gt;=3.26),"A+",IF(AND($E$45&lt;=3.25,$E$45&gt;3.01),"A",IF(AND($E$45&lt;=3,$E$45&gt;=2.76),"B++",IF(AND($E$45&lt;=2.75,$E$45&gt;=2.51),"B+",IF(AND($E$45&lt;=2.5,$E$45&gt;=2.01),"B",IF(AND($E$45&lt;=2,$E$45&gt;=1.51),"C","D")))))))</f>
        <v>D</v>
      </c>
    </row>
    <row r="47" spans="1:5" ht="18.95" customHeight="1" x14ac:dyDescent="0.25">
      <c r="A47" s="214" t="s">
        <v>187</v>
      </c>
      <c r="B47" s="214"/>
      <c r="C47" s="214"/>
      <c r="D47" s="214"/>
      <c r="E47" s="214"/>
    </row>
    <row r="48" spans="1:5" ht="18.95" customHeight="1" x14ac:dyDescent="0.25">
      <c r="A48" s="36">
        <v>6.1</v>
      </c>
      <c r="B48" s="15" t="s">
        <v>188</v>
      </c>
      <c r="C48" s="36">
        <v>10</v>
      </c>
      <c r="D48" s="246">
        <f>SUM('Ql (36m)'!M15)</f>
        <v>0</v>
      </c>
      <c r="E48" s="247"/>
    </row>
    <row r="49" spans="1:5" ht="18.95" customHeight="1" x14ac:dyDescent="0.25">
      <c r="A49" s="36">
        <v>6.2</v>
      </c>
      <c r="B49" s="15" t="s">
        <v>189</v>
      </c>
      <c r="C49" s="36">
        <v>6</v>
      </c>
      <c r="D49" s="246">
        <f>SUM('Ql (36m)'!M16)</f>
        <v>0</v>
      </c>
      <c r="E49" s="247"/>
    </row>
    <row r="50" spans="1:5" ht="18.95" customHeight="1" x14ac:dyDescent="0.25">
      <c r="A50" s="36">
        <v>6.3</v>
      </c>
      <c r="B50" s="15" t="s">
        <v>190</v>
      </c>
      <c r="C50" s="36">
        <v>8</v>
      </c>
      <c r="D50" s="246">
        <f>SUM('Ql (36m)'!M17)</f>
        <v>0</v>
      </c>
      <c r="E50" s="247"/>
    </row>
    <row r="51" spans="1:5" ht="18.95" customHeight="1" x14ac:dyDescent="0.25">
      <c r="A51" s="36">
        <v>6.4</v>
      </c>
      <c r="B51" s="15" t="s">
        <v>191</v>
      </c>
      <c r="C51" s="36">
        <v>15</v>
      </c>
      <c r="D51" s="246">
        <f>SUM('Ql (36m)'!M18)</f>
        <v>0</v>
      </c>
      <c r="E51" s="247"/>
    </row>
    <row r="52" spans="1:5" ht="18.95" customHeight="1" x14ac:dyDescent="0.25">
      <c r="A52" s="36">
        <v>6.5</v>
      </c>
      <c r="B52" s="15" t="s">
        <v>192</v>
      </c>
      <c r="C52" s="36">
        <v>15</v>
      </c>
      <c r="D52" s="246">
        <f>SUM('Ql (36m)'!M19)</f>
        <v>0</v>
      </c>
      <c r="E52" s="247"/>
    </row>
    <row r="53" spans="1:5" ht="18.95" customHeight="1" thickBot="1" x14ac:dyDescent="0.3">
      <c r="C53" s="37">
        <f>SUM(C48:C52)</f>
        <v>54</v>
      </c>
      <c r="D53" s="244">
        <f>SUM(D48:D52)</f>
        <v>0</v>
      </c>
      <c r="E53" s="245"/>
    </row>
    <row r="54" spans="1:5" ht="18.95" customHeight="1" thickBot="1" x14ac:dyDescent="0.3">
      <c r="D54" s="41" t="s">
        <v>110</v>
      </c>
      <c r="E54" s="35" t="str">
        <f>IF(AND($E$53&lt;=4,$E$53&gt;=3.51),"A++",IF(AND($E$53&lt;=3.5,$E$53&gt;=3.26),"A+",IF(AND($E$53&lt;=3.25,$E$53&gt;3.01),"A",IF(AND($E$53&lt;=3,$E$53&gt;=2.76),"B++",IF(AND($E$53&lt;=2.75,$E$53&gt;=2.51),"B+",IF(AND($E$53&lt;=2.5,$E$53&gt;=2.01),"B",IF(AND($E$53&lt;=2,$E$53&gt;=1.51),"C","D")))))))</f>
        <v>D</v>
      </c>
    </row>
    <row r="55" spans="1:5" ht="18.95" customHeight="1" x14ac:dyDescent="0.25">
      <c r="A55" s="214" t="s">
        <v>193</v>
      </c>
      <c r="B55" s="214"/>
      <c r="C55" s="214"/>
      <c r="D55" s="214"/>
      <c r="E55" s="214"/>
    </row>
    <row r="56" spans="1:5" ht="18.95" customHeight="1" x14ac:dyDescent="0.25">
      <c r="A56" s="36">
        <v>7.1</v>
      </c>
      <c r="B56" s="15" t="s">
        <v>194</v>
      </c>
      <c r="C56" s="36">
        <v>20</v>
      </c>
      <c r="D56" s="246">
        <f>SUM('Ql (36m)'!M20:M21)</f>
        <v>0</v>
      </c>
      <c r="E56" s="247"/>
    </row>
    <row r="57" spans="1:5" ht="18.95" customHeight="1" x14ac:dyDescent="0.25">
      <c r="A57" s="36">
        <v>7.2</v>
      </c>
      <c r="B57" s="15" t="s">
        <v>129</v>
      </c>
      <c r="C57" s="36">
        <v>30</v>
      </c>
      <c r="D57" s="246">
        <f>SUM('Ql (36m)'!M22)</f>
        <v>0</v>
      </c>
      <c r="E57" s="247"/>
    </row>
    <row r="58" spans="1:5" ht="18.95" customHeight="1" x14ac:dyDescent="0.25">
      <c r="A58" s="36">
        <v>7.3</v>
      </c>
      <c r="B58" s="15" t="s">
        <v>195</v>
      </c>
      <c r="C58" s="36">
        <v>20</v>
      </c>
      <c r="D58" s="246">
        <f>SUM('Ql (36m)'!M23)</f>
        <v>0</v>
      </c>
      <c r="E58" s="247"/>
    </row>
    <row r="59" spans="1:5" ht="18.95" customHeight="1" thickBot="1" x14ac:dyDescent="0.3">
      <c r="C59" s="37">
        <f>SUM(C56:C58)</f>
        <v>70</v>
      </c>
      <c r="D59" s="244">
        <f>SUM(D56:D58)</f>
        <v>0</v>
      </c>
      <c r="E59" s="245"/>
    </row>
    <row r="60" spans="1:5" ht="18.95" customHeight="1" thickBot="1" x14ac:dyDescent="0.3">
      <c r="D60" s="41" t="s">
        <v>110</v>
      </c>
      <c r="E60" s="35" t="str">
        <f>IF(AND($E$59&lt;=4,$E$59&gt;=3.51),"A++",IF(AND($E$59&lt;=3.5,$E$59&gt;=3.26),"A+",IF(AND($E$59&lt;=3.25,$E$59&gt;3.01),"A",IF(AND($E$59&lt;=3,$E$59&gt;=2.76),"B++",IF(AND($E$59&lt;=2.75,$E$59&gt;=2.51),"B+",IF(AND($E$59&lt;=2.5,$E$59&gt;=2.01),"B",IF(AND($E$59&lt;=2,$E$59&gt;=1.51),"C","D")))))))</f>
        <v>D</v>
      </c>
    </row>
    <row r="61" spans="1:5" x14ac:dyDescent="0.25">
      <c r="C61" s="39"/>
      <c r="D61" s="39"/>
      <c r="E61" s="39"/>
    </row>
  </sheetData>
  <mergeCells count="47">
    <mergeCell ref="A21:E21"/>
    <mergeCell ref="A26:E26"/>
    <mergeCell ref="A32:E32"/>
    <mergeCell ref="A37:E37"/>
    <mergeCell ref="A43:E43"/>
    <mergeCell ref="D22:E22"/>
    <mergeCell ref="D23:E23"/>
    <mergeCell ref="D24:E24"/>
    <mergeCell ref="D27:E27"/>
    <mergeCell ref="D29:E29"/>
    <mergeCell ref="D28:E28"/>
    <mergeCell ref="D30:E30"/>
    <mergeCell ref="D33:E33"/>
    <mergeCell ref="D34:E34"/>
    <mergeCell ref="D35:E35"/>
    <mergeCell ref="D38:E38"/>
    <mergeCell ref="A1:E1"/>
    <mergeCell ref="A16:E16"/>
    <mergeCell ref="A17:B17"/>
    <mergeCell ref="A18:B18"/>
    <mergeCell ref="A19:B19"/>
    <mergeCell ref="C17:E17"/>
    <mergeCell ref="C4:E4"/>
    <mergeCell ref="C18:E18"/>
    <mergeCell ref="C19:E19"/>
    <mergeCell ref="A2:B2"/>
    <mergeCell ref="C2:E2"/>
    <mergeCell ref="A3:B3"/>
    <mergeCell ref="C3:E3"/>
    <mergeCell ref="A4:B4"/>
    <mergeCell ref="D39:E39"/>
    <mergeCell ref="D40:E40"/>
    <mergeCell ref="D41:E41"/>
    <mergeCell ref="D44:E44"/>
    <mergeCell ref="D45:E45"/>
    <mergeCell ref="D48:E48"/>
    <mergeCell ref="A47:E47"/>
    <mergeCell ref="D49:E49"/>
    <mergeCell ref="D50:E50"/>
    <mergeCell ref="D51:E51"/>
    <mergeCell ref="D59:E59"/>
    <mergeCell ref="A55:E55"/>
    <mergeCell ref="D52:E52"/>
    <mergeCell ref="D53:E53"/>
    <mergeCell ref="D56:E56"/>
    <mergeCell ref="D57:E57"/>
    <mergeCell ref="D58:E58"/>
  </mergeCells>
  <printOptions horizontalCentered="1"/>
  <pageMargins left="0.39370078740157483" right="0.39370078740157483" top="0.39370078740157483" bottom="0.39370078740157483" header="0.31496062992125984" footer="0.31496062992125984"/>
  <pageSetup paperSize="9" scale="88" fitToHeight="0" orientation="portrait" r:id="rId1"/>
  <rowBreaks count="1" manualBreakCount="1">
    <brk id="15" max="16383" man="1"/>
  </rowBreaks>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Extended Profile (EP)</vt:lpstr>
      <vt:lpstr>Response Score Calc.</vt:lpstr>
      <vt:lpstr>University 115m</vt:lpstr>
      <vt:lpstr>115(Qn&amp;Ql)m-GS</vt:lpstr>
      <vt:lpstr>55m-Gradesheet(GS)</vt:lpstr>
      <vt:lpstr>Qn (79m)</vt:lpstr>
      <vt:lpstr>79 Qnm-GS</vt:lpstr>
      <vt:lpstr>Ql (36m)</vt:lpstr>
      <vt:lpstr>36 Qlm-GS (2)</vt:lpstr>
      <vt:lpstr>21m-GS</vt:lpstr>
      <vt:lpstr>'115(Qn&amp;Ql)m-GS'!Print_Titles</vt:lpstr>
      <vt:lpstr>'21m-GS'!Print_Titles</vt:lpstr>
      <vt:lpstr>'36 Qlm-GS (2)'!Print_Titles</vt:lpstr>
      <vt:lpstr>'55m-Gradesheet(GS)'!Print_Titles</vt:lpstr>
      <vt:lpstr>'79 Qnm-GS'!Print_Titles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2022-09-17T09:08:56Z</dcterms:modified>
</cp:coreProperties>
</file>