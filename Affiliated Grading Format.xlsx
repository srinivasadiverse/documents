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749" firstSheet="3" activeTab="8"/>
  </bookViews>
  <sheets>
    <sheet name="Extended Profile (EP)" sheetId="4" r:id="rId1"/>
    <sheet name="Response Score Calc." sheetId="7" r:id="rId2"/>
    <sheet name="Affiliated(55m)" sheetId="1" r:id="rId3"/>
    <sheet name="55(Qn&amp;Ql)m-GS" sheetId="16" r:id="rId4"/>
    <sheet name="55m-Gradesheet(GS)" sheetId="5" state="hidden" r:id="rId5"/>
    <sheet name="Qn (34m)" sheetId="13" r:id="rId6"/>
    <sheet name="34" sheetId="17" state="hidden" r:id="rId7"/>
    <sheet name="34 Qnm-GS" sheetId="10" r:id="rId8"/>
    <sheet name="Ql (21m)" sheetId="9" r:id="rId9"/>
    <sheet name="21 Qlm-GS (2)" sheetId="15" r:id="rId10"/>
    <sheet name="21m-GS" sheetId="11" r:id="rId11"/>
  </sheets>
  <definedNames>
    <definedName name="_xlnm._FilterDatabase" localSheetId="2" hidden="1">'Affiliated(55m)'!$A$2:$P$57</definedName>
    <definedName name="_xlnm._FilterDatabase" localSheetId="8" hidden="1">'Ql (21m)'!$A$2:$P$23</definedName>
    <definedName name="_xlnm._FilterDatabase" localSheetId="5" hidden="1">'Qn (34m)'!$A$2:$P$36</definedName>
    <definedName name="_xlnm._FilterDatabase" localSheetId="1" hidden="1">'Response Score Calc.'!$A$2:$G$36</definedName>
    <definedName name="_xlnm.Print_Area" localSheetId="6">'34'!$A$1:$E$80</definedName>
    <definedName name="_xlnm.Print_Area" localSheetId="3">'55(Qn&amp;Ql)m-GS'!$A$1:$E$80</definedName>
    <definedName name="_xlnm.Print_Titles" localSheetId="9">'21 Qlm-GS (2)'!$24:$24</definedName>
    <definedName name="_xlnm.Print_Titles" localSheetId="10">'21m-GS'!$20:$20</definedName>
    <definedName name="_xlnm.Print_Titles" localSheetId="6">'34'!$23:$23</definedName>
    <definedName name="_xlnm.Print_Titles" localSheetId="7">'34 Qnm-GS'!$23:$23</definedName>
    <definedName name="_xlnm.Print_Titles" localSheetId="3">'55(Qn&amp;Ql)m-GS'!$23:$23</definedName>
    <definedName name="_xlnm.Print_Titles" localSheetId="4">'55m-Gradesheet(GS)'!$16:$16</definedName>
  </definedNames>
  <calcPr calcId="162913"/>
  <pivotCaches>
    <pivotCache cacheId="0" r:id="rId12"/>
    <pivotCache cacheId="1" r:id="rId13"/>
    <pivotCache cacheId="2" r:id="rId1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1" i="10" l="1"/>
  <c r="A17" i="10"/>
  <c r="D13" i="10"/>
  <c r="J15" i="13"/>
  <c r="D13" i="16"/>
  <c r="A67" i="15" l="1"/>
  <c r="D12" i="17" l="1"/>
  <c r="D11" i="17"/>
  <c r="D10" i="17"/>
  <c r="D9" i="17"/>
  <c r="E9" i="17" s="1"/>
  <c r="D7" i="17"/>
  <c r="D6" i="17"/>
  <c r="C76" i="17"/>
  <c r="D75" i="17"/>
  <c r="D74" i="17"/>
  <c r="D73" i="17"/>
  <c r="D76" i="17" s="1"/>
  <c r="A77" i="17" s="1"/>
  <c r="C70" i="17"/>
  <c r="D69" i="17"/>
  <c r="D68" i="17"/>
  <c r="D67" i="17"/>
  <c r="D70" i="17" s="1"/>
  <c r="A71" i="17" s="1"/>
  <c r="D66" i="17"/>
  <c r="D65" i="17"/>
  <c r="C62" i="17"/>
  <c r="D61" i="17"/>
  <c r="D60" i="17"/>
  <c r="D59" i="17"/>
  <c r="D62" i="17" s="1"/>
  <c r="A63" i="17" s="1"/>
  <c r="D58" i="17"/>
  <c r="D55" i="17"/>
  <c r="A56" i="17" s="1"/>
  <c r="C55" i="17"/>
  <c r="D54" i="17"/>
  <c r="D53" i="17"/>
  <c r="D52" i="17"/>
  <c r="D51" i="17"/>
  <c r="C48" i="17"/>
  <c r="D47" i="17"/>
  <c r="D46" i="17"/>
  <c r="D45" i="17"/>
  <c r="D44" i="17"/>
  <c r="D43" i="17"/>
  <c r="D48" i="17" s="1"/>
  <c r="A49" i="17" s="1"/>
  <c r="C40" i="17"/>
  <c r="D39" i="17"/>
  <c r="D38" i="17"/>
  <c r="D37" i="17"/>
  <c r="D36" i="17"/>
  <c r="D35" i="17"/>
  <c r="D34" i="17"/>
  <c r="D33" i="17"/>
  <c r="D40" i="17" s="1"/>
  <c r="A41" i="17" s="1"/>
  <c r="A31" i="17"/>
  <c r="E30" i="17"/>
  <c r="C29" i="17"/>
  <c r="C78" i="17" s="1"/>
  <c r="D28" i="17"/>
  <c r="D27" i="17"/>
  <c r="D26" i="17"/>
  <c r="D25" i="17"/>
  <c r="D29" i="17" s="1"/>
  <c r="C21" i="17"/>
  <c r="C20" i="17"/>
  <c r="C13" i="17"/>
  <c r="E12" i="17"/>
  <c r="E11" i="17"/>
  <c r="E10" i="17"/>
  <c r="E6" i="17"/>
  <c r="C3" i="17"/>
  <c r="C2" i="17"/>
  <c r="D76" i="16"/>
  <c r="D78" i="17" l="1"/>
  <c r="E7" i="17"/>
  <c r="J4" i="9"/>
  <c r="J5" i="9"/>
  <c r="J6" i="9"/>
  <c r="J7" i="9"/>
  <c r="J8" i="9"/>
  <c r="J9" i="9"/>
  <c r="J10" i="9"/>
  <c r="J11" i="9"/>
  <c r="J12" i="9"/>
  <c r="J13" i="9"/>
  <c r="J14" i="9"/>
  <c r="J15" i="9"/>
  <c r="J16" i="9"/>
  <c r="J17" i="9"/>
  <c r="J18" i="9"/>
  <c r="J19" i="9"/>
  <c r="J20" i="9"/>
  <c r="J21" i="9"/>
  <c r="J22" i="9"/>
  <c r="J23" i="9"/>
  <c r="J3" i="9"/>
  <c r="J14" i="13"/>
  <c r="J16" i="13"/>
  <c r="J17" i="13"/>
  <c r="J18" i="13"/>
  <c r="J19" i="13"/>
  <c r="J20" i="13"/>
  <c r="J21" i="13"/>
  <c r="J22" i="13"/>
  <c r="J23" i="13"/>
  <c r="J24" i="13"/>
  <c r="J25" i="13"/>
  <c r="J26" i="13"/>
  <c r="J27" i="13"/>
  <c r="J28" i="13"/>
  <c r="J29" i="13"/>
  <c r="J30" i="13"/>
  <c r="J31" i="13"/>
  <c r="J32" i="13"/>
  <c r="J33" i="13"/>
  <c r="J34" i="13"/>
  <c r="J35" i="13"/>
  <c r="J36" i="13"/>
  <c r="J13" i="13"/>
  <c r="J4" i="13"/>
  <c r="J5" i="13"/>
  <c r="J6" i="13"/>
  <c r="J7" i="13"/>
  <c r="J8" i="13"/>
  <c r="J9" i="13"/>
  <c r="J10" i="13"/>
  <c r="J11" i="13"/>
  <c r="J12" i="13"/>
  <c r="J3" i="13"/>
  <c r="J98" i="17" l="1"/>
  <c r="A80" i="17" s="1"/>
  <c r="A79" i="17"/>
  <c r="E60" i="11" l="1"/>
  <c r="C59" i="11"/>
  <c r="E54" i="11"/>
  <c r="C53" i="11"/>
  <c r="E46" i="11"/>
  <c r="C45" i="11"/>
  <c r="E42" i="11"/>
  <c r="C41" i="11"/>
  <c r="E36" i="11"/>
  <c r="C35" i="11"/>
  <c r="E31" i="11"/>
  <c r="C30" i="11"/>
  <c r="E25" i="11"/>
  <c r="C24" i="11"/>
  <c r="C13" i="11"/>
  <c r="C63" i="15"/>
  <c r="D62" i="15"/>
  <c r="D61" i="15"/>
  <c r="D60" i="15"/>
  <c r="D63" i="15" s="1"/>
  <c r="C57" i="15"/>
  <c r="D56" i="15"/>
  <c r="D53" i="15"/>
  <c r="C49" i="15"/>
  <c r="C45" i="15"/>
  <c r="C39" i="15"/>
  <c r="C34" i="15"/>
  <c r="D31" i="15"/>
  <c r="C28" i="15"/>
  <c r="C22" i="15"/>
  <c r="C21" i="15"/>
  <c r="C13" i="15"/>
  <c r="C3" i="15"/>
  <c r="C2" i="15"/>
  <c r="L23" i="9"/>
  <c r="M23" i="9" s="1"/>
  <c r="K23" i="9"/>
  <c r="H23" i="9"/>
  <c r="A23" i="9"/>
  <c r="K22" i="9"/>
  <c r="L22" i="9" s="1"/>
  <c r="M22" i="9" s="1"/>
  <c r="H22" i="9"/>
  <c r="A22" i="9"/>
  <c r="K21" i="9"/>
  <c r="L21" i="9" s="1"/>
  <c r="A21" i="9"/>
  <c r="K20" i="9"/>
  <c r="L20" i="9" s="1"/>
  <c r="A20" i="9"/>
  <c r="K19" i="9"/>
  <c r="L19" i="9" s="1"/>
  <c r="M19" i="9" s="1"/>
  <c r="H19" i="9"/>
  <c r="A19" i="9"/>
  <c r="L18" i="9"/>
  <c r="M18" i="9" s="1"/>
  <c r="K18" i="9"/>
  <c r="H18" i="9"/>
  <c r="A18" i="9"/>
  <c r="K17" i="9"/>
  <c r="L17" i="9" s="1"/>
  <c r="M17" i="9" s="1"/>
  <c r="H17" i="9"/>
  <c r="A17" i="9"/>
  <c r="L16" i="9"/>
  <c r="M16" i="9" s="1"/>
  <c r="K16" i="9"/>
  <c r="H16" i="9"/>
  <c r="A16" i="9"/>
  <c r="L15" i="9"/>
  <c r="M15" i="9" s="1"/>
  <c r="K15" i="9"/>
  <c r="H15" i="9"/>
  <c r="A15" i="9"/>
  <c r="L14" i="9"/>
  <c r="M14" i="9" s="1"/>
  <c r="K14" i="9"/>
  <c r="H14" i="9"/>
  <c r="A14" i="9"/>
  <c r="K13" i="9"/>
  <c r="L13" i="9" s="1"/>
  <c r="M13" i="9" s="1"/>
  <c r="H13" i="9"/>
  <c r="A13" i="9"/>
  <c r="L12" i="9"/>
  <c r="M12" i="9" s="1"/>
  <c r="K12" i="9"/>
  <c r="H12" i="9"/>
  <c r="A12" i="9"/>
  <c r="L11" i="9"/>
  <c r="M11" i="9" s="1"/>
  <c r="K11" i="9"/>
  <c r="H11" i="9"/>
  <c r="A11" i="9"/>
  <c r="L10" i="9"/>
  <c r="K10" i="9"/>
  <c r="A10" i="9"/>
  <c r="K9" i="9"/>
  <c r="L9" i="9" s="1"/>
  <c r="M9" i="9" s="1"/>
  <c r="A9" i="9"/>
  <c r="L8" i="9"/>
  <c r="M8" i="9" s="1"/>
  <c r="K8" i="9"/>
  <c r="H8" i="9"/>
  <c r="A8" i="9"/>
  <c r="K7" i="9"/>
  <c r="L7" i="9" s="1"/>
  <c r="M7" i="9" s="1"/>
  <c r="H7" i="9"/>
  <c r="A7" i="9"/>
  <c r="L6" i="9"/>
  <c r="M6" i="9" s="1"/>
  <c r="K6" i="9"/>
  <c r="H6" i="9"/>
  <c r="A6" i="9"/>
  <c r="L5" i="9"/>
  <c r="M5" i="9" s="1"/>
  <c r="K5" i="9"/>
  <c r="H5" i="9"/>
  <c r="A5" i="9"/>
  <c r="K4" i="9"/>
  <c r="L4" i="9" s="1"/>
  <c r="M4" i="9" s="1"/>
  <c r="H4" i="9"/>
  <c r="A4" i="9"/>
  <c r="K3" i="9"/>
  <c r="L3" i="9" s="1"/>
  <c r="M3" i="9" s="1"/>
  <c r="H3" i="9"/>
  <c r="A3" i="9"/>
  <c r="C67" i="10"/>
  <c r="C63" i="10"/>
  <c r="C57" i="10"/>
  <c r="C51" i="10"/>
  <c r="C45" i="10"/>
  <c r="C37" i="10"/>
  <c r="A30" i="10"/>
  <c r="E29" i="10"/>
  <c r="C28" i="10"/>
  <c r="C21" i="10"/>
  <c r="C20" i="10"/>
  <c r="C13" i="10"/>
  <c r="C3" i="10"/>
  <c r="C2" i="10"/>
  <c r="K36" i="13"/>
  <c r="L36" i="13" s="1"/>
  <c r="A36" i="13"/>
  <c r="K35" i="13"/>
  <c r="L35" i="13" s="1"/>
  <c r="A35" i="13"/>
  <c r="K34" i="13"/>
  <c r="L34" i="13" s="1"/>
  <c r="M34" i="13" s="1"/>
  <c r="A34" i="13"/>
  <c r="K33" i="13"/>
  <c r="L33" i="13" s="1"/>
  <c r="A33" i="13"/>
  <c r="K32" i="13"/>
  <c r="L32" i="13" s="1"/>
  <c r="M32" i="13" s="1"/>
  <c r="A32" i="13"/>
  <c r="K31" i="13"/>
  <c r="L31" i="13" s="1"/>
  <c r="M31" i="13" s="1"/>
  <c r="A31" i="13"/>
  <c r="L30" i="13"/>
  <c r="K30" i="13"/>
  <c r="A30" i="13"/>
  <c r="K29" i="13"/>
  <c r="L29" i="13" s="1"/>
  <c r="M29" i="13" s="1"/>
  <c r="A29" i="13"/>
  <c r="K28" i="13"/>
  <c r="L28" i="13" s="1"/>
  <c r="A28" i="13"/>
  <c r="K27" i="13"/>
  <c r="L27" i="13" s="1"/>
  <c r="A27" i="13"/>
  <c r="K26" i="13"/>
  <c r="L26" i="13" s="1"/>
  <c r="A26" i="13"/>
  <c r="L25" i="13"/>
  <c r="K25" i="13"/>
  <c r="A25" i="13"/>
  <c r="K24" i="13"/>
  <c r="L24" i="13" s="1"/>
  <c r="A24" i="13"/>
  <c r="K23" i="13"/>
  <c r="L23" i="13" s="1"/>
  <c r="A23" i="13"/>
  <c r="K22" i="13"/>
  <c r="L22" i="13" s="1"/>
  <c r="M22" i="13" s="1"/>
  <c r="A22" i="13"/>
  <c r="K21" i="13"/>
  <c r="L21" i="13" s="1"/>
  <c r="M21" i="13" s="1"/>
  <c r="A21" i="13"/>
  <c r="K20" i="13"/>
  <c r="L20" i="13" s="1"/>
  <c r="M20" i="13" s="1"/>
  <c r="A20" i="13"/>
  <c r="K19" i="13"/>
  <c r="L19" i="13" s="1"/>
  <c r="M19" i="13" s="1"/>
  <c r="A19" i="13"/>
  <c r="K18" i="13"/>
  <c r="L18" i="13" s="1"/>
  <c r="M18" i="13" s="1"/>
  <c r="A18" i="13"/>
  <c r="L17" i="13"/>
  <c r="K17" i="13"/>
  <c r="A17" i="13"/>
  <c r="K16" i="13"/>
  <c r="L16" i="13" s="1"/>
  <c r="A16" i="13"/>
  <c r="K15" i="13"/>
  <c r="L15" i="13" s="1"/>
  <c r="M15" i="13" s="1"/>
  <c r="A15" i="13"/>
  <c r="K14" i="13"/>
  <c r="L14" i="13" s="1"/>
  <c r="M14" i="13" s="1"/>
  <c r="A14" i="13"/>
  <c r="K13" i="13"/>
  <c r="L13" i="13" s="1"/>
  <c r="M13" i="13" s="1"/>
  <c r="A13" i="13"/>
  <c r="K12" i="13"/>
  <c r="L12" i="13" s="1"/>
  <c r="M12" i="13" s="1"/>
  <c r="A12" i="13"/>
  <c r="K11" i="13"/>
  <c r="L11" i="13" s="1"/>
  <c r="A11" i="13"/>
  <c r="K10" i="13"/>
  <c r="L10" i="13" s="1"/>
  <c r="A10" i="13"/>
  <c r="K9" i="13"/>
  <c r="L9" i="13" s="1"/>
  <c r="M9" i="13" s="1"/>
  <c r="A9" i="13"/>
  <c r="K8" i="13"/>
  <c r="L8" i="13" s="1"/>
  <c r="A8" i="13"/>
  <c r="K7" i="13"/>
  <c r="L7" i="13" s="1"/>
  <c r="M7" i="13" s="1"/>
  <c r="A7" i="13"/>
  <c r="K6" i="13"/>
  <c r="L6" i="13" s="1"/>
  <c r="M6" i="13" s="1"/>
  <c r="A6" i="13"/>
  <c r="K5" i="13"/>
  <c r="L5" i="13" s="1"/>
  <c r="M5" i="13" s="1"/>
  <c r="A5" i="13"/>
  <c r="K4" i="13"/>
  <c r="L4" i="13" s="1"/>
  <c r="A4" i="13"/>
  <c r="K3" i="13"/>
  <c r="L3" i="13" s="1"/>
  <c r="A3" i="13"/>
  <c r="E69" i="5"/>
  <c r="C68" i="5"/>
  <c r="E63" i="5"/>
  <c r="C62" i="5"/>
  <c r="E55" i="5"/>
  <c r="C54" i="5"/>
  <c r="E48" i="5"/>
  <c r="C47" i="5"/>
  <c r="E41" i="5"/>
  <c r="C40" i="5"/>
  <c r="E33" i="5"/>
  <c r="C32" i="5"/>
  <c r="C22" i="5"/>
  <c r="C13" i="5"/>
  <c r="C76" i="16"/>
  <c r="D75" i="16"/>
  <c r="D74" i="16"/>
  <c r="C70" i="16"/>
  <c r="C62" i="16"/>
  <c r="C55" i="16"/>
  <c r="C48" i="16"/>
  <c r="C40" i="16"/>
  <c r="A31" i="16"/>
  <c r="E30" i="16"/>
  <c r="C29" i="16"/>
  <c r="C21" i="16"/>
  <c r="C20" i="16"/>
  <c r="C13" i="16"/>
  <c r="C3" i="16"/>
  <c r="C2" i="16"/>
  <c r="L57" i="1"/>
  <c r="K57" i="1"/>
  <c r="L56" i="1"/>
  <c r="K56" i="1"/>
  <c r="L55" i="1"/>
  <c r="K55" i="1"/>
  <c r="L54" i="1"/>
  <c r="K54" i="1"/>
  <c r="K53" i="1"/>
  <c r="L53" i="1" s="1"/>
  <c r="L52" i="1"/>
  <c r="K52" i="1"/>
  <c r="K51" i="1"/>
  <c r="L51" i="1" s="1"/>
  <c r="K50" i="1"/>
  <c r="L50" i="1" s="1"/>
  <c r="K49" i="1"/>
  <c r="L49" i="1" s="1"/>
  <c r="L48" i="1"/>
  <c r="K48" i="1"/>
  <c r="K47" i="1"/>
  <c r="L47" i="1" s="1"/>
  <c r="K46" i="1"/>
  <c r="L46" i="1" s="1"/>
  <c r="L45" i="1"/>
  <c r="K45" i="1"/>
  <c r="L44" i="1"/>
  <c r="K44" i="1"/>
  <c r="K43" i="1"/>
  <c r="L43" i="1" s="1"/>
  <c r="K42" i="1"/>
  <c r="L42" i="1" s="1"/>
  <c r="L41" i="1"/>
  <c r="K41" i="1"/>
  <c r="L40" i="1"/>
  <c r="K40" i="1"/>
  <c r="K39" i="1"/>
  <c r="L39" i="1" s="1"/>
  <c r="K38" i="1"/>
  <c r="L38" i="1" s="1"/>
  <c r="L37" i="1"/>
  <c r="K37" i="1"/>
  <c r="K36" i="1"/>
  <c r="L36" i="1" s="1"/>
  <c r="L35" i="1"/>
  <c r="K35" i="1"/>
  <c r="K34" i="1"/>
  <c r="L34" i="1" s="1"/>
  <c r="K33" i="1"/>
  <c r="L33" i="1" s="1"/>
  <c r="L32" i="1"/>
  <c r="K32" i="1"/>
  <c r="L31" i="1"/>
  <c r="K31" i="1"/>
  <c r="L30" i="1"/>
  <c r="K30" i="1"/>
  <c r="K29" i="1"/>
  <c r="L29" i="1" s="1"/>
  <c r="L28" i="1"/>
  <c r="K28" i="1"/>
  <c r="L27" i="1"/>
  <c r="K27" i="1"/>
  <c r="K26" i="1"/>
  <c r="L26" i="1" s="1"/>
  <c r="L25" i="1"/>
  <c r="K25" i="1"/>
  <c r="L24" i="1"/>
  <c r="K24" i="1"/>
  <c r="K23" i="1"/>
  <c r="L23" i="1" s="1"/>
  <c r="K22" i="1"/>
  <c r="L22" i="1" s="1"/>
  <c r="L21" i="1"/>
  <c r="K21" i="1"/>
  <c r="L20" i="1"/>
  <c r="K20" i="1"/>
  <c r="K19" i="1"/>
  <c r="L19" i="1" s="1"/>
  <c r="K18" i="1"/>
  <c r="L18" i="1" s="1"/>
  <c r="L17" i="1"/>
  <c r="K17" i="1"/>
  <c r="L16" i="1"/>
  <c r="K16" i="1"/>
  <c r="L15" i="1"/>
  <c r="K15" i="1"/>
  <c r="K14" i="1"/>
  <c r="L14" i="1" s="1"/>
  <c r="K13" i="1"/>
  <c r="L13" i="1" s="1"/>
  <c r="K12" i="1"/>
  <c r="L12" i="1" s="1"/>
  <c r="K11" i="1"/>
  <c r="L11" i="1" s="1"/>
  <c r="L10" i="1"/>
  <c r="K10" i="1"/>
  <c r="K9" i="1"/>
  <c r="L9" i="1" s="1"/>
  <c r="K8" i="1"/>
  <c r="L8" i="1" s="1"/>
  <c r="L7" i="1"/>
  <c r="K7" i="1"/>
  <c r="L6" i="1"/>
  <c r="K6" i="1"/>
  <c r="K5" i="1"/>
  <c r="L5" i="1" s="1"/>
  <c r="K4" i="1"/>
  <c r="L4" i="1" s="1"/>
  <c r="L3" i="1"/>
  <c r="K3" i="1"/>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C69" i="10" l="1"/>
  <c r="C65" i="15"/>
  <c r="A64" i="15"/>
  <c r="C78" i="16"/>
  <c r="D27" i="11"/>
  <c r="O5" i="9"/>
  <c r="N5" i="9"/>
  <c r="D32" i="15"/>
  <c r="O11" i="9"/>
  <c r="N11" i="9"/>
  <c r="D38" i="11"/>
  <c r="D57" i="11"/>
  <c r="D54" i="15"/>
  <c r="N22" i="9"/>
  <c r="D34" i="11"/>
  <c r="N9" i="9"/>
  <c r="N19" i="9"/>
  <c r="D48" i="15"/>
  <c r="D49" i="15" s="1"/>
  <c r="A50" i="15" s="1"/>
  <c r="D52" i="11"/>
  <c r="D43" i="15"/>
  <c r="N17" i="9"/>
  <c r="D50" i="11"/>
  <c r="D51" i="11"/>
  <c r="N18" i="9"/>
  <c r="D44" i="15"/>
  <c r="D23" i="11"/>
  <c r="N4" i="9"/>
  <c r="D28" i="11"/>
  <c r="N6" i="9"/>
  <c r="N12" i="9"/>
  <c r="D39" i="11"/>
  <c r="D33" i="15"/>
  <c r="D55" i="15"/>
  <c r="N23" i="9"/>
  <c r="D58" i="11"/>
  <c r="D29" i="11"/>
  <c r="D26" i="15"/>
  <c r="N7" i="9"/>
  <c r="O8" i="9"/>
  <c r="D27" i="15"/>
  <c r="N8" i="9"/>
  <c r="D33" i="11"/>
  <c r="D40" i="11"/>
  <c r="D37" i="15"/>
  <c r="N13" i="9"/>
  <c r="D38" i="15"/>
  <c r="O14" i="9"/>
  <c r="N14" i="9"/>
  <c r="D44" i="11"/>
  <c r="D45" i="11" s="1"/>
  <c r="O15" i="9"/>
  <c r="N15" i="9"/>
  <c r="D48" i="11"/>
  <c r="D53" i="11" s="1"/>
  <c r="N16" i="9"/>
  <c r="D49" i="11"/>
  <c r="D42" i="15"/>
  <c r="M20" i="9"/>
  <c r="D22" i="11"/>
  <c r="N3" i="9"/>
  <c r="O3" i="9"/>
  <c r="D24" i="11"/>
  <c r="M16" i="13"/>
  <c r="D42" i="10" s="1"/>
  <c r="M23" i="13"/>
  <c r="N23" i="13" s="1"/>
  <c r="M18" i="1"/>
  <c r="D31" i="5"/>
  <c r="M22" i="1"/>
  <c r="D37" i="5"/>
  <c r="D38" i="5"/>
  <c r="M24" i="1"/>
  <c r="D46" i="5"/>
  <c r="M33" i="1"/>
  <c r="M42" i="1"/>
  <c r="D53" i="5"/>
  <c r="M46" i="1"/>
  <c r="D59" i="5"/>
  <c r="D21" i="5"/>
  <c r="M8" i="1"/>
  <c r="M12" i="1"/>
  <c r="D27" i="5"/>
  <c r="D30" i="5"/>
  <c r="M16" i="1"/>
  <c r="D36" i="5"/>
  <c r="M20" i="1"/>
  <c r="M27" i="1"/>
  <c r="D39" i="5"/>
  <c r="D45" i="5"/>
  <c r="M31" i="1"/>
  <c r="M38" i="1"/>
  <c r="D51" i="5"/>
  <c r="D52" i="5"/>
  <c r="M40" i="1"/>
  <c r="D58" i="5"/>
  <c r="M44" i="1"/>
  <c r="M49" i="1"/>
  <c r="D60" i="5"/>
  <c r="M57" i="1"/>
  <c r="N57" i="1" s="1"/>
  <c r="D67" i="5"/>
  <c r="M4" i="1"/>
  <c r="D19" i="5"/>
  <c r="D20" i="5"/>
  <c r="M6" i="1"/>
  <c r="M19" i="1"/>
  <c r="D35" i="5"/>
  <c r="D50" i="5"/>
  <c r="M34" i="1"/>
  <c r="M43" i="1"/>
  <c r="D57" i="5"/>
  <c r="M9" i="1"/>
  <c r="D25" i="5"/>
  <c r="D26" i="5"/>
  <c r="M11" i="1"/>
  <c r="M13" i="1"/>
  <c r="D28" i="5"/>
  <c r="D29" i="5"/>
  <c r="M15" i="1"/>
  <c r="M28" i="1"/>
  <c r="D43" i="5"/>
  <c r="D47" i="5" s="1"/>
  <c r="D44" i="5"/>
  <c r="M30" i="1"/>
  <c r="M50" i="1"/>
  <c r="D61" i="5"/>
  <c r="D65" i="5"/>
  <c r="M52" i="1"/>
  <c r="D66" i="5"/>
  <c r="M56" i="1"/>
  <c r="N56" i="1" s="1"/>
  <c r="M3" i="1"/>
  <c r="D18" i="5"/>
  <c r="D43" i="10"/>
  <c r="N18" i="13"/>
  <c r="D54" i="10"/>
  <c r="N13" i="13"/>
  <c r="D36" i="10"/>
  <c r="D41" i="10"/>
  <c r="N15" i="13"/>
  <c r="O20" i="13"/>
  <c r="D48" i="10"/>
  <c r="N20" i="13"/>
  <c r="D61" i="10"/>
  <c r="N32" i="13"/>
  <c r="N34" i="13"/>
  <c r="D62" i="10"/>
  <c r="N6" i="13"/>
  <c r="D27" i="10"/>
  <c r="N22" i="13"/>
  <c r="D50" i="10"/>
  <c r="M27" i="13"/>
  <c r="N29" i="13"/>
  <c r="D56" i="10"/>
  <c r="N5" i="13"/>
  <c r="D26" i="10"/>
  <c r="N7" i="13"/>
  <c r="D32" i="10"/>
  <c r="D49" i="10"/>
  <c r="N21" i="13"/>
  <c r="D33" i="10"/>
  <c r="N9" i="13"/>
  <c r="M3" i="13"/>
  <c r="M10" i="13"/>
  <c r="O7" i="13" s="1"/>
  <c r="N12" i="13"/>
  <c r="D35" i="10"/>
  <c r="D40" i="10"/>
  <c r="O14" i="13"/>
  <c r="D8" i="17" s="1"/>
  <c r="N14" i="13"/>
  <c r="N16" i="13"/>
  <c r="D44" i="10"/>
  <c r="N19" i="13"/>
  <c r="N31" i="13"/>
  <c r="D60" i="10"/>
  <c r="O31" i="13"/>
  <c r="M35" i="13"/>
  <c r="E8" i="17" l="1"/>
  <c r="D13" i="17"/>
  <c r="D39" i="15"/>
  <c r="A40" i="15" s="1"/>
  <c r="D34" i="15"/>
  <c r="A35" i="15" s="1"/>
  <c r="D41" i="11"/>
  <c r="D11" i="11"/>
  <c r="E11" i="11" s="1"/>
  <c r="D11" i="15"/>
  <c r="E11" i="15" s="1"/>
  <c r="P15" i="9"/>
  <c r="D35" i="11"/>
  <c r="D7" i="11"/>
  <c r="E7" i="11" s="1"/>
  <c r="D7" i="15"/>
  <c r="E7" i="15" s="1"/>
  <c r="P5" i="9"/>
  <c r="D56" i="11"/>
  <c r="D59" i="11" s="1"/>
  <c r="N20" i="9"/>
  <c r="O20" i="9"/>
  <c r="D52" i="15"/>
  <c r="D57" i="15" s="1"/>
  <c r="D45" i="15"/>
  <c r="A46" i="15" s="1"/>
  <c r="D10" i="11"/>
  <c r="E10" i="11" s="1"/>
  <c r="P14" i="9"/>
  <c r="D10" i="15"/>
  <c r="E10" i="15" s="1"/>
  <c r="D8" i="15"/>
  <c r="E8" i="15" s="1"/>
  <c r="D8" i="11"/>
  <c r="E8" i="11" s="1"/>
  <c r="P8" i="9"/>
  <c r="D28" i="15"/>
  <c r="D9" i="11"/>
  <c r="E9" i="11" s="1"/>
  <c r="P11" i="9"/>
  <c r="D9" i="15"/>
  <c r="E9" i="15" s="1"/>
  <c r="D30" i="11"/>
  <c r="P3" i="9"/>
  <c r="D6" i="15"/>
  <c r="D6" i="11"/>
  <c r="D51" i="10"/>
  <c r="A52" i="10" s="1"/>
  <c r="D32" i="5"/>
  <c r="D58" i="16"/>
  <c r="D10" i="5"/>
  <c r="E10" i="5" s="1"/>
  <c r="D10" i="16"/>
  <c r="E10" i="16" s="1"/>
  <c r="O34" i="1"/>
  <c r="P34" i="1" s="1"/>
  <c r="N34" i="1"/>
  <c r="N6" i="1"/>
  <c r="D27" i="16"/>
  <c r="D66" i="16"/>
  <c r="N44" i="1"/>
  <c r="D38" i="16"/>
  <c r="N16" i="1"/>
  <c r="D28" i="16"/>
  <c r="N8" i="1"/>
  <c r="D46" i="16"/>
  <c r="N24" i="1"/>
  <c r="D69" i="16"/>
  <c r="N50" i="1"/>
  <c r="D9" i="16"/>
  <c r="E9" i="16" s="1"/>
  <c r="O28" i="1"/>
  <c r="P28" i="1" s="1"/>
  <c r="N28" i="1"/>
  <c r="D9" i="5"/>
  <c r="E9" i="5" s="1"/>
  <c r="D51" i="16"/>
  <c r="D36" i="16"/>
  <c r="N13" i="1"/>
  <c r="D7" i="16"/>
  <c r="E7" i="16" s="1"/>
  <c r="D33" i="16"/>
  <c r="O9" i="1"/>
  <c r="P9" i="1" s="1"/>
  <c r="D7" i="5"/>
  <c r="E7" i="5" s="1"/>
  <c r="N9" i="1"/>
  <c r="D54" i="5"/>
  <c r="D59" i="16"/>
  <c r="N38" i="1"/>
  <c r="N27" i="1"/>
  <c r="D47" i="16"/>
  <c r="D61" i="16"/>
  <c r="N42" i="1"/>
  <c r="D39" i="16"/>
  <c r="N18" i="1"/>
  <c r="D22" i="5"/>
  <c r="O52" i="1"/>
  <c r="P52" i="1" s="1"/>
  <c r="D12" i="5"/>
  <c r="E12" i="5" s="1"/>
  <c r="N52" i="1"/>
  <c r="E12" i="16"/>
  <c r="N30" i="1"/>
  <c r="D52" i="16"/>
  <c r="D37" i="16"/>
  <c r="N15" i="1"/>
  <c r="D34" i="16"/>
  <c r="N11" i="1"/>
  <c r="D62" i="5"/>
  <c r="D40" i="5"/>
  <c r="N40" i="1"/>
  <c r="D60" i="16"/>
  <c r="D53" i="16"/>
  <c r="N31" i="1"/>
  <c r="N20" i="1"/>
  <c r="D44" i="16"/>
  <c r="D54" i="16"/>
  <c r="N33" i="1"/>
  <c r="O3" i="1"/>
  <c r="P3" i="1" s="1"/>
  <c r="D6" i="5"/>
  <c r="D25" i="16"/>
  <c r="N3" i="1"/>
  <c r="D6" i="16"/>
  <c r="D68" i="5"/>
  <c r="D11" i="16"/>
  <c r="E11" i="16" s="1"/>
  <c r="D65" i="16"/>
  <c r="D70" i="16" s="1"/>
  <c r="A71" i="16" s="1"/>
  <c r="O43" i="1"/>
  <c r="P43" i="1" s="1"/>
  <c r="D11" i="5"/>
  <c r="E11" i="5" s="1"/>
  <c r="N43" i="1"/>
  <c r="D8" i="5"/>
  <c r="E8" i="5" s="1"/>
  <c r="D8" i="16"/>
  <c r="E8" i="16" s="1"/>
  <c r="O19" i="1"/>
  <c r="P19" i="1" s="1"/>
  <c r="D43" i="16"/>
  <c r="N19" i="1"/>
  <c r="D26" i="16"/>
  <c r="N4" i="1"/>
  <c r="D68" i="16"/>
  <c r="N49" i="1"/>
  <c r="D35" i="16"/>
  <c r="N12" i="1"/>
  <c r="D67" i="16"/>
  <c r="N46" i="1"/>
  <c r="D45" i="16"/>
  <c r="N22" i="1"/>
  <c r="D28" i="10"/>
  <c r="D63" i="10"/>
  <c r="A64" i="10" s="1"/>
  <c r="D45" i="10"/>
  <c r="A46" i="10" s="1"/>
  <c r="D7" i="10"/>
  <c r="E7" i="10" s="1"/>
  <c r="P7" i="13"/>
  <c r="N35" i="13"/>
  <c r="D73" i="16"/>
  <c r="D66" i="10"/>
  <c r="D67" i="10" s="1"/>
  <c r="A68" i="10" s="1"/>
  <c r="O35" i="13"/>
  <c r="N3" i="13"/>
  <c r="O3" i="13"/>
  <c r="N27" i="13"/>
  <c r="D55" i="10"/>
  <c r="D57" i="10" s="1"/>
  <c r="A58" i="10" s="1"/>
  <c r="O23" i="13"/>
  <c r="D11" i="10"/>
  <c r="E11" i="10" s="1"/>
  <c r="P31" i="13"/>
  <c r="D8" i="10"/>
  <c r="P14" i="13"/>
  <c r="N10" i="13"/>
  <c r="D34" i="10"/>
  <c r="D37" i="10" s="1"/>
  <c r="A38" i="10" s="1"/>
  <c r="D9" i="10"/>
  <c r="E9" i="10" s="1"/>
  <c r="P20" i="13"/>
  <c r="A15" i="17" l="1"/>
  <c r="A17" i="17" s="1"/>
  <c r="E13" i="17"/>
  <c r="E8" i="10"/>
  <c r="D69" i="10"/>
  <c r="A70" i="10" s="1"/>
  <c r="A58" i="15"/>
  <c r="D65" i="15"/>
  <c r="A66" i="15" s="1"/>
  <c r="A29" i="15"/>
  <c r="P20" i="9"/>
  <c r="D12" i="11"/>
  <c r="E12" i="11" s="1"/>
  <c r="D12" i="15"/>
  <c r="E12" i="15" s="1"/>
  <c r="E6" i="11"/>
  <c r="E6" i="15"/>
  <c r="D48" i="16"/>
  <c r="A49" i="16" s="1"/>
  <c r="D29" i="16"/>
  <c r="D40" i="16"/>
  <c r="A41" i="16" s="1"/>
  <c r="D55" i="16"/>
  <c r="A56" i="16" s="1"/>
  <c r="E6" i="5"/>
  <c r="D13" i="5"/>
  <c r="E13" i="5" s="1"/>
  <c r="E14" i="5" s="1"/>
  <c r="D62" i="16"/>
  <c r="A63" i="16" s="1"/>
  <c r="E6" i="16"/>
  <c r="D10" i="10"/>
  <c r="E10" i="10" s="1"/>
  <c r="P23" i="13"/>
  <c r="D6" i="10"/>
  <c r="P3" i="13"/>
  <c r="A77" i="16"/>
  <c r="D12" i="10"/>
  <c r="E12" i="10" s="1"/>
  <c r="P35" i="13"/>
  <c r="D13" i="15" l="1"/>
  <c r="A15" i="15" s="1"/>
  <c r="A17" i="15" s="1"/>
  <c r="D13" i="11"/>
  <c r="E13" i="11" s="1"/>
  <c r="E14" i="11" s="1"/>
  <c r="D78" i="16"/>
  <c r="A15" i="16"/>
  <c r="A17" i="16" s="1"/>
  <c r="E13" i="16"/>
  <c r="E6" i="10"/>
  <c r="A15" i="10" l="1"/>
  <c r="E13" i="10"/>
  <c r="E13" i="15"/>
  <c r="A79" i="16"/>
  <c r="J98" i="16"/>
  <c r="A80" i="16" s="1"/>
</calcChain>
</file>

<file path=xl/sharedStrings.xml><?xml version="1.0" encoding="utf-8"?>
<sst xmlns="http://schemas.openxmlformats.org/spreadsheetml/2006/main" count="1607" uniqueCount="293">
  <si>
    <t>Metric
Num</t>
  </si>
  <si>
    <t>S.
No</t>
  </si>
  <si>
    <t>Metric
Description</t>
  </si>
  <si>
    <t>The Institution ensures effective curriculum planning and delivery through a well-planned and documented process including Academic calendar and conduct of continuous internal Assessment</t>
  </si>
  <si>
    <t>Number of Add on /Certificate/ Value added programs offered during the last five years</t>
  </si>
  <si>
    <t>Average percentage of students enrolled in Certificate/ Add-on/ Value added programs as against the total number of students during the last five years</t>
  </si>
  <si>
    <t>Institution integrates crosscutting issues relevant to Professional Ethics, Gender, Human Values, Environment and Sustainability into the Curriculum</t>
  </si>
  <si>
    <t>Percentage of students undertaking project work/field work/internships (Data for the latest completed academic year)</t>
  </si>
  <si>
    <t>Institution obtains feedback on the academic performance and ambience of the institution from various stakeholders, such as Students, Teachers, Employers, Alumni etc. and action taken report on the feedback is made available on institutional website (Yes or No)</t>
  </si>
  <si>
    <t xml:space="preserve">Enrolment percentage </t>
  </si>
  <si>
    <t>Student- Full time teacher ratio (Data for the latest completed academic year)</t>
  </si>
  <si>
    <t>Student centric methods, such as experiential learning, participative learning and problem solving methodologies are used for enhancing learning experiences using ICT tools</t>
  </si>
  <si>
    <t>Percentage of full time teachers against sanctioned posts during the last five years</t>
  </si>
  <si>
    <t>Percentage of full time teachers with NET/SET/SLET/ Ph. D. / D.M. / M.Ch. / D.N.B Super speciality / D.Sc. / D.Litt. during the last five years (consider only highest degree for count)</t>
  </si>
  <si>
    <t>Mechanism of internal/ external assessment is transparent and the grievance redressal system is time- bound and efficient</t>
  </si>
  <si>
    <t>Programme Outcomes (POs) and Course Outcomes (COs) for all Programmes offered by the institution are stated and displayed on website and attainment of POs and COs are evaluated</t>
  </si>
  <si>
    <t>Pass percentage of Students during last five years</t>
  </si>
  <si>
    <t>Online student satisfaction survey regarding to teaching learning process. (Online survey to be conducted)</t>
  </si>
  <si>
    <t>Grants received from Government and non-governmental agencies for research projects, endowments, Chairs in the institution during the last five years (INR in Lakhs)</t>
  </si>
  <si>
    <t>Institution has created an ecosystem for innovations and has initiatives for creation and transfer of knowledge (patents filed, published, incubation centre facilities in the HEI to be considered)</t>
  </si>
  <si>
    <t>Number of workshops/seminars conducted on Research Methodology, Intellectual Property Rights (IPR) and entrepreneurship during the last five years</t>
  </si>
  <si>
    <t>Number of research papers per teachers in the Journals notified on UGC website during the last five years</t>
  </si>
  <si>
    <t>Number of books and chapters in edited volumes/books published and papers published in national/ international conference proceedings per teacher during last five years</t>
  </si>
  <si>
    <t>Extension activities are carried out in the neighbourhood community, sensitizing students to social issues, for their holistic development, and impact thereof during the last five years.</t>
  </si>
  <si>
    <t>Awards and recognitions received for extension activities from government / government recognised bodies</t>
  </si>
  <si>
    <t>The number of MoUs, collaborations/linkages for Faculty exchange, Student exchange, Internship, Field trip, On-the- job training, research and other academic activities during the last five years</t>
  </si>
  <si>
    <t>Availability of adequate infrastructure and physical facilities viz., classrooms, laboratories, ICT facilities, cultural activities, gymnasium, yoga centre etc. in the institution</t>
  </si>
  <si>
    <t>Percentage of expenditure, excluding salary for infrastructure augmentation during last five years(INR in Lakhs)</t>
  </si>
  <si>
    <t>Library is automated using Integrated Library Management System (ILMS), subscription to e-resources, amount spent on purchase of books, journals and per day usage of library</t>
  </si>
  <si>
    <t>Institution frequently updates its IT facilities and provides sufficient bandwidth for internet connection</t>
  </si>
  <si>
    <t>Student – Computer ratio (Data for the latest completed academic year)</t>
  </si>
  <si>
    <t>Percentage of expenditure incurred on maintenance of infrastructure (physical and academic support facilities) excluding salary component during the last five years(INR in Lakhs)</t>
  </si>
  <si>
    <t>Percentage of students benefited by scholarships and freeships provided by the Government and Non-Government agencies during last five years</t>
  </si>
  <si>
    <t>Percentage of students benefitted by guidance for competitive examinations and career counselling offered by the Institution duringthe last five years</t>
  </si>
  <si>
    <t>Percentage of placement of outgoing students and students progressing to higher education during the last five years</t>
  </si>
  <si>
    <t>Average percentage of students qualifying in state/national/international level examinations during the last five years (eg: JAM/CLAT/GATE/ GMAT/CAT/GRE/ TOEFL/ Civil Services/State government examinations)</t>
  </si>
  <si>
    <t>Number of awards/medals for outstanding performance insports/cultural activities at university/state/national / international level (award for a team event should be counted as one) during the last five years.</t>
  </si>
  <si>
    <t>Average number of sports and cultural events/competitions in which students of the Institution participated during last five years(organised by the institution/other institutions)</t>
  </si>
  <si>
    <t>There is a registered Alumni Association that contributes significantly to the development of the institution through financial and/or other support services</t>
  </si>
  <si>
    <t xml:space="preserve">Implementation of e-governance in areas of operation
1. Administration
2. Finance and Accounts 
3. Student Admission and Support 
4. Examination
</t>
  </si>
  <si>
    <t>The institution has effective welfare measures and Performance Appraisal System for teaching and non-teaching staff</t>
  </si>
  <si>
    <t>Percentage of teachers provided with financial support to attend conferences/workshops and towards membership fee of professional bodies during the last five years</t>
  </si>
  <si>
    <t>Percentage of teaching and non-teaching staff participating in Faculty development Programmes (FDP), professional development /administrative training programs during the last five years</t>
  </si>
  <si>
    <t>Institution has strategies for mobilization and optimal utilization of resources and funds from various sources (government/ non-government organizations) and it conducts financial audits regularly (internal and external)</t>
  </si>
  <si>
    <t>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t>
  </si>
  <si>
    <t xml:space="preserve">Quality assurance initiatives of the institution include:
1. Regular meeting of Internal Quality Assurance Cell (IQAC); Feedback collected, analysed and used for improvements 
2. Collaborative quality initiatives with other institution(s)/ membership of international networks 
3. Participation in NIRF
4. any other quality audit/accreditation recognized by state, national or international agencies such as NAAC, NBA, ISO Certification etc
</t>
  </si>
  <si>
    <t>Gender Equity and celebration of days of National/ International commemoration Measures initiated by the Institution for the promotion of gender equity and Institutional initiatives to celebrate / organize national and international commemorative days, events and festivals during the last five years (Within 500 words)</t>
  </si>
  <si>
    <t>The Institution has facilities and initiatives for
1. Alternate sources of energy and energy conservation measures
2. Management of the various types of degradable and non-degradable waste
3. Water conservation
4. Green campus initiatives
5. Disabled-friendly, barrier free environment</t>
  </si>
  <si>
    <t xml:space="preserve">Quality audits on environment and energy regularly undertaken by the Institution.
The institutional environment and energy initiatives are confirmed
through the following
1. Green audit / Environment audit
2. Energy audit
3. Clean and green campus initiatives
4. Beyond the campus environmental promotion activities </t>
  </si>
  <si>
    <t>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t>
  </si>
  <si>
    <t>Describe two best practices successfully implemented by the Institution as per NAAC format provided in the Manual</t>
  </si>
  <si>
    <t>Portray the performance of the Institution in one area distinctive to its priority and thrust within 1000 words</t>
  </si>
  <si>
    <t>1.1.1</t>
  </si>
  <si>
    <t>1.2.1</t>
  </si>
  <si>
    <t>1.2.2</t>
  </si>
  <si>
    <t>1.3.1</t>
  </si>
  <si>
    <t>1.3.2</t>
  </si>
  <si>
    <t>1.4.1</t>
  </si>
  <si>
    <t>2.1.1</t>
  </si>
  <si>
    <t>2.1.2</t>
  </si>
  <si>
    <t>2.2.1</t>
  </si>
  <si>
    <t>2.3.1</t>
  </si>
  <si>
    <t>2.4.1</t>
  </si>
  <si>
    <t>2.4.2</t>
  </si>
  <si>
    <t>2.5.1</t>
  </si>
  <si>
    <t>2.6.1</t>
  </si>
  <si>
    <t>2.6.2</t>
  </si>
  <si>
    <t>2.7.1</t>
  </si>
  <si>
    <t>3.1.1</t>
  </si>
  <si>
    <t>3.2.1</t>
  </si>
  <si>
    <t>3.2.2</t>
  </si>
  <si>
    <t>3.3.1</t>
  </si>
  <si>
    <t>3.3.2</t>
  </si>
  <si>
    <t>3.4.1</t>
  </si>
  <si>
    <t>3.4.2</t>
  </si>
  <si>
    <t>3.4.3</t>
  </si>
  <si>
    <t>3.5.1</t>
  </si>
  <si>
    <t>4.1.1</t>
  </si>
  <si>
    <t>4.1.2</t>
  </si>
  <si>
    <t>4.2.1</t>
  </si>
  <si>
    <t>4.3.1</t>
  </si>
  <si>
    <t>4.3.2</t>
  </si>
  <si>
    <t>4.4.1</t>
  </si>
  <si>
    <t>5.1.1</t>
  </si>
  <si>
    <t>5.1.2</t>
  </si>
  <si>
    <t>5.1.3</t>
  </si>
  <si>
    <t>5.1.4</t>
  </si>
  <si>
    <t>5.2.1</t>
  </si>
  <si>
    <t>5.2.2</t>
  </si>
  <si>
    <t>5.3.1</t>
  </si>
  <si>
    <t>5.3.2</t>
  </si>
  <si>
    <t>5.4.1</t>
  </si>
  <si>
    <t>6.1.1</t>
  </si>
  <si>
    <t>6.2.1</t>
  </si>
  <si>
    <t>6.2.2</t>
  </si>
  <si>
    <t>6.3.1</t>
  </si>
  <si>
    <t>6.3.2</t>
  </si>
  <si>
    <t>6.3.3</t>
  </si>
  <si>
    <t>6.4.1</t>
  </si>
  <si>
    <t>6.5.1</t>
  </si>
  <si>
    <t>6.5.2</t>
  </si>
  <si>
    <t>7.1.1</t>
  </si>
  <si>
    <t>7.1.2</t>
  </si>
  <si>
    <t>7.1.3</t>
  </si>
  <si>
    <t>7.1.4</t>
  </si>
  <si>
    <t>7.2.1</t>
  </si>
  <si>
    <t>7.3.1</t>
  </si>
  <si>
    <t>QlM</t>
  </si>
  <si>
    <t>QnM</t>
  </si>
  <si>
    <t>1.1 Curriculum Planning and Implementation</t>
  </si>
  <si>
    <t>1.2 Academic Flexibility</t>
  </si>
  <si>
    <t>1.3 Curriculum Enrichment</t>
  </si>
  <si>
    <t>1.4 Feedback System</t>
  </si>
  <si>
    <t>2.1 Student Enrolment and Profile</t>
  </si>
  <si>
    <t>2.2 Student Teacher Ratio</t>
  </si>
  <si>
    <t>2.3 Teaching Learning Process</t>
  </si>
  <si>
    <t>2.4 Teacher Profile and Quality</t>
  </si>
  <si>
    <t>2.5 Evaluation Process and Reforms</t>
  </si>
  <si>
    <t>2.6 Student Performance and Learning Outcomes</t>
  </si>
  <si>
    <t>2.7 Student Satisfaction Survey</t>
  </si>
  <si>
    <t>3.1 Resource Mobilization for Research</t>
  </si>
  <si>
    <t>3.2 Innovation Ecosystem</t>
  </si>
  <si>
    <t>3.3 Research Publications and Awards</t>
  </si>
  <si>
    <t>3.4 Extension Activities</t>
  </si>
  <si>
    <t>3.5 Collaboration</t>
  </si>
  <si>
    <t>4.1 Physical Facilities</t>
  </si>
  <si>
    <t>4.2 Library as a Learning Resource</t>
  </si>
  <si>
    <t>4.3 IT Infrastructure</t>
  </si>
  <si>
    <t>4.4 Maintenance of Campus Infrastructure</t>
  </si>
  <si>
    <t>5.1 Student Support</t>
  </si>
  <si>
    <t>5.2 Student Progression</t>
  </si>
  <si>
    <t>5.3 Student Participation and Activities</t>
  </si>
  <si>
    <t>5.4 Alumni Engagement</t>
  </si>
  <si>
    <t>6.1 Institutional Vision and Leadership</t>
  </si>
  <si>
    <t>6.2 Strategy Development and Deployment</t>
  </si>
  <si>
    <t>6.3 Faculty Empowerment Strategies</t>
  </si>
  <si>
    <t>6.4 Financial Management and Resource Mobilization</t>
  </si>
  <si>
    <t>6.5 Internal Quality Assurance System (IQAS)</t>
  </si>
  <si>
    <t>7.1 Institutional Values and Social Responsibilities</t>
  </si>
  <si>
    <t>7.2 Best Practices</t>
  </si>
  <si>
    <t>7.3 Institutional Distinctiveness</t>
  </si>
  <si>
    <t>1. Curricular Aspects</t>
  </si>
  <si>
    <t>2. Teaching-Learning and Evaluation</t>
  </si>
  <si>
    <t>3. Research, Innovations and Extension</t>
  </si>
  <si>
    <t>4. Infrastructure and Learning Resources</t>
  </si>
  <si>
    <t>5. Student Support and Progression</t>
  </si>
  <si>
    <t>6. Governance, Leadership and Management</t>
  </si>
  <si>
    <t>7. Institutional Values and Best Practices</t>
  </si>
  <si>
    <t>The Institution has a transparent mechanism for timely redressal of student grievances including sexual harassment and ragging cases
1. Implementation of guidelines of statutory/regulatory bodies
2. Organisation wide awareness and undertakings on policies with zero tolerance
3. Mechanisms for submission of online/offline students’ grievances
4. Timely redressal of the grievances through appropriate committees</t>
  </si>
  <si>
    <t xml:space="preserve">Capacity building and skills enhancement initiatives taken by the institution include the following
1. Soft skills
2. Language and communication skills
3. Life skills (Yoga, physical fitness, health and hygiene)
4. ICT/computing skills
</t>
  </si>
  <si>
    <t xml:space="preserve">Number of extension and outreach Programmes conducted by the institution through NSS/ NCC/ Red Cross/ YRC etc., (including the programmes such as Swachh Bharat, AIDS awareness, Gender issues etc. )and/or those organised in collaboration with industry, community and NGOs during the last five years
</t>
  </si>
  <si>
    <t xml:space="preserve">Percentage of seats filled against seats reserved for various categories (SC, ST, OBC, Divyangjan, etc. as per applicable reservation policy during the last five years ( exclusive of supernumerary seats)
</t>
  </si>
  <si>
    <t xml:space="preserve">The governance and leadership is in accordance with vision and mission of the institution and it is visible in various institutional practices such as decentralization and participation in the institutional governance
</t>
  </si>
  <si>
    <t xml:space="preserve">The functioning of the institutional bodies is effective and efficient as visible from policies, administrative setup, appointment and service rules, procedures, deployment of institutional Strategic/ perspective/development plan etc
</t>
  </si>
  <si>
    <t>Number of students year wise during the last five years</t>
  </si>
  <si>
    <t>Year</t>
  </si>
  <si>
    <t>Number</t>
  </si>
  <si>
    <t>Number of full time teachers during the last five years
(Without repeat count):</t>
  </si>
  <si>
    <t>Number of full time teachers year wise during the last five years</t>
  </si>
  <si>
    <t>Expenditure excluding salary component year wise during the last five years (INR in lakhs)</t>
  </si>
  <si>
    <t>INR in
Lakhs</t>
  </si>
  <si>
    <t>1 Student:</t>
  </si>
  <si>
    <t>2 Teachers:</t>
  </si>
  <si>
    <t>3. Expenditure:</t>
  </si>
  <si>
    <t>Criteria</t>
  </si>
  <si>
    <t>Response</t>
  </si>
  <si>
    <t>Grade</t>
  </si>
  <si>
    <r>
      <rPr>
        <b/>
        <sz val="16"/>
        <color theme="1"/>
        <rFont val="Calibri"/>
        <family val="2"/>
        <scheme val="minor"/>
      </rPr>
      <t>©</t>
    </r>
    <r>
      <rPr>
        <sz val="11"/>
        <color theme="1"/>
        <rFont val="Calibri"/>
        <family val="2"/>
        <scheme val="minor"/>
      </rPr>
      <t xml:space="preserve">
Wt</t>
    </r>
  </si>
  <si>
    <r>
      <t xml:space="preserve">Criteria
</t>
    </r>
    <r>
      <rPr>
        <b/>
        <sz val="18"/>
        <color theme="1"/>
        <rFont val="Calibri"/>
        <family val="2"/>
        <scheme val="minor"/>
      </rPr>
      <t>©</t>
    </r>
  </si>
  <si>
    <r>
      <t xml:space="preserve">Metric
</t>
    </r>
    <r>
      <rPr>
        <b/>
        <sz val="14"/>
        <color theme="1"/>
        <rFont val="Calibri"/>
        <family val="2"/>
        <scheme val="minor"/>
      </rPr>
      <t>(M)</t>
    </r>
    <r>
      <rPr>
        <sz val="11"/>
        <color theme="1"/>
        <rFont val="Calibri"/>
        <family val="2"/>
        <scheme val="minor"/>
      </rPr>
      <t xml:space="preserve">
Type</t>
    </r>
  </si>
  <si>
    <r>
      <t xml:space="preserve">Key
Indicator
</t>
    </r>
    <r>
      <rPr>
        <b/>
        <sz val="11"/>
        <color theme="1"/>
        <rFont val="Calibri"/>
        <family val="2"/>
        <scheme val="minor"/>
      </rPr>
      <t xml:space="preserve"> (</t>
    </r>
    <r>
      <rPr>
        <b/>
        <sz val="14"/>
        <color theme="1"/>
        <rFont val="Calibri"/>
        <family val="2"/>
        <scheme val="minor"/>
      </rPr>
      <t>KI</t>
    </r>
    <r>
      <rPr>
        <b/>
        <sz val="11"/>
        <color theme="1"/>
        <rFont val="Calibri"/>
        <family val="2"/>
        <scheme val="minor"/>
      </rPr>
      <t>)</t>
    </r>
  </si>
  <si>
    <r>
      <t xml:space="preserve">Metric
</t>
    </r>
    <r>
      <rPr>
        <b/>
        <sz val="14"/>
        <color theme="1"/>
        <rFont val="Calibri"/>
        <family val="2"/>
        <scheme val="minor"/>
      </rPr>
      <t>(M)</t>
    </r>
    <r>
      <rPr>
        <sz val="11"/>
        <color theme="1"/>
        <rFont val="Calibri"/>
        <family val="2"/>
        <scheme val="minor"/>
      </rPr>
      <t xml:space="preserve">
Num</t>
    </r>
  </si>
  <si>
    <r>
      <rPr>
        <b/>
        <sz val="12"/>
        <color theme="1"/>
        <rFont val="Arial"/>
        <family val="2"/>
      </rPr>
      <t>KI</t>
    </r>
    <r>
      <rPr>
        <sz val="8"/>
        <color theme="1"/>
        <rFont val="Arial"/>
        <family val="2"/>
      </rPr>
      <t>wise
weighted
Grade
points</t>
    </r>
  </si>
  <si>
    <r>
      <rPr>
        <b/>
        <sz val="12"/>
        <color theme="1"/>
        <rFont val="Arial"/>
        <family val="2"/>
      </rPr>
      <t>KI</t>
    </r>
    <r>
      <rPr>
        <sz val="8"/>
        <color theme="1"/>
        <rFont val="Arial"/>
        <family val="2"/>
      </rPr>
      <t>wise
weighted
Grade
points
Average</t>
    </r>
  </si>
  <si>
    <r>
      <rPr>
        <b/>
        <sz val="16"/>
        <color theme="1"/>
        <rFont val="Calibri"/>
        <family val="2"/>
        <scheme val="minor"/>
      </rPr>
      <t>©</t>
    </r>
    <r>
      <rPr>
        <sz val="8"/>
        <color theme="1"/>
        <rFont val="Arial"/>
        <family val="2"/>
      </rPr>
      <t>Wise
Weighted
Grade
Point
Average</t>
    </r>
  </si>
  <si>
    <r>
      <rPr>
        <b/>
        <sz val="16"/>
        <color theme="1"/>
        <rFont val="Calibri"/>
        <family val="2"/>
        <scheme val="minor"/>
      </rPr>
      <t>©</t>
    </r>
    <r>
      <rPr>
        <sz val="8"/>
        <color theme="1"/>
        <rFont val="Arial"/>
        <family val="2"/>
      </rPr>
      <t>Wise
Weighted 
Average</t>
    </r>
  </si>
  <si>
    <r>
      <rPr>
        <b/>
        <sz val="12"/>
        <color theme="1"/>
        <rFont val="Arial"/>
        <family val="2"/>
      </rPr>
      <t>M</t>
    </r>
    <r>
      <rPr>
        <sz val="8"/>
        <color theme="1"/>
        <rFont val="Arial"/>
        <family val="2"/>
      </rPr>
      <t xml:space="preserve">
wise weighted Grade points</t>
    </r>
  </si>
  <si>
    <r>
      <t xml:space="preserve">Metric
Grade
scale
</t>
    </r>
    <r>
      <rPr>
        <b/>
        <sz val="14"/>
        <color theme="1"/>
        <rFont val="Arial"/>
        <family val="2"/>
      </rPr>
      <t>(0-4</t>
    </r>
    <r>
      <rPr>
        <b/>
        <sz val="11"/>
        <color theme="1"/>
        <rFont val="Arial"/>
        <family val="2"/>
      </rPr>
      <t>)</t>
    </r>
  </si>
  <si>
    <r>
      <rPr>
        <b/>
        <sz val="12"/>
        <color theme="1"/>
        <rFont val="Arial"/>
        <family val="2"/>
      </rPr>
      <t>M</t>
    </r>
    <r>
      <rPr>
        <sz val="11"/>
        <color theme="1"/>
        <rFont val="Calibri"/>
        <family val="2"/>
        <scheme val="minor"/>
      </rPr>
      <t xml:space="preserve">
Wt</t>
    </r>
  </si>
  <si>
    <r>
      <rPr>
        <b/>
        <sz val="12"/>
        <color theme="1"/>
        <rFont val="Arial"/>
        <family val="2"/>
      </rPr>
      <t>KI</t>
    </r>
    <r>
      <rPr>
        <sz val="11"/>
        <color theme="1"/>
        <rFont val="Calibri"/>
        <family val="2"/>
        <scheme val="minor"/>
      </rPr>
      <t xml:space="preserve">
Wt</t>
    </r>
  </si>
  <si>
    <r>
      <t>Metric (</t>
    </r>
    <r>
      <rPr>
        <b/>
        <sz val="12"/>
        <color theme="1"/>
        <rFont val="Arial"/>
        <family val="2"/>
      </rPr>
      <t xml:space="preserve">M) </t>
    </r>
    <r>
      <rPr>
        <sz val="11"/>
        <color theme="1"/>
        <rFont val="Calibri"/>
        <family val="2"/>
        <scheme val="minor"/>
      </rPr>
      <t>Description</t>
    </r>
  </si>
  <si>
    <t>Yes</t>
  </si>
  <si>
    <t>A</t>
  </si>
  <si>
    <t>B</t>
  </si>
  <si>
    <t>D</t>
  </si>
  <si>
    <t>C</t>
  </si>
  <si>
    <t>Best Practices</t>
  </si>
  <si>
    <t>Weightage
(Wi</t>
  </si>
  <si>
    <t>Curricular Aspects</t>
  </si>
  <si>
    <t>Teaching-learning and
Evaluation</t>
  </si>
  <si>
    <t>Research, Innovations
and Extension</t>
  </si>
  <si>
    <t>Infrastructure and Learning Resources</t>
  </si>
  <si>
    <t>Student Support and Progression</t>
  </si>
  <si>
    <t>Governance, Leadership and Management</t>
  </si>
  <si>
    <t>Institutional Values and Best Practices</t>
  </si>
  <si>
    <t>Status</t>
  </si>
  <si>
    <t>3.51-4.00</t>
  </si>
  <si>
    <t>A++</t>
  </si>
  <si>
    <t>Accredited</t>
  </si>
  <si>
    <t>3.26-3.500</t>
  </si>
  <si>
    <t>3.01-3.25</t>
  </si>
  <si>
    <t>2.76-3.00</t>
  </si>
  <si>
    <t>2.51-2.75</t>
  </si>
  <si>
    <t>2.01-2.50</t>
  </si>
  <si>
    <t>≤ 1.50</t>
  </si>
  <si>
    <t>1.51-2.00</t>
  </si>
  <si>
    <t>A+</t>
  </si>
  <si>
    <t>B++</t>
  </si>
  <si>
    <t>B+</t>
  </si>
  <si>
    <t>Not Accredited</t>
  </si>
  <si>
    <t>Range of Institutional
Cumulative Grade
Point Average (CGPA)</t>
  </si>
  <si>
    <t>Letter
Grade</t>
  </si>
  <si>
    <t>Criteria and Key Indicators</t>
  </si>
  <si>
    <t>Key Indicator
Weightage
(Wi)</t>
  </si>
  <si>
    <t>Key Indicator Wise
Weighted
Grade Points
(KIWGP)i</t>
  </si>
  <si>
    <t>Key Indicator wise
Grade
Point
Averages
(CrWGPi/Wi)</t>
  </si>
  <si>
    <t>Criterionwise
Grade Point
Averages
(CrWGPi/Wi)</t>
  </si>
  <si>
    <t>Criterion-wise
weighted Grade
Point 
(CrWGPi)</t>
  </si>
  <si>
    <t>Criterion 1: Curricular Aspects</t>
  </si>
  <si>
    <t>Criterion 2: Teaching-learning and Evaluation</t>
  </si>
  <si>
    <t>No</t>
  </si>
  <si>
    <t>Teacher Profile and Quality</t>
  </si>
  <si>
    <t>Evaluation Process and Reforms</t>
  </si>
  <si>
    <t>Student Performance and Learning Outcomes</t>
  </si>
  <si>
    <t>Student Satisfaction Survey</t>
  </si>
  <si>
    <t>Student Enrollment and Profile</t>
  </si>
  <si>
    <t>Catering to Student Diversity</t>
  </si>
  <si>
    <t>Teaching- Learning Process</t>
  </si>
  <si>
    <t>Criterion 3: Research, Innovations and Extension</t>
  </si>
  <si>
    <t>Resource Mobilization for Research</t>
  </si>
  <si>
    <t>Innovation Ecosystem</t>
  </si>
  <si>
    <t>Research Publications and Awards</t>
  </si>
  <si>
    <t>Extension Activities</t>
  </si>
  <si>
    <t>Collaboration</t>
  </si>
  <si>
    <t>Criterion 4: Infrastructure and Learning Resources</t>
  </si>
  <si>
    <t>Physical Facilities</t>
  </si>
  <si>
    <t>Library as a Learning Resource</t>
  </si>
  <si>
    <t>IT Infrastructure</t>
  </si>
  <si>
    <t>Maintenance of Campus Infrastructure</t>
  </si>
  <si>
    <t>Criterion 5: Student Support and Progression</t>
  </si>
  <si>
    <t>Student Support</t>
  </si>
  <si>
    <t>Student Progression</t>
  </si>
  <si>
    <t>Student Participation and Activities</t>
  </si>
  <si>
    <t>Alumni Engagement</t>
  </si>
  <si>
    <t>Criterion 6: Governance, Leadership and Management</t>
  </si>
  <si>
    <t>Institutional Vision and Leadership</t>
  </si>
  <si>
    <t>Strategy Development and Development</t>
  </si>
  <si>
    <t>Faculty Empowerment Strategies</t>
  </si>
  <si>
    <t>Financial Management and Resource Mobilization</t>
  </si>
  <si>
    <t>Internal Quality Assurance System</t>
  </si>
  <si>
    <t>Criterion 7: Institutional Values and Best Practices</t>
  </si>
  <si>
    <t>Institutional Values and Social Responsibilities</t>
  </si>
  <si>
    <t>Institutional Distinctiveness</t>
  </si>
  <si>
    <t>Number of extension and outreach Programmes conducted by the institution through NSS/ NCC/ Red Cross/ YRC etc., (including the programmes such as Swachh Bharat, AIDS awareness, Gender issues etc. )and/or those organised in collaboration with industry, community and NGOs during the last five years</t>
  </si>
  <si>
    <t>Percentage of seats filled against seats reserved for various categories (SC, ST, OBC, Divyangjan, etc. as per applicable reservation policy during the last five years ( exclusive of supernumerary seats)</t>
  </si>
  <si>
    <r>
      <rPr>
        <b/>
        <sz val="16"/>
        <color theme="1"/>
        <rFont val="Calibri"/>
        <family val="2"/>
        <scheme val="minor"/>
      </rPr>
      <t>P</t>
    </r>
    <r>
      <rPr>
        <sz val="11"/>
        <color theme="1"/>
        <rFont val="Calibri"/>
        <family val="2"/>
        <scheme val="minor"/>
      </rPr>
      <t xml:space="preserve">
Response 
Score</t>
    </r>
  </si>
  <si>
    <r>
      <t xml:space="preserve">HEI
</t>
    </r>
    <r>
      <rPr>
        <b/>
        <sz val="12"/>
        <color theme="1"/>
        <rFont val="Calibri"/>
        <family val="2"/>
        <scheme val="minor"/>
      </rPr>
      <t>I/P</t>
    </r>
    <r>
      <rPr>
        <b/>
        <sz val="11"/>
        <color theme="1"/>
        <rFont val="Calibri"/>
        <family val="2"/>
        <scheme val="minor"/>
      </rPr>
      <t xml:space="preserve">
(Response)</t>
    </r>
  </si>
  <si>
    <t>Academic Flexibility</t>
  </si>
  <si>
    <t>Curriculum Enrichment</t>
  </si>
  <si>
    <t>Feedback System</t>
  </si>
  <si>
    <t>Curriculum Planning and Implementation</t>
  </si>
  <si>
    <t>Qualitative Grade Sheet</t>
  </si>
  <si>
    <t>Name of the Institution:</t>
  </si>
  <si>
    <t>Type of the Institution:</t>
  </si>
  <si>
    <t>Dates of Visit:</t>
  </si>
  <si>
    <t>Quantitative Grade Sheet</t>
  </si>
  <si>
    <t>Key
Indicator
Weightage
(Wi)</t>
  </si>
  <si>
    <t>Key Indicator 
Wise Weighted
Grade Points
(KIWGP)i</t>
  </si>
  <si>
    <t xml:space="preserve"> Curriculum Planning and Implementation</t>
  </si>
  <si>
    <t xml:space="preserve"> Academic Flexibility</t>
  </si>
  <si>
    <t>*</t>
  </si>
  <si>
    <t>RESPONSE</t>
  </si>
  <si>
    <t>Institute
Name</t>
  </si>
  <si>
    <t>Affiliated</t>
  </si>
  <si>
    <t>Criterion-
wise Grade 
Point
Averages
(CrWGPi/Wi)</t>
  </si>
  <si>
    <t>Total</t>
  </si>
  <si>
    <t>Grand Total</t>
  </si>
  <si>
    <t>Criterion wise - Quantitative Grade Sheet</t>
  </si>
  <si>
    <t xml:space="preserve"> Grade Sheet</t>
  </si>
  <si>
    <t>Criterion wise - Grade Sheet</t>
  </si>
  <si>
    <t>Row Labels</t>
  </si>
  <si>
    <t>Average of Metric</t>
  </si>
  <si>
    <t>Graphical Representation of Grade points</t>
  </si>
  <si>
    <t>Metric Wise QnM Grade Points(0-4)</t>
  </si>
  <si>
    <t>Key Indicator Wise QnM Grade Points(0-4)</t>
  </si>
  <si>
    <t>Criteria Wise QnM Grade Points(0-4)</t>
  </si>
  <si>
    <t>Metric Wise QlM Grade Points(0-4)</t>
  </si>
  <si>
    <t>Criteria Wise QlM Grade Points(0-4)</t>
  </si>
  <si>
    <t>Key Indicator Wise QlM Grade Points(0-4)</t>
  </si>
  <si>
    <t>Criteria Wise Grade Points(0-4)</t>
  </si>
  <si>
    <t>Key Indicator Wise Grade Points(0-4)</t>
  </si>
  <si>
    <t>Each Metric Wise Grade Points(0-4)</t>
  </si>
  <si>
    <t>QnM/QlM Wise Grade Points(0-4)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</si>
</sst>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0"/>
      <color theme="1"/>
      <name val="Arial"/>
      <family val="2"/>
    </font>
    <font>
      <sz val="10"/>
      <color rgb="FFFF0000"/>
      <name val="Arial"/>
      <family val="2"/>
    </font>
    <font>
      <b/>
      <sz val="11"/>
      <color theme="1"/>
      <name val="Calibri"/>
      <family val="2"/>
      <scheme val="minor"/>
    </font>
    <font>
      <sz val="8"/>
      <color theme="1"/>
      <name val="Arial"/>
      <family val="2"/>
    </font>
    <font>
      <b/>
      <sz val="16"/>
      <color theme="1"/>
      <name val="Calibri"/>
      <family val="2"/>
      <scheme val="minor"/>
    </font>
    <font>
      <b/>
      <sz val="12"/>
      <color theme="1"/>
      <name val="Arial"/>
      <family val="2"/>
    </font>
    <font>
      <b/>
      <sz val="11"/>
      <color theme="1"/>
      <name val="Arial"/>
      <family val="2"/>
    </font>
    <font>
      <b/>
      <sz val="18"/>
      <color theme="1"/>
      <name val="Calibri"/>
      <family val="2"/>
      <scheme val="minor"/>
    </font>
    <font>
      <b/>
      <sz val="14"/>
      <color theme="1"/>
      <name val="Calibri"/>
      <family val="2"/>
      <scheme val="minor"/>
    </font>
    <font>
      <b/>
      <sz val="14"/>
      <color theme="1"/>
      <name val="Arial"/>
      <family val="2"/>
    </font>
    <font>
      <sz val="11"/>
      <color theme="1"/>
      <name val="Arial"/>
      <family val="2"/>
    </font>
    <font>
      <b/>
      <sz val="12"/>
      <color theme="1"/>
      <name val="Calibri"/>
      <family val="2"/>
      <scheme val="minor"/>
    </font>
    <font>
      <b/>
      <sz val="18"/>
      <color theme="0"/>
      <name val="Calibri"/>
      <family val="2"/>
      <scheme val="minor"/>
    </font>
    <font>
      <sz val="12"/>
      <color theme="1"/>
      <name val="Calibri"/>
      <family val="2"/>
      <scheme val="minor"/>
    </font>
    <font>
      <sz val="10"/>
      <color theme="1"/>
      <name val="Calibri"/>
      <family val="2"/>
      <scheme val="minor"/>
    </font>
    <font>
      <b/>
      <sz val="18"/>
      <color theme="0"/>
      <name val="Arial"/>
      <family val="2"/>
    </font>
    <font>
      <sz val="12"/>
      <color theme="1"/>
      <name val="Arial"/>
      <family val="2"/>
    </font>
    <font>
      <b/>
      <sz val="14"/>
      <color theme="0"/>
      <name val="Arial"/>
      <family val="2"/>
    </font>
    <font>
      <sz val="14"/>
      <color theme="1"/>
      <name val="Arial"/>
      <family val="2"/>
    </font>
    <font>
      <b/>
      <sz val="16"/>
      <color theme="0"/>
      <name val="Arial"/>
      <family val="2"/>
    </font>
    <font>
      <b/>
      <sz val="14"/>
      <color theme="1"/>
      <name val="Times New Roman"/>
      <family val="1"/>
    </font>
    <font>
      <b/>
      <sz val="18"/>
      <color theme="1"/>
      <name val="Times New Roman"/>
      <family val="1"/>
    </font>
    <font>
      <b/>
      <sz val="19"/>
      <color theme="0"/>
      <name val="Arial"/>
      <family val="2"/>
    </font>
    <font>
      <b/>
      <sz val="16"/>
      <color theme="1"/>
      <name val="Arial"/>
      <family val="2"/>
    </font>
  </fonts>
  <fills count="9">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9"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220">
    <xf numFmtId="0" fontId="0" fillId="0" borderId="0" xfId="0"/>
    <xf numFmtId="0" fontId="0" fillId="0" borderId="0" xfId="0"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0"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vertical="center"/>
    </xf>
    <xf numFmtId="0" fontId="0" fillId="0" borderId="1" xfId="0" applyBorder="1" applyAlignment="1">
      <alignment vertical="center"/>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2" fontId="4" fillId="0"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xf numFmtId="0" fontId="0" fillId="0" borderId="1" xfId="0" applyBorder="1" applyAlignment="1">
      <alignment horizontal="center"/>
    </xf>
    <xf numFmtId="1" fontId="0" fillId="0" borderId="1" xfId="0" applyNumberFormat="1" applyFont="1" applyBorder="1" applyAlignment="1">
      <alignment horizontal="center" vertical="center"/>
    </xf>
    <xf numFmtId="1" fontId="11" fillId="0" borderId="1" xfId="0" applyNumberFormat="1" applyFont="1" applyBorder="1" applyAlignment="1">
      <alignment horizontal="center" vertical="center" wrapText="1"/>
    </xf>
    <xf numFmtId="1" fontId="0" fillId="0" borderId="0" xfId="0" applyNumberFormat="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Fill="1" applyBorder="1" applyAlignment="1">
      <alignment horizontal="center" vertical="center"/>
    </xf>
    <xf numFmtId="0" fontId="0" fillId="0" borderId="0" xfId="0" applyBorder="1" applyAlignment="1">
      <alignment horizontal="center"/>
    </xf>
    <xf numFmtId="0" fontId="0" fillId="0" borderId="2" xfId="0" applyBorder="1" applyAlignment="1">
      <alignment horizontal="center"/>
    </xf>
    <xf numFmtId="2" fontId="0" fillId="0" borderId="1" xfId="0" applyNumberFormat="1" applyBorder="1" applyAlignment="1">
      <alignment horizontal="center" vertical="center"/>
    </xf>
    <xf numFmtId="0" fontId="0" fillId="0" borderId="3" xfId="0" applyBorder="1" applyAlignment="1">
      <alignment horizontal="center"/>
    </xf>
    <xf numFmtId="2" fontId="0" fillId="0" borderId="3" xfId="0" applyNumberFormat="1" applyBorder="1" applyAlignment="1">
      <alignment horizontal="center" vertical="center"/>
    </xf>
    <xf numFmtId="0" fontId="0" fillId="0" borderId="5" xfId="0" applyBorder="1" applyAlignment="1">
      <alignment horizontal="center"/>
    </xf>
    <xf numFmtId="0" fontId="3" fillId="5" borderId="6" xfId="0" applyFont="1" applyFill="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2" fontId="0" fillId="0" borderId="1" xfId="0" applyNumberFormat="1" applyFont="1" applyBorder="1" applyAlignment="1">
      <alignment horizontal="center" vertical="center"/>
    </xf>
    <xf numFmtId="2" fontId="11" fillId="0" borderId="1" xfId="0" applyNumberFormat="1" applyFont="1" applyBorder="1" applyAlignment="1">
      <alignment horizontal="center" vertical="center" wrapText="1"/>
    </xf>
    <xf numFmtId="2" fontId="0" fillId="0" borderId="0" xfId="0" applyNumberFormat="1" applyAlignment="1">
      <alignment horizontal="center" vertical="center"/>
    </xf>
    <xf numFmtId="0" fontId="0" fillId="0" borderId="0" xfId="0" applyAlignment="1">
      <alignment vertical="center"/>
    </xf>
    <xf numFmtId="0" fontId="0" fillId="0" borderId="1" xfId="0" applyBorder="1" applyAlignment="1">
      <alignment horizontal="center" vertical="center" wrapText="1"/>
    </xf>
    <xf numFmtId="0" fontId="0" fillId="0" borderId="5" xfId="0" applyBorder="1" applyAlignment="1">
      <alignment horizontal="center" vertical="center"/>
    </xf>
    <xf numFmtId="0" fontId="14" fillId="0" borderId="0" xfId="0" applyFont="1" applyAlignment="1">
      <alignment vertical="center"/>
    </xf>
    <xf numFmtId="0" fontId="0" fillId="0" borderId="0" xfId="0"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0" fillId="0" borderId="1" xfId="0" applyBorder="1" applyAlignment="1">
      <alignment horizontal="center" vertical="center"/>
    </xf>
    <xf numFmtId="2" fontId="3" fillId="0" borderId="0" xfId="0" applyNumberFormat="1" applyFont="1" applyAlignment="1">
      <alignment horizontal="center" vertical="center"/>
    </xf>
    <xf numFmtId="0" fontId="15" fillId="0" borderId="1" xfId="0" applyFont="1" applyFill="1" applyBorder="1" applyAlignment="1">
      <alignment horizontal="center" vertical="center" wrapText="1"/>
    </xf>
    <xf numFmtId="0" fontId="11" fillId="0" borderId="0" xfId="0" applyFont="1" applyAlignment="1">
      <alignment vertical="center"/>
    </xf>
    <xf numFmtId="0" fontId="17" fillId="0" borderId="0" xfId="0" applyFont="1" applyAlignment="1">
      <alignment vertical="center"/>
    </xf>
    <xf numFmtId="0" fontId="11" fillId="0" borderId="0" xfId="0" applyFont="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0" xfId="0" applyFont="1" applyBorder="1" applyAlignment="1">
      <alignment horizontal="center" vertical="center"/>
    </xf>
    <xf numFmtId="0" fontId="11" fillId="0" borderId="0" xfId="0" applyFont="1" applyFill="1" applyBorder="1" applyAlignment="1">
      <alignment horizontal="center" vertical="center"/>
    </xf>
    <xf numFmtId="0" fontId="7" fillId="0" borderId="0" xfId="0" applyFont="1" applyAlignment="1">
      <alignment vertical="center"/>
    </xf>
    <xf numFmtId="0" fontId="11" fillId="0" borderId="0" xfId="0" applyFont="1" applyFill="1" applyBorder="1" applyAlignment="1">
      <alignment vertical="center"/>
    </xf>
    <xf numFmtId="0" fontId="7" fillId="0" borderId="1" xfId="0" applyFont="1" applyBorder="1" applyAlignment="1">
      <alignment horizontal="center" vertical="center"/>
    </xf>
    <xf numFmtId="0" fontId="10" fillId="2" borderId="1" xfId="0" applyFont="1" applyFill="1" applyBorder="1" applyAlignment="1">
      <alignment horizontal="center" vertical="top"/>
    </xf>
    <xf numFmtId="0" fontId="10" fillId="2" borderId="1" xfId="0" applyFont="1" applyFill="1" applyBorder="1" applyAlignment="1">
      <alignment horizontal="center" vertical="top" wrapText="1"/>
    </xf>
    <xf numFmtId="0" fontId="19" fillId="0" borderId="1" xfId="0" applyFont="1" applyBorder="1" applyAlignment="1">
      <alignment horizontal="center" vertical="center"/>
    </xf>
    <xf numFmtId="0" fontId="19" fillId="0" borderId="1" xfId="0" applyFont="1" applyBorder="1" applyAlignment="1">
      <alignment vertical="center"/>
    </xf>
    <xf numFmtId="0" fontId="10" fillId="2" borderId="1" xfId="0" applyFont="1" applyFill="1" applyBorder="1" applyAlignment="1">
      <alignment horizontal="left" vertical="center" indent="9"/>
    </xf>
    <xf numFmtId="0" fontId="19" fillId="0" borderId="0" xfId="0" applyFont="1" applyAlignment="1">
      <alignment horizontal="center" vertical="center"/>
    </xf>
    <xf numFmtId="0" fontId="19" fillId="0" borderId="0" xfId="0" applyFont="1" applyAlignment="1">
      <alignment vertical="center"/>
    </xf>
    <xf numFmtId="0" fontId="19" fillId="0" borderId="12" xfId="0" applyFont="1" applyBorder="1" applyAlignment="1">
      <alignment horizontal="center" vertical="center"/>
    </xf>
    <xf numFmtId="0" fontId="10" fillId="5" borderId="13" xfId="0" applyFont="1" applyFill="1" applyBorder="1" applyAlignment="1">
      <alignment horizontal="center" vertical="center"/>
    </xf>
    <xf numFmtId="0" fontId="10" fillId="2" borderId="1" xfId="0" applyFont="1" applyFill="1" applyBorder="1" applyAlignment="1">
      <alignment horizontal="left" vertical="center" indent="8"/>
    </xf>
    <xf numFmtId="0" fontId="10" fillId="2" borderId="2" xfId="0" applyFont="1" applyFill="1" applyBorder="1" applyAlignment="1">
      <alignment horizontal="left" vertical="center" indent="8"/>
    </xf>
    <xf numFmtId="1" fontId="10" fillId="2" borderId="2" xfId="0" applyNumberFormat="1" applyFont="1" applyFill="1" applyBorder="1" applyAlignment="1">
      <alignment horizontal="left" vertical="center" indent="7"/>
    </xf>
    <xf numFmtId="0" fontId="10" fillId="2" borderId="4" xfId="0" applyFont="1" applyFill="1" applyBorder="1" applyAlignment="1">
      <alignment horizontal="left" vertical="center" indent="8"/>
    </xf>
    <xf numFmtId="0" fontId="10" fillId="2" borderId="2" xfId="0" applyFont="1" applyFill="1" applyBorder="1" applyAlignment="1">
      <alignment horizontal="left" vertical="center" indent="7"/>
    </xf>
    <xf numFmtId="0" fontId="10" fillId="0" borderId="1" xfId="0" applyFont="1" applyBorder="1" applyAlignment="1">
      <alignment horizontal="center" vertical="center"/>
    </xf>
    <xf numFmtId="0" fontId="10" fillId="0" borderId="1" xfId="0" applyFont="1" applyBorder="1" applyAlignment="1">
      <alignment vertical="center"/>
    </xf>
    <xf numFmtId="2" fontId="10" fillId="0" borderId="1" xfId="0" applyNumberFormat="1" applyFont="1" applyBorder="1" applyAlignment="1">
      <alignment horizontal="center" vertical="center"/>
    </xf>
    <xf numFmtId="0" fontId="10" fillId="0" borderId="1" xfId="0" applyFont="1" applyBorder="1" applyAlignment="1">
      <alignment horizontal="right" vertical="center"/>
    </xf>
    <xf numFmtId="0" fontId="19" fillId="0" borderId="0" xfId="0" applyFont="1" applyFill="1" applyBorder="1" applyAlignment="1">
      <alignment horizontal="center" vertical="center"/>
    </xf>
    <xf numFmtId="0" fontId="19" fillId="0" borderId="0" xfId="0" applyFont="1" applyFill="1" applyBorder="1" applyAlignment="1">
      <alignment vertical="center"/>
    </xf>
    <xf numFmtId="0" fontId="10" fillId="0" borderId="0" xfId="0" applyFont="1" applyFill="1" applyBorder="1" applyAlignment="1">
      <alignment horizontal="center" vertical="center"/>
    </xf>
    <xf numFmtId="0" fontId="19" fillId="0" borderId="0" xfId="0" applyFont="1" applyBorder="1" applyAlignment="1">
      <alignment horizontal="center" vertical="center"/>
    </xf>
    <xf numFmtId="0" fontId="10" fillId="7" borderId="1" xfId="0" applyFont="1" applyFill="1" applyBorder="1" applyAlignment="1">
      <alignment horizontal="center" vertical="top"/>
    </xf>
    <xf numFmtId="0" fontId="10" fillId="7" borderId="1" xfId="0" applyFont="1" applyFill="1" applyBorder="1" applyAlignment="1">
      <alignment horizontal="center" vertical="top" wrapText="1"/>
    </xf>
    <xf numFmtId="0" fontId="19" fillId="3"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10" fillId="0" borderId="0" xfId="0" applyFont="1" applyAlignment="1">
      <alignment vertical="center"/>
    </xf>
    <xf numFmtId="0" fontId="19" fillId="0" borderId="1" xfId="0" applyFont="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Alignment="1">
      <alignment wrapText="1"/>
    </xf>
    <xf numFmtId="0" fontId="0" fillId="0" borderId="0" xfId="0" applyBorder="1"/>
    <xf numFmtId="1" fontId="22" fillId="0" borderId="0" xfId="0" applyNumberFormat="1" applyFont="1" applyFill="1" applyBorder="1" applyAlignment="1">
      <alignment vertical="center"/>
    </xf>
    <xf numFmtId="0" fontId="0" fillId="0" borderId="0" xfId="0" applyAlignment="1"/>
    <xf numFmtId="0" fontId="0" fillId="0" borderId="0" xfId="0" applyFill="1" applyBorder="1"/>
    <xf numFmtId="0" fontId="21" fillId="0" borderId="0" xfId="0" applyFont="1" applyFill="1" applyBorder="1" applyAlignment="1"/>
    <xf numFmtId="0" fontId="11" fillId="0" borderId="1" xfId="0" applyFont="1" applyFill="1" applyBorder="1" applyAlignment="1">
      <alignment horizontal="center" vertical="center" wrapText="1"/>
    </xf>
    <xf numFmtId="1" fontId="10" fillId="0" borderId="3" xfId="0" quotePrefix="1" applyNumberFormat="1" applyFont="1" applyBorder="1" applyAlignment="1">
      <alignment horizontal="center" vertical="center"/>
    </xf>
    <xf numFmtId="0" fontId="10" fillId="0" borderId="1" xfId="0" applyFont="1" applyBorder="1" applyAlignment="1">
      <alignment horizontal="right" vertical="center"/>
    </xf>
    <xf numFmtId="0" fontId="10" fillId="0" borderId="0" xfId="0" applyFont="1" applyBorder="1" applyAlignment="1">
      <alignment horizontal="right" vertical="center"/>
    </xf>
    <xf numFmtId="2" fontId="10" fillId="0" borderId="0" xfId="0" applyNumberFormat="1" applyFont="1" applyBorder="1" applyAlignment="1">
      <alignment horizontal="center" vertical="center"/>
    </xf>
    <xf numFmtId="0" fontId="10" fillId="0" borderId="1" xfId="0" applyFont="1" applyBorder="1" applyAlignment="1">
      <alignment horizontal="right" vertical="center"/>
    </xf>
    <xf numFmtId="0" fontId="10" fillId="2" borderId="1" xfId="0" applyFont="1" applyFill="1" applyBorder="1" applyAlignment="1">
      <alignment horizontal="right" vertical="center"/>
    </xf>
    <xf numFmtId="0" fontId="10" fillId="2" borderId="2" xfId="0" applyFont="1" applyFill="1" applyBorder="1" applyAlignment="1">
      <alignment vertical="center"/>
    </xf>
    <xf numFmtId="1" fontId="10" fillId="0" borderId="3" xfId="0" quotePrefix="1" applyNumberFormat="1" applyFont="1" applyBorder="1" applyAlignment="1">
      <alignment horizontal="right" vertical="center"/>
    </xf>
    <xf numFmtId="1" fontId="10" fillId="2" borderId="2" xfId="0" applyNumberFormat="1" applyFont="1" applyFill="1" applyBorder="1" applyAlignment="1">
      <alignment horizontal="right" vertical="center"/>
    </xf>
    <xf numFmtId="0" fontId="10" fillId="2" borderId="4" xfId="0" applyFont="1" applyFill="1" applyBorder="1" applyAlignment="1">
      <alignment horizontal="right" vertical="center"/>
    </xf>
    <xf numFmtId="0" fontId="10" fillId="2" borderId="2" xfId="0" applyFont="1" applyFill="1" applyBorder="1" applyAlignment="1">
      <alignment horizontal="right" vertical="center"/>
    </xf>
    <xf numFmtId="0" fontId="10" fillId="2" borderId="1" xfId="0" applyFont="1" applyFill="1" applyBorder="1" applyAlignment="1">
      <alignment vertical="center"/>
    </xf>
    <xf numFmtId="0" fontId="10" fillId="2" borderId="1" xfId="0" applyFont="1" applyFill="1" applyBorder="1" applyAlignment="1">
      <alignment horizontal="center"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1" fontId="22" fillId="2" borderId="5" xfId="0" applyNumberFormat="1" applyFont="1" applyFill="1" applyBorder="1" applyAlignment="1">
      <alignment horizontal="center" vertical="center"/>
    </xf>
    <xf numFmtId="1" fontId="22" fillId="2" borderId="10" xfId="0" applyNumberFormat="1" applyFont="1" applyFill="1" applyBorder="1" applyAlignment="1">
      <alignment horizontal="center" vertical="center"/>
    </xf>
    <xf numFmtId="1" fontId="22" fillId="2" borderId="11" xfId="0" applyNumberFormat="1" applyFont="1" applyFill="1" applyBorder="1" applyAlignment="1">
      <alignment horizontal="center" vertical="center"/>
    </xf>
    <xf numFmtId="0" fontId="21" fillId="8" borderId="5" xfId="0" applyFont="1" applyFill="1" applyBorder="1" applyAlignment="1">
      <alignment horizontal="center"/>
    </xf>
    <xf numFmtId="0" fontId="21" fillId="8" borderId="10" xfId="0" applyFont="1" applyFill="1" applyBorder="1" applyAlignment="1">
      <alignment horizontal="center"/>
    </xf>
    <xf numFmtId="0" fontId="21" fillId="8" borderId="11" xfId="0" applyFont="1" applyFill="1" applyBorder="1" applyAlignment="1">
      <alignment horizontal="center"/>
    </xf>
    <xf numFmtId="0" fontId="10" fillId="0" borderId="5"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7" xfId="0" applyFont="1" applyBorder="1" applyAlignment="1">
      <alignment horizontal="left" vertical="center"/>
    </xf>
    <xf numFmtId="0" fontId="10" fillId="0" borderId="0" xfId="0" applyFont="1" applyAlignment="1">
      <alignment horizontal="center" vertical="center"/>
    </xf>
    <xf numFmtId="0" fontId="23" fillId="6" borderId="1" xfId="0" applyFont="1" applyFill="1" applyBorder="1" applyAlignment="1">
      <alignment horizontal="center" vertical="center"/>
    </xf>
    <xf numFmtId="0" fontId="10" fillId="0" borderId="0" xfId="0" applyFont="1" applyAlignment="1">
      <alignment horizontal="left" vertical="center"/>
    </xf>
    <xf numFmtId="0" fontId="10" fillId="2" borderId="1" xfId="0" applyFont="1" applyFill="1" applyBorder="1" applyAlignment="1">
      <alignment horizontal="center" vertical="center"/>
    </xf>
    <xf numFmtId="0" fontId="10" fillId="0" borderId="1" xfId="0" applyFont="1" applyBorder="1" applyAlignment="1">
      <alignment horizontal="right" vertical="center"/>
    </xf>
    <xf numFmtId="2" fontId="10" fillId="0" borderId="5" xfId="0" applyNumberFormat="1" applyFont="1" applyBorder="1" applyAlignment="1">
      <alignment horizontal="center" vertical="center"/>
    </xf>
    <xf numFmtId="2" fontId="10" fillId="0" borderId="10" xfId="0" applyNumberFormat="1" applyFont="1" applyBorder="1" applyAlignment="1">
      <alignment horizontal="center" vertical="center"/>
    </xf>
    <xf numFmtId="2" fontId="10" fillId="0" borderId="11" xfId="0" applyNumberFormat="1" applyFont="1" applyBorder="1" applyAlignment="1">
      <alignment horizontal="center" vertical="center"/>
    </xf>
    <xf numFmtId="0" fontId="20" fillId="6" borderId="1" xfId="0" applyFont="1" applyFill="1" applyBorder="1" applyAlignment="1">
      <alignment horizontal="center" vertical="center"/>
    </xf>
    <xf numFmtId="0" fontId="10" fillId="2" borderId="14" xfId="0" applyFont="1" applyFill="1" applyBorder="1" applyAlignment="1">
      <alignment horizontal="center" vertical="top" wrapText="1"/>
    </xf>
    <xf numFmtId="0" fontId="10" fillId="2" borderId="15" xfId="0" applyFont="1" applyFill="1" applyBorder="1" applyAlignment="1">
      <alignment horizontal="center" vertical="top" wrapText="1"/>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0" fillId="2" borderId="14" xfId="0" applyFont="1" applyFill="1" applyBorder="1" applyAlignment="1">
      <alignment horizontal="right" vertical="center"/>
    </xf>
    <xf numFmtId="0" fontId="10" fillId="2" borderId="15" xfId="0" applyFont="1" applyFill="1" applyBorder="1" applyAlignment="1">
      <alignment horizontal="right"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2" xfId="0" applyFont="1" applyFill="1" applyBorder="1" applyAlignment="1">
      <alignment horizontal="center" vertical="center"/>
    </xf>
    <xf numFmtId="2" fontId="10" fillId="0" borderId="8" xfId="0" applyNumberFormat="1" applyFont="1" applyBorder="1" applyAlignment="1">
      <alignment horizontal="center" vertical="center"/>
    </xf>
    <xf numFmtId="0" fontId="10" fillId="2" borderId="1" xfId="0" applyFont="1" applyFill="1" applyBorder="1" applyAlignment="1">
      <alignment horizontal="right" vertical="center"/>
    </xf>
    <xf numFmtId="2" fontId="10" fillId="0" borderId="8" xfId="0" applyNumberFormat="1" applyFont="1" applyFill="1" applyBorder="1" applyAlignment="1">
      <alignment horizontal="center" vertical="center"/>
    </xf>
    <xf numFmtId="0" fontId="10" fillId="2" borderId="14" xfId="0" applyFont="1" applyFill="1" applyBorder="1" applyAlignment="1">
      <alignment horizontal="center" vertical="center"/>
    </xf>
    <xf numFmtId="0" fontId="10" fillId="2" borderId="15" xfId="0" applyFont="1" applyFill="1" applyBorder="1" applyAlignment="1">
      <alignment horizontal="center" vertical="center"/>
    </xf>
    <xf numFmtId="2" fontId="10" fillId="0" borderId="19" xfId="0" applyNumberFormat="1" applyFont="1" applyBorder="1" applyAlignment="1">
      <alignment horizontal="center" vertical="center"/>
    </xf>
    <xf numFmtId="0" fontId="10" fillId="2" borderId="18" xfId="0" applyFont="1" applyFill="1" applyBorder="1" applyAlignment="1">
      <alignment horizontal="right" vertical="center"/>
    </xf>
    <xf numFmtId="0" fontId="10" fillId="2" borderId="9" xfId="0" applyFont="1" applyFill="1" applyBorder="1" applyAlignment="1">
      <alignment horizontal="right" vertical="center"/>
    </xf>
    <xf numFmtId="0" fontId="10" fillId="2" borderId="18" xfId="0" applyFont="1" applyFill="1" applyBorder="1" applyAlignment="1">
      <alignment horizontal="center" vertical="center"/>
    </xf>
    <xf numFmtId="0" fontId="10" fillId="2" borderId="9" xfId="0" applyFont="1" applyFill="1" applyBorder="1" applyAlignment="1">
      <alignment horizontal="center" vertical="center"/>
    </xf>
    <xf numFmtId="0" fontId="10" fillId="0" borderId="18" xfId="0" applyFont="1" applyBorder="1" applyAlignment="1">
      <alignment horizontal="center" vertical="center"/>
    </xf>
    <xf numFmtId="0" fontId="10" fillId="0" borderId="9" xfId="0" applyFont="1" applyBorder="1" applyAlignment="1">
      <alignment horizontal="center" vertical="center"/>
    </xf>
    <xf numFmtId="1" fontId="10" fillId="0" borderId="18" xfId="0" applyNumberFormat="1" applyFont="1" applyBorder="1" applyAlignment="1">
      <alignment horizontal="center" vertical="center"/>
    </xf>
    <xf numFmtId="1" fontId="10" fillId="0" borderId="9" xfId="0" applyNumberFormat="1" applyFont="1" applyBorder="1" applyAlignment="1">
      <alignment horizontal="center" vertical="center"/>
    </xf>
    <xf numFmtId="0" fontId="3" fillId="4" borderId="1" xfId="0" applyFont="1" applyFill="1" applyBorder="1" applyAlignment="1">
      <alignment horizontal="center" vertic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2" fontId="0" fillId="0" borderId="3" xfId="0" applyNumberFormat="1" applyBorder="1" applyAlignment="1">
      <alignment horizontal="center" vertical="center"/>
    </xf>
    <xf numFmtId="2" fontId="0" fillId="0" borderId="2" xfId="0" applyNumberFormat="1" applyBorder="1" applyAlignment="1">
      <alignment horizontal="center" vertical="center"/>
    </xf>
    <xf numFmtId="2" fontId="0" fillId="0" borderId="4" xfId="0" applyNumberFormat="1" applyBorder="1" applyAlignment="1">
      <alignment horizontal="center" vertical="center"/>
    </xf>
    <xf numFmtId="2" fontId="10" fillId="0" borderId="5" xfId="0" applyNumberFormat="1" applyFont="1" applyBorder="1" applyAlignment="1">
      <alignment horizontal="left" vertical="center" indent="60"/>
    </xf>
    <xf numFmtId="2" fontId="10" fillId="0" borderId="10" xfId="0" applyNumberFormat="1" applyFont="1" applyBorder="1" applyAlignment="1">
      <alignment horizontal="left" vertical="center" indent="60"/>
    </xf>
    <xf numFmtId="2" fontId="10" fillId="0" borderId="11" xfId="0" applyNumberFormat="1" applyFont="1" applyBorder="1" applyAlignment="1">
      <alignment horizontal="left" vertical="center" indent="60"/>
    </xf>
    <xf numFmtId="0" fontId="10" fillId="2" borderId="14" xfId="0" applyFont="1" applyFill="1" applyBorder="1" applyAlignment="1">
      <alignment horizontal="left" vertical="center" indent="14"/>
    </xf>
    <xf numFmtId="0" fontId="10" fillId="2" borderId="15" xfId="0" applyFont="1" applyFill="1" applyBorder="1" applyAlignment="1">
      <alignment horizontal="left" vertical="center" indent="14"/>
    </xf>
    <xf numFmtId="2" fontId="10" fillId="0" borderId="8" xfId="0" applyNumberFormat="1" applyFont="1" applyBorder="1" applyAlignment="1">
      <alignment horizontal="left" vertical="center" indent="58"/>
    </xf>
    <xf numFmtId="2" fontId="10" fillId="0" borderId="19" xfId="0" applyNumberFormat="1" applyFont="1" applyBorder="1" applyAlignment="1">
      <alignment horizontal="left" vertical="center" indent="57"/>
    </xf>
    <xf numFmtId="0" fontId="10" fillId="2" borderId="18" xfId="0" applyFont="1" applyFill="1" applyBorder="1" applyAlignment="1">
      <alignment horizontal="left" vertical="center" indent="15"/>
    </xf>
    <xf numFmtId="0" fontId="10" fillId="2" borderId="9" xfId="0" applyFont="1" applyFill="1" applyBorder="1" applyAlignment="1">
      <alignment horizontal="left" vertical="center" indent="15"/>
    </xf>
    <xf numFmtId="2" fontId="10" fillId="0" borderId="5" xfId="0" applyNumberFormat="1" applyFont="1" applyBorder="1" applyAlignment="1">
      <alignment horizontal="left" vertical="center" indent="57"/>
    </xf>
    <xf numFmtId="2" fontId="10" fillId="0" borderId="10" xfId="0" applyNumberFormat="1" applyFont="1" applyBorder="1" applyAlignment="1">
      <alignment horizontal="left" vertical="center" indent="57"/>
    </xf>
    <xf numFmtId="2" fontId="10" fillId="0" borderId="11" xfId="0" applyNumberFormat="1" applyFont="1" applyBorder="1" applyAlignment="1">
      <alignment horizontal="left" vertical="center" indent="57"/>
    </xf>
    <xf numFmtId="0" fontId="10" fillId="2" borderId="14" xfId="0" applyFont="1" applyFill="1" applyBorder="1" applyAlignment="1">
      <alignment horizontal="left" vertical="center" indent="15"/>
    </xf>
    <xf numFmtId="0" fontId="10" fillId="2" borderId="15" xfId="0" applyFont="1" applyFill="1" applyBorder="1" applyAlignment="1">
      <alignment horizontal="left" vertical="center" indent="15"/>
    </xf>
    <xf numFmtId="0" fontId="10" fillId="2" borderId="1" xfId="0" applyFont="1" applyFill="1" applyBorder="1" applyAlignment="1">
      <alignment horizontal="left" vertical="center" indent="15"/>
    </xf>
    <xf numFmtId="2" fontId="10" fillId="0" borderId="8" xfId="0" applyNumberFormat="1" applyFont="1" applyBorder="1" applyAlignment="1">
      <alignment horizontal="left" vertical="center" indent="60"/>
    </xf>
    <xf numFmtId="0" fontId="10" fillId="2" borderId="16" xfId="0" applyFont="1" applyFill="1" applyBorder="1" applyAlignment="1">
      <alignment horizontal="left" vertical="center" indent="15"/>
    </xf>
    <xf numFmtId="0" fontId="10" fillId="2" borderId="17" xfId="0" applyFont="1" applyFill="1" applyBorder="1" applyAlignment="1">
      <alignment horizontal="left" vertical="center" indent="15"/>
    </xf>
    <xf numFmtId="0" fontId="10" fillId="0" borderId="0" xfId="0" applyFont="1" applyAlignment="1">
      <alignment horizontal="left" vertical="center" indent="59"/>
    </xf>
    <xf numFmtId="2" fontId="10" fillId="0" borderId="8" xfId="0" applyNumberFormat="1" applyFont="1" applyFill="1" applyBorder="1" applyAlignment="1">
      <alignment horizontal="left" vertical="center" indent="60"/>
    </xf>
    <xf numFmtId="0" fontId="10" fillId="2" borderId="16" xfId="0" applyFont="1" applyFill="1" applyBorder="1" applyAlignment="1">
      <alignment horizontal="left" vertical="center" indent="16"/>
    </xf>
    <xf numFmtId="0" fontId="10" fillId="2" borderId="17" xfId="0" applyFont="1" applyFill="1" applyBorder="1" applyAlignment="1">
      <alignment horizontal="left" vertical="center" indent="16"/>
    </xf>
    <xf numFmtId="2" fontId="10" fillId="0" borderId="5" xfId="0" applyNumberFormat="1" applyFont="1" applyBorder="1" applyAlignment="1">
      <alignment horizontal="left" vertical="center" indent="61"/>
    </xf>
    <xf numFmtId="2" fontId="10" fillId="0" borderId="10" xfId="0" applyNumberFormat="1" applyFont="1" applyBorder="1" applyAlignment="1">
      <alignment horizontal="left" vertical="center" indent="61"/>
    </xf>
    <xf numFmtId="2" fontId="10" fillId="0" borderId="11" xfId="0" applyNumberFormat="1" applyFont="1" applyBorder="1" applyAlignment="1">
      <alignment horizontal="left" vertical="center" indent="61"/>
    </xf>
    <xf numFmtId="0" fontId="18" fillId="6" borderId="1" xfId="0" applyFont="1" applyFill="1" applyBorder="1" applyAlignment="1">
      <alignment horizontal="center" vertical="center"/>
    </xf>
    <xf numFmtId="0" fontId="24" fillId="0" borderId="5" xfId="0" applyFont="1" applyBorder="1" applyAlignment="1">
      <alignment horizontal="center" vertical="center"/>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6" fillId="0" borderId="7" xfId="0" applyFont="1" applyBorder="1" applyAlignment="1">
      <alignment horizontal="left" vertical="center"/>
    </xf>
    <xf numFmtId="0" fontId="6" fillId="0" borderId="0" xfId="0" applyFont="1" applyAlignment="1">
      <alignment horizontal="center" vertical="center"/>
    </xf>
    <xf numFmtId="0" fontId="16" fillId="6" borderId="1" xfId="0" applyFont="1" applyFill="1" applyBorder="1" applyAlignment="1">
      <alignment horizontal="center" vertical="center"/>
    </xf>
    <xf numFmtId="0" fontId="6" fillId="0" borderId="0" xfId="0" applyFont="1" applyAlignment="1">
      <alignment horizontal="left" vertical="center"/>
    </xf>
    <xf numFmtId="2" fontId="10" fillId="0" borderId="5" xfId="0" applyNumberFormat="1" applyFont="1" applyBorder="1" applyAlignment="1">
      <alignment horizontal="left" vertical="center" indent="48"/>
    </xf>
    <xf numFmtId="2" fontId="10" fillId="0" borderId="10" xfId="0" applyNumberFormat="1" applyFont="1" applyBorder="1" applyAlignment="1">
      <alignment horizontal="left" vertical="center" indent="48"/>
    </xf>
    <xf numFmtId="2" fontId="10" fillId="0" borderId="11" xfId="0" applyNumberFormat="1" applyFont="1" applyBorder="1" applyAlignment="1">
      <alignment horizontal="left" vertical="center" indent="48"/>
    </xf>
    <xf numFmtId="0" fontId="10" fillId="0" borderId="8"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3" fillId="6" borderId="1" xfId="0" applyFont="1" applyFill="1" applyBorder="1" applyAlignment="1">
      <alignment horizontal="center" vertical="center"/>
    </xf>
    <xf numFmtId="0" fontId="12" fillId="0" borderId="0" xfId="0" applyFont="1" applyAlignment="1">
      <alignment horizontal="left" vertical="center"/>
    </xf>
    <xf numFmtId="0" fontId="12" fillId="0" borderId="7" xfId="0" applyFont="1" applyBorder="1" applyAlignment="1">
      <alignment horizontal="left" vertical="center"/>
    </xf>
    <xf numFmtId="0" fontId="12" fillId="0" borderId="0" xfId="0" applyFont="1" applyAlignment="1">
      <alignment horizontal="center" vertical="center"/>
    </xf>
  </cellXfs>
  <cellStyles count="1">
    <cellStyle name="Normal" xfId="0" builtinId="0"/>
  </cellStyles>
  <dxfs count="11">
    <dxf>
      <alignment wrapText="1" readingOrder="0"/>
    </dxf>
    <dxf>
      <alignment wrapText="1" readingOrder="0"/>
    </dxf>
    <dxf>
      <alignment wrapText="0" readingOrder="0"/>
    </dxf>
    <dxf>
      <alignment wrapText="0" readingOrder="0"/>
    </dxf>
    <dxf>
      <alignment wrapText="1" readingOrder="0"/>
    </dxf>
    <dxf>
      <alignment wrapText="1" readingOrder="0"/>
    </dxf>
    <dxf>
      <numFmt numFmtId="2" formatCode="0.00"/>
    </dxf>
    <dxf>
      <numFmt numFmtId="2" formatCode="0.00"/>
    </dxf>
    <dxf>
      <numFmt numFmtId="2" formatCode="0.00"/>
    </dxf>
    <dxf>
      <alignment wrapText="1"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(Recovered).xlsx]Affiliated(55m)!PivotTable4</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'Affiliated(55m)'!$G$63</c:f>
              <c:strCache>
                <c:ptCount val="1"/>
                <c:pt idx="0">
                  <c:v>Total</c:v>
                </c:pt>
              </c:strCache>
            </c:strRef>
          </c:tx>
          <c:spPr>
            <a:solidFill>
              <a:schemeClr val="accent1"/>
            </a:solidFill>
            <a:ln>
              <a:noFill/>
            </a:ln>
            <a:effectLst/>
          </c:spPr>
          <c:invertIfNegative val="0"/>
          <c:cat>
            <c:strRef>
              <c:f>'Affiliated(55m)'!$F$64:$F$71</c:f>
              <c:strCache>
                <c:ptCount val="7"/>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strCache>
            </c:strRef>
          </c:cat>
          <c:val>
            <c:numRef>
              <c:f>'Affiliated(55m)'!$G$64:$G$71</c:f>
              <c:numCache>
                <c:formatCode>General</c:formatCode>
                <c:ptCount val="7"/>
                <c:pt idx="0">
                  <c:v>0.66666666666666663</c:v>
                </c:pt>
                <c:pt idx="1">
                  <c:v>2</c:v>
                </c:pt>
                <c:pt idx="2">
                  <c:v>0.77777777777777779</c:v>
                </c:pt>
                <c:pt idx="3">
                  <c:v>1</c:v>
                </c:pt>
                <c:pt idx="4">
                  <c:v>1.8888888888888888</c:v>
                </c:pt>
                <c:pt idx="5">
                  <c:v>0.77777777777777779</c:v>
                </c:pt>
                <c:pt idx="6">
                  <c:v>1</c:v>
                </c:pt>
              </c:numCache>
            </c:numRef>
          </c:val>
          <c:extLst>
            <c:ext xmlns:c16="http://schemas.microsoft.com/office/drawing/2014/chart" uri="{C3380CC4-5D6E-409C-BE32-E72D297353CC}">
              <c16:uniqueId val="{00000000-33CD-4E9A-B1E3-C41C5F418CCE}"/>
            </c:ext>
          </c:extLst>
        </c:ser>
        <c:dLbls>
          <c:showLegendKey val="0"/>
          <c:showVal val="0"/>
          <c:showCatName val="0"/>
          <c:showSerName val="0"/>
          <c:showPercent val="0"/>
          <c:showBubbleSize val="0"/>
        </c:dLbls>
        <c:gapWidth val="219"/>
        <c:overlap val="-27"/>
        <c:axId val="504057520"/>
        <c:axId val="504055024"/>
      </c:barChart>
      <c:catAx>
        <c:axId val="50405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4055024"/>
        <c:crosses val="autoZero"/>
        <c:auto val="1"/>
        <c:lblAlgn val="ctr"/>
        <c:lblOffset val="100"/>
        <c:noMultiLvlLbl val="0"/>
      </c:catAx>
      <c:valAx>
        <c:axId val="5040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4057520"/>
        <c:crosses val="autoZero"/>
        <c:crossBetween val="between"/>
      </c:valAx>
      <c:spPr>
        <a:noFill/>
        <a:ln>
          <a:noFill/>
        </a:ln>
        <a:effectLst/>
      </c:spPr>
    </c:plotArea>
    <c:legend>
      <c:legendPos val="b"/>
      <c:layout>
        <c:manualLayout>
          <c:xMode val="edge"/>
          <c:yMode val="edge"/>
          <c:x val="0.46279640751472051"/>
          <c:y val="0.9015323811267778"/>
          <c:w val="7.7811497318636139E-2"/>
          <c:h val="6.44005981810413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(Recovered).xlsx]Affiliated(55m)!PivotTable5</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Grade Points(0-4)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'Affiliated(55m)'!$G$84</c:f>
              <c:strCache>
                <c:ptCount val="1"/>
                <c:pt idx="0">
                  <c:v>Total</c:v>
                </c:pt>
              </c:strCache>
            </c:strRef>
          </c:tx>
          <c:spPr>
            <a:solidFill>
              <a:schemeClr val="accent1"/>
            </a:solidFill>
            <a:ln>
              <a:noFill/>
            </a:ln>
            <a:effectLst/>
          </c:spPr>
          <c:invertIfNegative val="0"/>
          <c:cat>
            <c:strRef>
              <c:f>'Affiliated(55m)'!$F$85:$F$117</c:f>
              <c:strCache>
                <c:ptCount val="32"/>
                <c:pt idx="0">
                  <c:v>1.1 Curriculum Planning and Implementation</c:v>
                </c:pt>
                <c:pt idx="1">
                  <c:v>1.2 Academic Flexibility</c:v>
                </c:pt>
                <c:pt idx="2">
                  <c:v>1.3 Curriculum Enrichment</c:v>
                </c:pt>
                <c:pt idx="3">
                  <c:v>1.4 Feedback System</c:v>
                </c:pt>
                <c:pt idx="4">
                  <c:v>2.1 Student Enrolment and Profile</c:v>
                </c:pt>
                <c:pt idx="5">
                  <c:v>2.2 Student Teacher Ratio</c:v>
                </c:pt>
                <c:pt idx="6">
                  <c:v>2.3 Teaching Learning Process</c:v>
                </c:pt>
                <c:pt idx="7">
                  <c:v>2.4 Teacher Profile and Quality</c:v>
                </c:pt>
                <c:pt idx="8">
                  <c:v>2.5 Evaluation Process and Reforms</c:v>
                </c:pt>
                <c:pt idx="9">
                  <c:v>2.6 Student Performance and Learning Outcomes</c:v>
                </c:pt>
                <c:pt idx="10">
                  <c:v>2.7 Student Satisfaction Survey</c:v>
                </c:pt>
                <c:pt idx="11">
                  <c:v>3.1 Resource Mobilization for Research</c:v>
                </c:pt>
                <c:pt idx="12">
                  <c:v>3.2 Innovation Ecosystem</c:v>
                </c:pt>
                <c:pt idx="13">
                  <c:v>3.3 Research Publications and Awards</c:v>
                </c:pt>
                <c:pt idx="14">
                  <c:v>3.4 Extension Activities</c:v>
                </c:pt>
                <c:pt idx="15">
                  <c:v>3.5 Collaboration</c:v>
                </c:pt>
                <c:pt idx="16">
                  <c:v>4.1 Physical Facilities</c:v>
                </c:pt>
                <c:pt idx="17">
                  <c:v>4.2 Library as a Learning Resource</c:v>
                </c:pt>
                <c:pt idx="18">
                  <c:v>4.3 IT Infrastructure</c:v>
                </c:pt>
                <c:pt idx="19">
                  <c:v>4.4 Maintenance of Campus Infrastructure</c:v>
                </c:pt>
                <c:pt idx="20">
                  <c:v>5.1 Student Support</c:v>
                </c:pt>
                <c:pt idx="21">
                  <c:v>5.2 Student Progression</c:v>
                </c:pt>
                <c:pt idx="22">
                  <c:v>5.3 Student Participation and Activities</c:v>
                </c:pt>
                <c:pt idx="23">
                  <c:v>5.4 Alumni Engagement</c:v>
                </c:pt>
                <c:pt idx="24">
                  <c:v>6.1 Institutional Vision and Leadership</c:v>
                </c:pt>
                <c:pt idx="25">
                  <c:v>6.2 Strategy Development and Deployment</c:v>
                </c:pt>
                <c:pt idx="26">
                  <c:v>6.3 Faculty Empowerment Strategies</c:v>
                </c:pt>
                <c:pt idx="27">
                  <c:v>6.4 Financial Management and Resource Mobilization</c:v>
                </c:pt>
                <c:pt idx="28">
                  <c:v>6.5 Internal Quality Assurance System (IQAS)</c:v>
                </c:pt>
                <c:pt idx="29">
                  <c:v>7.1 Institutional Values and Social Responsibilities</c:v>
                </c:pt>
                <c:pt idx="30">
                  <c:v>7.2 Best Practices</c:v>
                </c:pt>
                <c:pt idx="31">
                  <c:v>7.3 Institutional Distinctiveness</c:v>
                </c:pt>
              </c:strCache>
            </c:strRef>
          </c:cat>
          <c:val>
            <c:numRef>
              <c:f>'Affiliated(55m)'!$G$85:$G$117</c:f>
              <c:numCache>
                <c:formatCode>General</c:formatCode>
                <c:ptCount val="32"/>
                <c:pt idx="0">
                  <c:v>0</c:v>
                </c:pt>
                <c:pt idx="1">
                  <c:v>0</c:v>
                </c:pt>
                <c:pt idx="2">
                  <c:v>0</c:v>
                </c:pt>
                <c:pt idx="3">
                  <c:v>4</c:v>
                </c:pt>
                <c:pt idx="4">
                  <c:v>3.5</c:v>
                </c:pt>
                <c:pt idx="5">
                  <c:v>3</c:v>
                </c:pt>
                <c:pt idx="6">
                  <c:v>0</c:v>
                </c:pt>
                <c:pt idx="7">
                  <c:v>2.5</c:v>
                </c:pt>
                <c:pt idx="8">
                  <c:v>0</c:v>
                </c:pt>
                <c:pt idx="9">
                  <c:v>2</c:v>
                </c:pt>
                <c:pt idx="10">
                  <c:v>1</c:v>
                </c:pt>
                <c:pt idx="11">
                  <c:v>0</c:v>
                </c:pt>
                <c:pt idx="12">
                  <c:v>0.5</c:v>
                </c:pt>
                <c:pt idx="13">
                  <c:v>1</c:v>
                </c:pt>
                <c:pt idx="14">
                  <c:v>1.3333333333333333</c:v>
                </c:pt>
                <c:pt idx="15">
                  <c:v>0</c:v>
                </c:pt>
                <c:pt idx="16">
                  <c:v>2</c:v>
                </c:pt>
                <c:pt idx="17">
                  <c:v>0</c:v>
                </c:pt>
                <c:pt idx="18">
                  <c:v>1</c:v>
                </c:pt>
                <c:pt idx="19">
                  <c:v>0</c:v>
                </c:pt>
                <c:pt idx="20">
                  <c:v>2.25</c:v>
                </c:pt>
                <c:pt idx="21">
                  <c:v>3.5</c:v>
                </c:pt>
                <c:pt idx="22">
                  <c:v>0.5</c:v>
                </c:pt>
                <c:pt idx="23">
                  <c:v>0</c:v>
                </c:pt>
                <c:pt idx="24">
                  <c:v>0</c:v>
                </c:pt>
                <c:pt idx="25">
                  <c:v>2</c:v>
                </c:pt>
                <c:pt idx="26">
                  <c:v>0</c:v>
                </c:pt>
                <c:pt idx="27">
                  <c:v>0</c:v>
                </c:pt>
                <c:pt idx="28">
                  <c:v>1.5</c:v>
                </c:pt>
                <c:pt idx="29">
                  <c:v>1.5</c:v>
                </c:pt>
                <c:pt idx="30">
                  <c:v>0</c:v>
                </c:pt>
                <c:pt idx="31">
                  <c:v>0</c:v>
                </c:pt>
              </c:numCache>
            </c:numRef>
          </c:val>
          <c:extLst>
            <c:ext xmlns:c16="http://schemas.microsoft.com/office/drawing/2014/chart" uri="{C3380CC4-5D6E-409C-BE32-E72D297353CC}">
              <c16:uniqueId val="{00000000-FC85-408A-9FF9-B7388071D4A9}"/>
            </c:ext>
          </c:extLst>
        </c:ser>
        <c:dLbls>
          <c:showLegendKey val="0"/>
          <c:showVal val="0"/>
          <c:showCatName val="0"/>
          <c:showSerName val="0"/>
          <c:showPercent val="0"/>
          <c:showBubbleSize val="0"/>
        </c:dLbls>
        <c:gapWidth val="219"/>
        <c:overlap val="-27"/>
        <c:axId val="597878688"/>
        <c:axId val="597884096"/>
      </c:barChart>
      <c:catAx>
        <c:axId val="5978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84096"/>
        <c:crosses val="autoZero"/>
        <c:auto val="1"/>
        <c:lblAlgn val="ctr"/>
        <c:lblOffset val="100"/>
        <c:noMultiLvlLbl val="0"/>
      </c:catAx>
      <c:valAx>
        <c:axId val="59788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78688"/>
        <c:crosses val="autoZero"/>
        <c:crossBetween val="between"/>
      </c:valAx>
      <c:spPr>
        <a:noFill/>
        <a:ln>
          <a:noFill/>
        </a:ln>
        <a:effectLst/>
      </c:spPr>
    </c:plotArea>
    <c:legend>
      <c:legendPos val="b"/>
      <c:layout>
        <c:manualLayout>
          <c:xMode val="edge"/>
          <c:yMode val="edge"/>
          <c:x val="0.46059187110281735"/>
          <c:y val="0.88238589967920678"/>
          <c:w val="7.7586651055782802E-2"/>
          <c:h val="5.35116217205223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(Recovered).xlsx]Affiliated(55m)!PivotTable6</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QnM/QlM Wise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'Affiliated(55m)'!$G$120</c:f>
              <c:strCache>
                <c:ptCount val="1"/>
                <c:pt idx="0">
                  <c:v>Total</c:v>
                </c:pt>
              </c:strCache>
            </c:strRef>
          </c:tx>
          <c:spPr>
            <a:solidFill>
              <a:schemeClr val="accent1"/>
            </a:solidFill>
            <a:ln>
              <a:noFill/>
            </a:ln>
            <a:effectLst/>
          </c:spPr>
          <c:invertIfNegative val="0"/>
          <c:cat>
            <c:strRef>
              <c:f>'Affiliated(55m)'!$F$121:$F$123</c:f>
              <c:strCache>
                <c:ptCount val="2"/>
                <c:pt idx="0">
                  <c:v>QlM</c:v>
                </c:pt>
                <c:pt idx="1">
                  <c:v>QnM</c:v>
                </c:pt>
              </c:strCache>
            </c:strRef>
          </c:cat>
          <c:val>
            <c:numRef>
              <c:f>'Affiliated(55m)'!$G$121:$G$123</c:f>
              <c:numCache>
                <c:formatCode>General</c:formatCode>
                <c:ptCount val="2"/>
                <c:pt idx="0">
                  <c:v>0</c:v>
                </c:pt>
                <c:pt idx="1">
                  <c:v>1.9705882352941178</c:v>
                </c:pt>
              </c:numCache>
            </c:numRef>
          </c:val>
          <c:extLst>
            <c:ext xmlns:c16="http://schemas.microsoft.com/office/drawing/2014/chart" uri="{C3380CC4-5D6E-409C-BE32-E72D297353CC}">
              <c16:uniqueId val="{00000000-DE40-45AE-B6A2-CB2F7F50B448}"/>
            </c:ext>
          </c:extLst>
        </c:ser>
        <c:dLbls>
          <c:showLegendKey val="0"/>
          <c:showVal val="0"/>
          <c:showCatName val="0"/>
          <c:showSerName val="0"/>
          <c:showPercent val="0"/>
          <c:showBubbleSize val="0"/>
        </c:dLbls>
        <c:gapWidth val="219"/>
        <c:overlap val="-27"/>
        <c:axId val="660644240"/>
        <c:axId val="660639664"/>
      </c:barChart>
      <c:catAx>
        <c:axId val="66064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39664"/>
        <c:crosses val="autoZero"/>
        <c:auto val="1"/>
        <c:lblAlgn val="ctr"/>
        <c:lblOffset val="100"/>
        <c:noMultiLvlLbl val="0"/>
      </c:catAx>
      <c:valAx>
        <c:axId val="66063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44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(Recovered).xlsx]Affiliated(55m)!PivotTable7</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Each Metric Wise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'Affiliated(55m)'!$G$126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'Affiliated(55m)'!$F$127:$F$182</c:f>
              <c:strCache>
                <c:ptCount val="55"/>
                <c:pt idx="0">
                  <c:v>1.1.1</c:v>
                </c:pt>
                <c:pt idx="1">
                  <c:v>1.2.1</c:v>
                </c:pt>
                <c:pt idx="2">
                  <c:v>1.2.2</c:v>
                </c:pt>
                <c:pt idx="3">
                  <c:v>1.3.1</c:v>
                </c:pt>
                <c:pt idx="4">
                  <c:v>1.3.2</c:v>
                </c:pt>
                <c:pt idx="5">
                  <c:v>1.4.1</c:v>
                </c:pt>
                <c:pt idx="6">
                  <c:v>2.1.1</c:v>
                </c:pt>
                <c:pt idx="7">
                  <c:v>2.1.2</c:v>
                </c:pt>
                <c:pt idx="8">
                  <c:v>2.2.1</c:v>
                </c:pt>
                <c:pt idx="9">
                  <c:v>2.3.1</c:v>
                </c:pt>
                <c:pt idx="10">
                  <c:v>2.4.1</c:v>
                </c:pt>
                <c:pt idx="11">
                  <c:v>2.4.2</c:v>
                </c:pt>
                <c:pt idx="12">
                  <c:v>2.5.1</c:v>
                </c:pt>
                <c:pt idx="13">
                  <c:v>2.6.1</c:v>
                </c:pt>
                <c:pt idx="14">
                  <c:v>2.6.2</c:v>
                </c:pt>
                <c:pt idx="15">
                  <c:v>2.7.1</c:v>
                </c:pt>
                <c:pt idx="16">
                  <c:v>3.1.1</c:v>
                </c:pt>
                <c:pt idx="17">
                  <c:v>3.2.1</c:v>
                </c:pt>
                <c:pt idx="18">
                  <c:v>3.2.2</c:v>
                </c:pt>
                <c:pt idx="19">
                  <c:v>3.3.1</c:v>
                </c:pt>
                <c:pt idx="20">
                  <c:v>3.3.2</c:v>
                </c:pt>
                <c:pt idx="21">
                  <c:v>3.4.1</c:v>
                </c:pt>
                <c:pt idx="22">
                  <c:v>3.4.2</c:v>
                </c:pt>
                <c:pt idx="23">
                  <c:v>3.4.3</c:v>
                </c:pt>
                <c:pt idx="24">
                  <c:v>3.5.1</c:v>
                </c:pt>
                <c:pt idx="25">
                  <c:v>4.1.1</c:v>
                </c:pt>
                <c:pt idx="26">
                  <c:v>4.1.2</c:v>
                </c:pt>
                <c:pt idx="27">
                  <c:v>4.2.1</c:v>
                </c:pt>
                <c:pt idx="28">
                  <c:v>4.3.1</c:v>
                </c:pt>
                <c:pt idx="29">
                  <c:v>4.3.2</c:v>
                </c:pt>
                <c:pt idx="30">
                  <c:v>4.4.1</c:v>
                </c:pt>
                <c:pt idx="31">
                  <c:v>5.1.1</c:v>
                </c:pt>
                <c:pt idx="32">
                  <c:v>5.1.2</c:v>
                </c:pt>
                <c:pt idx="33">
                  <c:v>5.1.3</c:v>
                </c:pt>
                <c:pt idx="34">
                  <c:v>5.1.4</c:v>
                </c:pt>
                <c:pt idx="35">
                  <c:v>5.2.1</c:v>
                </c:pt>
                <c:pt idx="36">
                  <c:v>5.2.2</c:v>
                </c:pt>
                <c:pt idx="37">
                  <c:v>5.3.1</c:v>
                </c:pt>
                <c:pt idx="38">
                  <c:v>5.3.2</c:v>
                </c:pt>
                <c:pt idx="39">
                  <c:v>5.4.1</c:v>
                </c:pt>
                <c:pt idx="40">
                  <c:v>6.1.1</c:v>
                </c:pt>
                <c:pt idx="41">
                  <c:v>6.2.1</c:v>
                </c:pt>
                <c:pt idx="42">
                  <c:v>6.2.2</c:v>
                </c:pt>
                <c:pt idx="43">
                  <c:v>6.3.1</c:v>
                </c:pt>
                <c:pt idx="44">
                  <c:v>6.3.2</c:v>
                </c:pt>
                <c:pt idx="45">
                  <c:v>6.3.3</c:v>
                </c:pt>
                <c:pt idx="46">
                  <c:v>6.4.1</c:v>
                </c:pt>
                <c:pt idx="47">
                  <c:v>6.5.1</c:v>
                </c:pt>
                <c:pt idx="48">
                  <c:v>6.5.2</c:v>
                </c:pt>
                <c:pt idx="49">
                  <c:v>7.1.1</c:v>
                </c:pt>
                <c:pt idx="50">
                  <c:v>7.1.2</c:v>
                </c:pt>
                <c:pt idx="51">
                  <c:v>7.1.3</c:v>
                </c:pt>
                <c:pt idx="52">
                  <c:v>7.1.4</c:v>
                </c:pt>
                <c:pt idx="53">
                  <c:v>7.2.1</c:v>
                </c:pt>
                <c:pt idx="54">
                  <c:v>7.3.1</c:v>
                </c:pt>
              </c:strCache>
            </c:strRef>
          </c:cat>
          <c:val>
            <c:numRef>
              <c:f>'Affiliated(55m)'!$G$127:$G$182</c:f>
              <c:numCache>
                <c:formatCode>General</c:formatCode>
                <c:ptCount val="55"/>
                <c:pt idx="0">
                  <c:v>0</c:v>
                </c:pt>
                <c:pt idx="1">
                  <c:v>0</c:v>
                </c:pt>
                <c:pt idx="2">
                  <c:v>0</c:v>
                </c:pt>
                <c:pt idx="3">
                  <c:v>0</c:v>
                </c:pt>
                <c:pt idx="4">
                  <c:v>0</c:v>
                </c:pt>
                <c:pt idx="5">
                  <c:v>4</c:v>
                </c:pt>
                <c:pt idx="6">
                  <c:v>3</c:v>
                </c:pt>
                <c:pt idx="7">
                  <c:v>4</c:v>
                </c:pt>
                <c:pt idx="8">
                  <c:v>3</c:v>
                </c:pt>
                <c:pt idx="9">
                  <c:v>0</c:v>
                </c:pt>
                <c:pt idx="10">
                  <c:v>4</c:v>
                </c:pt>
                <c:pt idx="11">
                  <c:v>1</c:v>
                </c:pt>
                <c:pt idx="12">
                  <c:v>0</c:v>
                </c:pt>
                <c:pt idx="13">
                  <c:v>0</c:v>
                </c:pt>
                <c:pt idx="14">
                  <c:v>4</c:v>
                </c:pt>
                <c:pt idx="15">
                  <c:v>1</c:v>
                </c:pt>
                <c:pt idx="16">
                  <c:v>0</c:v>
                </c:pt>
                <c:pt idx="17">
                  <c:v>0</c:v>
                </c:pt>
                <c:pt idx="18">
                  <c:v>1</c:v>
                </c:pt>
                <c:pt idx="19">
                  <c:v>0</c:v>
                </c:pt>
                <c:pt idx="20">
                  <c:v>2</c:v>
                </c:pt>
                <c:pt idx="21">
                  <c:v>0</c:v>
                </c:pt>
                <c:pt idx="22">
                  <c:v>0</c:v>
                </c:pt>
                <c:pt idx="23">
                  <c:v>4</c:v>
                </c:pt>
                <c:pt idx="24">
                  <c:v>0</c:v>
                </c:pt>
                <c:pt idx="25">
                  <c:v>0</c:v>
                </c:pt>
                <c:pt idx="26">
                  <c:v>4</c:v>
                </c:pt>
                <c:pt idx="27">
                  <c:v>0</c:v>
                </c:pt>
                <c:pt idx="28">
                  <c:v>0</c:v>
                </c:pt>
                <c:pt idx="29">
                  <c:v>2</c:v>
                </c:pt>
                <c:pt idx="30">
                  <c:v>0</c:v>
                </c:pt>
                <c:pt idx="31">
                  <c:v>3</c:v>
                </c:pt>
                <c:pt idx="32">
                  <c:v>2</c:v>
                </c:pt>
                <c:pt idx="33">
                  <c:v>0</c:v>
                </c:pt>
                <c:pt idx="34">
                  <c:v>4</c:v>
                </c:pt>
                <c:pt idx="35">
                  <c:v>3</c:v>
                </c:pt>
                <c:pt idx="36">
                  <c:v>4</c:v>
                </c:pt>
                <c:pt idx="37">
                  <c:v>0</c:v>
                </c:pt>
                <c:pt idx="38">
                  <c:v>1</c:v>
                </c:pt>
                <c:pt idx="39">
                  <c:v>0</c:v>
                </c:pt>
                <c:pt idx="40">
                  <c:v>0</c:v>
                </c:pt>
                <c:pt idx="41">
                  <c:v>0</c:v>
                </c:pt>
                <c:pt idx="42">
                  <c:v>4</c:v>
                </c:pt>
                <c:pt idx="43">
                  <c:v>0</c:v>
                </c:pt>
                <c:pt idx="44">
                  <c:v>0</c:v>
                </c:pt>
                <c:pt idx="45">
                  <c:v>0</c:v>
                </c:pt>
                <c:pt idx="46">
                  <c:v>0</c:v>
                </c:pt>
                <c:pt idx="47">
                  <c:v>0</c:v>
                </c:pt>
                <c:pt idx="48">
                  <c:v>3</c:v>
                </c:pt>
                <c:pt idx="49">
                  <c:v>0</c:v>
                </c:pt>
                <c:pt idx="50">
                  <c:v>4</c:v>
                </c:pt>
                <c:pt idx="51">
                  <c:v>2</c:v>
                </c:pt>
                <c:pt idx="52">
                  <c:v>0</c:v>
                </c:pt>
                <c:pt idx="53">
                  <c:v>0</c:v>
                </c:pt>
                <c:pt idx="54">
                  <c:v>0</c:v>
                </c:pt>
              </c:numCache>
            </c:numRef>
          </c:val>
          <c:extLst>
            <c:ext xmlns:c16="http://schemas.microsoft.com/office/drawing/2014/chart" uri="{C3380CC4-5D6E-409C-BE32-E72D297353CC}">
              <c16:uniqueId val="{00000000-DDA6-4018-9593-77533297B8C7}"/>
            </c:ext>
          </c:extLst>
        </c:ser>
        <c:dLbls>
          <c:showLegendKey val="0"/>
          <c:showVal val="0"/>
          <c:showCatName val="0"/>
          <c:showSerName val="0"/>
          <c:showPercent val="0"/>
          <c:showBubbleSize val="0"/>
        </c:dLbls>
        <c:gapWidth val="219"/>
        <c:overlap val="-27"/>
        <c:axId val="660631760"/>
        <c:axId val="660623024"/>
      </c:barChart>
      <c:catAx>
        <c:axId val="6606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23024"/>
        <c:crosses val="autoZero"/>
        <c:auto val="1"/>
        <c:lblAlgn val="ctr"/>
        <c:lblOffset val="100"/>
        <c:noMultiLvlLbl val="0"/>
      </c:catAx>
      <c:valAx>
        <c:axId val="66062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31760"/>
        <c:crosses val="autoZero"/>
        <c:crossBetween val="between"/>
      </c:valAx>
      <c:spPr>
        <a:noFill/>
        <a:ln>
          <a:noFill/>
        </a:ln>
        <a:effectLst/>
      </c:spPr>
    </c:plotArea>
    <c:legend>
      <c:legendPos val="b"/>
      <c:layout>
        <c:manualLayout>
          <c:xMode val="edge"/>
          <c:yMode val="edge"/>
          <c:x val="0.46279650560045338"/>
          <c:y val="0.90090441819772527"/>
          <c:w val="7.7811483111363794E-2"/>
          <c:h val="7.6922936716243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(Recovered).xlsx]Qn (34m)!PivotTable1</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QnM Grade Points(0-4)</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0"/>
        <c:ser>
          <c:idx val="0"/>
          <c:order val="0"/>
          <c:tx>
            <c:strRef>
              <c:f>'Qn (34m)'!$G$42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'Qn (34m)'!$F$43:$F$50</c:f>
              <c:strCache>
                <c:ptCount val="7"/>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strCache>
            </c:strRef>
          </c:cat>
          <c:val>
            <c:numRef>
              <c:f>'Qn (34m)'!$G$43:$G$50</c:f>
              <c:numCache>
                <c:formatCode>General</c:formatCode>
                <c:ptCount val="7"/>
                <c:pt idx="0">
                  <c:v>1</c:v>
                </c:pt>
                <c:pt idx="1">
                  <c:v>2.1428571428571428</c:v>
                </c:pt>
                <c:pt idx="2">
                  <c:v>1</c:v>
                </c:pt>
                <c:pt idx="3">
                  <c:v>2.3333333333333335</c:v>
                </c:pt>
                <c:pt idx="4">
                  <c:v>1.875</c:v>
                </c:pt>
                <c:pt idx="5">
                  <c:v>1</c:v>
                </c:pt>
                <c:pt idx="6">
                  <c:v>3.5</c:v>
                </c:pt>
              </c:numCache>
            </c:numRef>
          </c:val>
          <c:extLst>
            <c:ext xmlns:c16="http://schemas.microsoft.com/office/drawing/2014/chart" uri="{C3380CC4-5D6E-409C-BE32-E72D297353CC}">
              <c16:uniqueId val="{00000000-A67A-43D7-9917-D8DC2C4761F1}"/>
            </c:ext>
          </c:extLst>
        </c:ser>
        <c:dLbls>
          <c:showLegendKey val="0"/>
          <c:showVal val="0"/>
          <c:showCatName val="0"/>
          <c:showSerName val="0"/>
          <c:showPercent val="0"/>
          <c:showBubbleSize val="0"/>
        </c:dLbls>
        <c:gapWidth val="219"/>
        <c:overlap val="-27"/>
        <c:axId val="506375440"/>
        <c:axId val="506376272"/>
      </c:barChart>
      <c:catAx>
        <c:axId val="50637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6376272"/>
        <c:crosses val="autoZero"/>
        <c:auto val="1"/>
        <c:lblAlgn val="ctr"/>
        <c:lblOffset val="100"/>
        <c:noMultiLvlLbl val="0"/>
      </c:catAx>
      <c:valAx>
        <c:axId val="50637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63754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(Recovered).xlsx]Qn (34m)!PivotTable2</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QnM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 (34m)'!$G$57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'Qn (34m)'!$F$58:$F$81</c:f>
              <c:strCache>
                <c:ptCount val="23"/>
                <c:pt idx="0">
                  <c:v>1.2 Academic Flexibility</c:v>
                </c:pt>
                <c:pt idx="1">
                  <c:v>1.3 Curriculum Enrichment</c:v>
                </c:pt>
                <c:pt idx="2">
                  <c:v>1.4 Feedback System</c:v>
                </c:pt>
                <c:pt idx="3">
                  <c:v>2.1 Student Enrolment and Profile</c:v>
                </c:pt>
                <c:pt idx="4">
                  <c:v>2.2 Student Teacher Ratio</c:v>
                </c:pt>
                <c:pt idx="5">
                  <c:v>2.4 Teacher Profile and Quality</c:v>
                </c:pt>
                <c:pt idx="6">
                  <c:v>2.6 Student Performance and Learning Outcomes</c:v>
                </c:pt>
                <c:pt idx="7">
                  <c:v>2.7 Student Satisfaction Survey</c:v>
                </c:pt>
                <c:pt idx="8">
                  <c:v>3.1 Resource Mobilization for Research</c:v>
                </c:pt>
                <c:pt idx="9">
                  <c:v>3.2 Innovation Ecosystem</c:v>
                </c:pt>
                <c:pt idx="10">
                  <c:v>3.3 Research Publications and Awards</c:v>
                </c:pt>
                <c:pt idx="11">
                  <c:v>3.4 Extension Activities</c:v>
                </c:pt>
                <c:pt idx="12">
                  <c:v>3.5 Collaboration</c:v>
                </c:pt>
                <c:pt idx="13">
                  <c:v>4.1 Physical Facilities</c:v>
                </c:pt>
                <c:pt idx="14">
                  <c:v>4.3 IT Infrastructure</c:v>
                </c:pt>
                <c:pt idx="15">
                  <c:v>4.4 Maintenance of Campus Infrastructure</c:v>
                </c:pt>
                <c:pt idx="16">
                  <c:v>5.1 Student Support</c:v>
                </c:pt>
                <c:pt idx="17">
                  <c:v>5.2 Student Progression</c:v>
                </c:pt>
                <c:pt idx="18">
                  <c:v>5.3 Student Participation and Activities</c:v>
                </c:pt>
                <c:pt idx="19">
                  <c:v>6.2 Strategy Development and Deployment</c:v>
                </c:pt>
                <c:pt idx="20">
                  <c:v>6.3 Faculty Empowerment Strategies</c:v>
                </c:pt>
                <c:pt idx="21">
                  <c:v>6.5 Internal Quality Assurance System (IQAS)</c:v>
                </c:pt>
                <c:pt idx="22">
                  <c:v>7.1 Institutional Values and Social Responsibilities</c:v>
                </c:pt>
              </c:strCache>
            </c:strRef>
          </c:cat>
          <c:val>
            <c:numRef>
              <c:f>'Qn (34m)'!$G$58:$G$81</c:f>
              <c:numCache>
                <c:formatCode>General</c:formatCode>
                <c:ptCount val="23"/>
                <c:pt idx="0">
                  <c:v>0</c:v>
                </c:pt>
                <c:pt idx="1">
                  <c:v>0</c:v>
                </c:pt>
                <c:pt idx="2">
                  <c:v>4</c:v>
                </c:pt>
                <c:pt idx="3">
                  <c:v>2.5</c:v>
                </c:pt>
                <c:pt idx="4">
                  <c:v>3</c:v>
                </c:pt>
                <c:pt idx="5">
                  <c:v>2.5</c:v>
                </c:pt>
                <c:pt idx="6">
                  <c:v>2</c:v>
                </c:pt>
                <c:pt idx="7">
                  <c:v>0</c:v>
                </c:pt>
                <c:pt idx="8">
                  <c:v>0</c:v>
                </c:pt>
                <c:pt idx="9">
                  <c:v>0</c:v>
                </c:pt>
                <c:pt idx="10">
                  <c:v>3</c:v>
                </c:pt>
                <c:pt idx="11">
                  <c:v>0</c:v>
                </c:pt>
                <c:pt idx="12">
                  <c:v>0</c:v>
                </c:pt>
                <c:pt idx="13">
                  <c:v>2</c:v>
                </c:pt>
                <c:pt idx="14">
                  <c:v>3</c:v>
                </c:pt>
                <c:pt idx="15">
                  <c:v>2</c:v>
                </c:pt>
                <c:pt idx="16">
                  <c:v>2.75</c:v>
                </c:pt>
                <c:pt idx="17">
                  <c:v>2</c:v>
                </c:pt>
                <c:pt idx="18">
                  <c:v>0</c:v>
                </c:pt>
                <c:pt idx="19">
                  <c:v>3</c:v>
                </c:pt>
                <c:pt idx="20">
                  <c:v>0</c:v>
                </c:pt>
                <c:pt idx="21">
                  <c:v>1</c:v>
                </c:pt>
                <c:pt idx="22">
                  <c:v>3.5</c:v>
                </c:pt>
              </c:numCache>
            </c:numRef>
          </c:val>
          <c:extLst>
            <c:ext xmlns:c16="http://schemas.microsoft.com/office/drawing/2014/chart" uri="{C3380CC4-5D6E-409C-BE32-E72D297353CC}">
              <c16:uniqueId val="{00000000-2022-4337-84B2-066DCB5F2F0B}"/>
            </c:ext>
          </c:extLst>
        </c:ser>
        <c:dLbls>
          <c:showLegendKey val="0"/>
          <c:showVal val="0"/>
          <c:showCatName val="0"/>
          <c:showSerName val="0"/>
          <c:showPercent val="0"/>
          <c:showBubbleSize val="0"/>
        </c:dLbls>
        <c:gapWidth val="219"/>
        <c:overlap val="-27"/>
        <c:axId val="598185792"/>
        <c:axId val="598183712"/>
      </c:barChart>
      <c:catAx>
        <c:axId val="59818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8183712"/>
        <c:crosses val="autoZero"/>
        <c:auto val="1"/>
        <c:lblAlgn val="ctr"/>
        <c:lblOffset val="100"/>
        <c:noMultiLvlLbl val="0"/>
      </c:catAx>
      <c:valAx>
        <c:axId val="5981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8185792"/>
        <c:crosses val="autoZero"/>
        <c:crossBetween val="between"/>
      </c:valAx>
      <c:spPr>
        <a:noFill/>
        <a:ln>
          <a:noFill/>
        </a:ln>
        <a:effectLst/>
      </c:spPr>
    </c:plotArea>
    <c:legend>
      <c:legendPos val="b"/>
      <c:layout>
        <c:manualLayout>
          <c:xMode val="edge"/>
          <c:yMode val="edge"/>
          <c:x val="0.45543328958880142"/>
          <c:y val="0.92918231374924298"/>
          <c:w val="7.9967154778975896E-2"/>
          <c:h val="5.49722227649583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(Recovered).xlsx]Qn (34m)!PivotTable3</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Metric Wise QnM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'Qn (34m)'!$G$83</c:f>
              <c:strCache>
                <c:ptCount val="1"/>
                <c:pt idx="0">
                  <c:v>Total</c:v>
                </c:pt>
              </c:strCache>
            </c:strRef>
          </c:tx>
          <c:spPr>
            <a:solidFill>
              <a:schemeClr val="accent1"/>
            </a:solidFill>
            <a:ln>
              <a:noFill/>
            </a:ln>
            <a:effectLst/>
          </c:spPr>
          <c:invertIfNegative val="0"/>
          <c:cat>
            <c:strRef>
              <c:f>'Qn (34m)'!$F$84:$F$118</c:f>
              <c:strCache>
                <c:ptCount val="34"/>
                <c:pt idx="0">
                  <c:v>1.2.1</c:v>
                </c:pt>
                <c:pt idx="1">
                  <c:v>1.2.2</c:v>
                </c:pt>
                <c:pt idx="2">
                  <c:v>1.3.2</c:v>
                </c:pt>
                <c:pt idx="3">
                  <c:v>1.4.1</c:v>
                </c:pt>
                <c:pt idx="4">
                  <c:v>2.1.1</c:v>
                </c:pt>
                <c:pt idx="5">
                  <c:v>2.1.2</c:v>
                </c:pt>
                <c:pt idx="6">
                  <c:v>2.2.1</c:v>
                </c:pt>
                <c:pt idx="7">
                  <c:v>2.4.1</c:v>
                </c:pt>
                <c:pt idx="8">
                  <c:v>2.4.2</c:v>
                </c:pt>
                <c:pt idx="9">
                  <c:v>2.6.2</c:v>
                </c:pt>
                <c:pt idx="10">
                  <c:v>2.7.1</c:v>
                </c:pt>
                <c:pt idx="11">
                  <c:v>3.1.1</c:v>
                </c:pt>
                <c:pt idx="12">
                  <c:v>3.2.2</c:v>
                </c:pt>
                <c:pt idx="13">
                  <c:v>3.3.1</c:v>
                </c:pt>
                <c:pt idx="14">
                  <c:v>3.3.2</c:v>
                </c:pt>
                <c:pt idx="15">
                  <c:v>3.4.3</c:v>
                </c:pt>
                <c:pt idx="16">
                  <c:v>3.5.1</c:v>
                </c:pt>
                <c:pt idx="17">
                  <c:v>4.1.2</c:v>
                </c:pt>
                <c:pt idx="18">
                  <c:v>4.3.2</c:v>
                </c:pt>
                <c:pt idx="19">
                  <c:v>4.4.1</c:v>
                </c:pt>
                <c:pt idx="20">
                  <c:v>5.1.1</c:v>
                </c:pt>
                <c:pt idx="21">
                  <c:v>5.1.2</c:v>
                </c:pt>
                <c:pt idx="22">
                  <c:v>5.1.3</c:v>
                </c:pt>
                <c:pt idx="23">
                  <c:v>5.1.4</c:v>
                </c:pt>
                <c:pt idx="24">
                  <c:v>5.2.1</c:v>
                </c:pt>
                <c:pt idx="25">
                  <c:v>5.2.2</c:v>
                </c:pt>
                <c:pt idx="26">
                  <c:v>5.3.1</c:v>
                </c:pt>
                <c:pt idx="27">
                  <c:v>5.3.2</c:v>
                </c:pt>
                <c:pt idx="28">
                  <c:v>6.2.2</c:v>
                </c:pt>
                <c:pt idx="29">
                  <c:v>6.3.2</c:v>
                </c:pt>
                <c:pt idx="30">
                  <c:v>6.3.3</c:v>
                </c:pt>
                <c:pt idx="31">
                  <c:v>6.5.2</c:v>
                </c:pt>
                <c:pt idx="32">
                  <c:v>7.1.2</c:v>
                </c:pt>
                <c:pt idx="33">
                  <c:v>7.1.3</c:v>
                </c:pt>
              </c:strCache>
            </c:strRef>
          </c:cat>
          <c:val>
            <c:numRef>
              <c:f>'Qn (34m)'!$G$84:$G$118</c:f>
              <c:numCache>
                <c:formatCode>General</c:formatCode>
                <c:ptCount val="34"/>
                <c:pt idx="0">
                  <c:v>0</c:v>
                </c:pt>
                <c:pt idx="1">
                  <c:v>0</c:v>
                </c:pt>
                <c:pt idx="2">
                  <c:v>0</c:v>
                </c:pt>
                <c:pt idx="3">
                  <c:v>4</c:v>
                </c:pt>
                <c:pt idx="4">
                  <c:v>4</c:v>
                </c:pt>
                <c:pt idx="5">
                  <c:v>1</c:v>
                </c:pt>
                <c:pt idx="6">
                  <c:v>3</c:v>
                </c:pt>
                <c:pt idx="7">
                  <c:v>4</c:v>
                </c:pt>
                <c:pt idx="8">
                  <c:v>1</c:v>
                </c:pt>
                <c:pt idx="9">
                  <c:v>2</c:v>
                </c:pt>
                <c:pt idx="10">
                  <c:v>0</c:v>
                </c:pt>
                <c:pt idx="11">
                  <c:v>0</c:v>
                </c:pt>
                <c:pt idx="12">
                  <c:v>0</c:v>
                </c:pt>
                <c:pt idx="13">
                  <c:v>2</c:v>
                </c:pt>
                <c:pt idx="14">
                  <c:v>4</c:v>
                </c:pt>
                <c:pt idx="15">
                  <c:v>0</c:v>
                </c:pt>
                <c:pt idx="16">
                  <c:v>0</c:v>
                </c:pt>
                <c:pt idx="17">
                  <c:v>2</c:v>
                </c:pt>
                <c:pt idx="18">
                  <c:v>3</c:v>
                </c:pt>
                <c:pt idx="19">
                  <c:v>2</c:v>
                </c:pt>
                <c:pt idx="20">
                  <c:v>3</c:v>
                </c:pt>
                <c:pt idx="21">
                  <c:v>4</c:v>
                </c:pt>
                <c:pt idx="22">
                  <c:v>0</c:v>
                </c:pt>
                <c:pt idx="23">
                  <c:v>4</c:v>
                </c:pt>
                <c:pt idx="24">
                  <c:v>0</c:v>
                </c:pt>
                <c:pt idx="25">
                  <c:v>4</c:v>
                </c:pt>
                <c:pt idx="26">
                  <c:v>0</c:v>
                </c:pt>
                <c:pt idx="27">
                  <c:v>0</c:v>
                </c:pt>
                <c:pt idx="28">
                  <c:v>3</c:v>
                </c:pt>
                <c:pt idx="29">
                  <c:v>0</c:v>
                </c:pt>
                <c:pt idx="30">
                  <c:v>0</c:v>
                </c:pt>
                <c:pt idx="31">
                  <c:v>1</c:v>
                </c:pt>
                <c:pt idx="32">
                  <c:v>4</c:v>
                </c:pt>
                <c:pt idx="33">
                  <c:v>3</c:v>
                </c:pt>
              </c:numCache>
            </c:numRef>
          </c:val>
          <c:extLst>
            <c:ext xmlns:c16="http://schemas.microsoft.com/office/drawing/2014/chart" uri="{C3380CC4-5D6E-409C-BE32-E72D297353CC}">
              <c16:uniqueId val="{00000000-6FFE-4D8A-BF8A-0A367CC8FF69}"/>
            </c:ext>
          </c:extLst>
        </c:ser>
        <c:dLbls>
          <c:showLegendKey val="0"/>
          <c:showVal val="0"/>
          <c:showCatName val="0"/>
          <c:showSerName val="0"/>
          <c:showPercent val="0"/>
          <c:showBubbleSize val="0"/>
        </c:dLbls>
        <c:gapWidth val="219"/>
        <c:overlap val="-27"/>
        <c:axId val="597887008"/>
        <c:axId val="597879104"/>
      </c:barChart>
      <c:catAx>
        <c:axId val="59788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64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79104"/>
        <c:crosses val="autoZero"/>
        <c:auto val="1"/>
        <c:lblAlgn val="ctr"/>
        <c:lblOffset val="100"/>
        <c:noMultiLvlLbl val="0"/>
      </c:catAx>
      <c:valAx>
        <c:axId val="59787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87008"/>
        <c:crosses val="autoZero"/>
        <c:crossBetween val="between"/>
      </c:valAx>
      <c:spPr>
        <a:noFill/>
        <a:ln>
          <a:noFill/>
        </a:ln>
        <a:effectLst/>
      </c:spPr>
    </c:plotArea>
    <c:legend>
      <c:legendPos val="b"/>
      <c:layout>
        <c:manualLayout>
          <c:xMode val="edge"/>
          <c:yMode val="edge"/>
          <c:x val="0.46098884514435706"/>
          <c:y val="0.89863075526774105"/>
          <c:w val="7.4571858032025554E-2"/>
          <c:h val="7.12982935577954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(Recovered).xlsx]Ql (21m)!PivotTable4</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rgbClr val="FF0000"/>
                </a:solidFill>
              </a:rPr>
              <a:t>Metric Wise QlM Grade Points(0-4)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'Ql (21m)'!$G$32</c:f>
              <c:strCache>
                <c:ptCount val="1"/>
                <c:pt idx="0">
                  <c:v>Total</c:v>
                </c:pt>
              </c:strCache>
            </c:strRef>
          </c:tx>
          <c:spPr>
            <a:solidFill>
              <a:schemeClr val="accent1"/>
            </a:solidFill>
            <a:ln>
              <a:noFill/>
            </a:ln>
            <a:effectLst/>
          </c:spPr>
          <c:invertIfNegative val="0"/>
          <c:cat>
            <c:strRef>
              <c:f>'Ql (21m)'!$F$33:$F$54</c:f>
              <c:strCache>
                <c:ptCount val="21"/>
                <c:pt idx="0">
                  <c:v>1.1.1</c:v>
                </c:pt>
                <c:pt idx="1">
                  <c:v>1.3.1</c:v>
                </c:pt>
                <c:pt idx="2">
                  <c:v>2.3.1</c:v>
                </c:pt>
                <c:pt idx="3">
                  <c:v>2.5.1</c:v>
                </c:pt>
                <c:pt idx="4">
                  <c:v>2.6.1</c:v>
                </c:pt>
                <c:pt idx="5">
                  <c:v>3.2.1</c:v>
                </c:pt>
                <c:pt idx="6">
                  <c:v>3.4.1</c:v>
                </c:pt>
                <c:pt idx="7">
                  <c:v>3.4.2</c:v>
                </c:pt>
                <c:pt idx="8">
                  <c:v>4.1.1</c:v>
                </c:pt>
                <c:pt idx="9">
                  <c:v>4.2.1</c:v>
                </c:pt>
                <c:pt idx="10">
                  <c:v>4.3.1</c:v>
                </c:pt>
                <c:pt idx="11">
                  <c:v>5.4.1</c:v>
                </c:pt>
                <c:pt idx="12">
                  <c:v>6.1.1</c:v>
                </c:pt>
                <c:pt idx="13">
                  <c:v>6.2.1</c:v>
                </c:pt>
                <c:pt idx="14">
                  <c:v>6.3.1</c:v>
                </c:pt>
                <c:pt idx="15">
                  <c:v>6.4.1</c:v>
                </c:pt>
                <c:pt idx="16">
                  <c:v>6.5.1</c:v>
                </c:pt>
                <c:pt idx="17">
                  <c:v>7.1.1</c:v>
                </c:pt>
                <c:pt idx="18">
                  <c:v>7.1.4</c:v>
                </c:pt>
                <c:pt idx="19">
                  <c:v>7.2.1</c:v>
                </c:pt>
                <c:pt idx="20">
                  <c:v>7.3.1</c:v>
                </c:pt>
              </c:strCache>
            </c:strRef>
          </c:cat>
          <c:val>
            <c:numRef>
              <c:f>'Ql (21m)'!$G$33:$G$54</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036B-401A-9451-851DBB1C5C47}"/>
            </c:ext>
          </c:extLst>
        </c:ser>
        <c:dLbls>
          <c:showLegendKey val="0"/>
          <c:showVal val="0"/>
          <c:showCatName val="0"/>
          <c:showSerName val="0"/>
          <c:showPercent val="0"/>
          <c:showBubbleSize val="0"/>
        </c:dLbls>
        <c:gapWidth val="219"/>
        <c:overlap val="-27"/>
        <c:axId val="969911679"/>
        <c:axId val="969912927"/>
      </c:barChart>
      <c:catAx>
        <c:axId val="96991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2927"/>
        <c:crosses val="autoZero"/>
        <c:auto val="1"/>
        <c:lblAlgn val="ctr"/>
        <c:lblOffset val="100"/>
        <c:noMultiLvlLbl val="0"/>
      </c:catAx>
      <c:valAx>
        <c:axId val="96991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1679"/>
        <c:crosses val="autoZero"/>
        <c:crossBetween val="between"/>
      </c:valAx>
      <c:spPr>
        <a:noFill/>
        <a:ln>
          <a:noFill/>
        </a:ln>
        <a:effectLst/>
      </c:spPr>
    </c:plotArea>
    <c:legend>
      <c:legendPos val="b"/>
      <c:layout>
        <c:manualLayout>
          <c:xMode val="edge"/>
          <c:yMode val="edge"/>
          <c:x val="0.46037047996201497"/>
          <c:y val="0.88706073199183433"/>
          <c:w val="7.9258854093920555E-2"/>
          <c:h val="7.6922936716243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(Recovered).xlsx]Ql (21m)!PivotTable5</c:name>
    <c:fmtId val="1"/>
  </c:pivotSource>
  <c:chart>
    <c:title>
      <c:tx>
        <c:rich>
          <a:bodyPr rot="0" spcFirstLastPara="1" vertOverflow="ellipsis" vert="horz" wrap="square" anchor="ctr" anchorCtr="1"/>
          <a:lstStyle/>
          <a:p>
            <a:pPr>
              <a:defRPr sz="12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QlM Grade Points (0-4)</a:t>
            </a:r>
          </a:p>
        </c:rich>
      </c:tx>
      <c:layout>
        <c:manualLayout>
          <c:xMode val="edge"/>
          <c:yMode val="edge"/>
          <c:x val="0.19823600174978129"/>
          <c:y val="9.890868904544826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'Ql (21m)'!$G$56</c:f>
              <c:strCache>
                <c:ptCount val="1"/>
                <c:pt idx="0">
                  <c:v>Total</c:v>
                </c:pt>
              </c:strCache>
            </c:strRef>
          </c:tx>
          <c:spPr>
            <a:solidFill>
              <a:schemeClr val="accent1"/>
            </a:solidFill>
            <a:ln>
              <a:noFill/>
            </a:ln>
            <a:effectLst/>
          </c:spPr>
          <c:invertIfNegative val="0"/>
          <c:cat>
            <c:strRef>
              <c:f>'Ql (21m)'!$F$57:$F$76</c:f>
              <c:strCache>
                <c:ptCount val="19"/>
                <c:pt idx="0">
                  <c:v>1.1 Curriculum Planning and Implementation</c:v>
                </c:pt>
                <c:pt idx="1">
                  <c:v>1.3 Curriculum Enrichment</c:v>
                </c:pt>
                <c:pt idx="2">
                  <c:v>2.3 Teaching Learning Process</c:v>
                </c:pt>
                <c:pt idx="3">
                  <c:v>2.5 Evaluation Process and Reforms</c:v>
                </c:pt>
                <c:pt idx="4">
                  <c:v>2.6 Student Performance and Learning Outcomes</c:v>
                </c:pt>
                <c:pt idx="5">
                  <c:v>3.2 Innovation Ecosystem</c:v>
                </c:pt>
                <c:pt idx="6">
                  <c:v>3.4 Extension Activities</c:v>
                </c:pt>
                <c:pt idx="7">
                  <c:v>4.1 Physical Facilities</c:v>
                </c:pt>
                <c:pt idx="8">
                  <c:v>4.2 Library as a Learning Resource</c:v>
                </c:pt>
                <c:pt idx="9">
                  <c:v>4.3 IT Infrastructure</c:v>
                </c:pt>
                <c:pt idx="10">
                  <c:v>5.4 Alumni Engagement</c:v>
                </c:pt>
                <c:pt idx="11">
                  <c:v>6.1 Institutional Vision and Leadership</c:v>
                </c:pt>
                <c:pt idx="12">
                  <c:v>6.2 Strategy Development and Deployment</c:v>
                </c:pt>
                <c:pt idx="13">
                  <c:v>6.3 Faculty Empowerment Strategies</c:v>
                </c:pt>
                <c:pt idx="14">
                  <c:v>6.4 Financial Management and Resource Mobilization</c:v>
                </c:pt>
                <c:pt idx="15">
                  <c:v>6.5 Internal Quality Assurance System (IQAS)</c:v>
                </c:pt>
                <c:pt idx="16">
                  <c:v>7.1 Institutional Values and Social Responsibilities</c:v>
                </c:pt>
                <c:pt idx="17">
                  <c:v>7.2 Best Practices</c:v>
                </c:pt>
                <c:pt idx="18">
                  <c:v>7.3 Institutional Distinctiveness</c:v>
                </c:pt>
              </c:strCache>
            </c:strRef>
          </c:cat>
          <c:val>
            <c:numRef>
              <c:f>'Ql (21m)'!$G$57:$G$76</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0-C1AB-4EDB-8F22-9F9639D386A8}"/>
            </c:ext>
          </c:extLst>
        </c:ser>
        <c:dLbls>
          <c:showLegendKey val="0"/>
          <c:showVal val="0"/>
          <c:showCatName val="0"/>
          <c:showSerName val="0"/>
          <c:showPercent val="0"/>
          <c:showBubbleSize val="0"/>
        </c:dLbls>
        <c:gapWidth val="219"/>
        <c:overlap val="-27"/>
        <c:axId val="968476031"/>
        <c:axId val="969912511"/>
      </c:barChart>
      <c:catAx>
        <c:axId val="96847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2511"/>
        <c:crosses val="autoZero"/>
        <c:auto val="1"/>
        <c:lblAlgn val="ctr"/>
        <c:lblOffset val="100"/>
        <c:noMultiLvlLbl val="0"/>
      </c:catAx>
      <c:valAx>
        <c:axId val="969912511"/>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84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sz="100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AFFILIATED 09-09-2022 (2) (Recovered).xlsx]Ql (21m)!PivotTable6</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QlM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'Ql (21m)'!$G$78</c:f>
              <c:strCache>
                <c:ptCount val="1"/>
                <c:pt idx="0">
                  <c:v>Total</c:v>
                </c:pt>
              </c:strCache>
            </c:strRef>
          </c:tx>
          <c:spPr>
            <a:solidFill>
              <a:schemeClr val="accent1"/>
            </a:solidFill>
            <a:ln>
              <a:noFill/>
            </a:ln>
            <a:effectLst/>
          </c:spPr>
          <c:invertIfNegative val="0"/>
          <c:cat>
            <c:strRef>
              <c:f>'Ql (21m)'!$F$79:$F$86</c:f>
              <c:strCache>
                <c:ptCount val="7"/>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strCache>
            </c:strRef>
          </c:cat>
          <c:val>
            <c:numRef>
              <c:f>'Ql (21m)'!$G$79:$G$86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E0D7-46F9-9D4C-04DAC45CF6CB}"/>
            </c:ext>
          </c:extLst>
        </c:ser>
        <c:dLbls>
          <c:showLegendKey val="0"/>
          <c:showVal val="0"/>
          <c:showCatName val="0"/>
          <c:showSerName val="0"/>
          <c:showPercent val="0"/>
          <c:showBubbleSize val="0"/>
        </c:dLbls>
        <c:gapWidth val="219"/>
        <c:overlap val="-27"/>
        <c:axId val="1021785983"/>
        <c:axId val="1021786399"/>
      </c:barChart>
      <c:catAx>
        <c:axId val="102178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21786399"/>
        <c:crosses val="autoZero"/>
        <c:auto val="1"/>
        <c:lblAlgn val="ctr"/>
        <c:lblOffset val="100"/>
        <c:noMultiLvlLbl val="0"/>
      </c:catAx>
      <c:valAx>
        <c:axId val="1021786399"/>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21785983"/>
        <c:crosses val="autoZero"/>
        <c:crossBetween val="between"/>
      </c:valAx>
      <c:spPr>
        <a:noFill/>
        <a:ln>
          <a:noFill/>
        </a:ln>
        <a:effectLst/>
      </c:spPr>
    </c:plotArea>
    <c:legend>
      <c:legendPos val="b"/>
      <c:layout>
        <c:manualLayout>
          <c:xMode val="edge"/>
          <c:yMode val="edge"/>
          <c:x val="0.45617191601049867"/>
          <c:y val="0.92850498950789051"/>
          <c:w val="7.9399493864650617E-2"/>
          <c:h val="5.55233227425519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7.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3.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5.png"/><Relationship Id="rId2" Type="http://schemas.openxmlformats.org/officeDocument/2006/relationships/image" Target="../media/image2.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6.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6.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6.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xdr:from>
      <xdr:col>9</xdr:col>
      <xdr:colOff>37039</xdr:colOff>
      <xdr:row>64</xdr:row>
      <xdr:rowOff>25400</xdr:rowOff>
    </xdr:from>
    <xdr:to>
      <xdr:col>17</xdr:col>
      <xdr:colOff>582083</xdr:colOff>
      <xdr:row>81</xdr:row>
      <xdr:rowOff>63500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21167</xdr:colOff>
      <xdr:row>85</xdr:row>
      <xdr:rowOff>25400</xdr:rowOff>
    </xdr:from>
    <xdr:to>
      <xdr:col>17</xdr:col>
      <xdr:colOff>582083</xdr:colOff>
      <xdr:row>105</xdr:row>
      <xdr:rowOff>158749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37040</xdr:colOff>
      <xdr:row>110</xdr:row>
      <xdr:rowOff>25401</xdr:rowOff>
    </xdr:from>
    <xdr:to>
      <xdr:col>17</xdr:col>
      <xdr:colOff>582083</xdr:colOff>
      <xdr:row>124</xdr:row>
      <xdr:rowOff>101601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37039</xdr:colOff>
      <xdr:row>128</xdr:row>
      <xdr:rowOff>35984</xdr:rowOff>
    </xdr:from>
    <xdr:to>
      <xdr:col>17</xdr:col>
      <xdr:colOff>582084</xdr:colOff>
      <xdr:row>142</xdr:row>
      <xdr:rowOff>112184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70</xdr:row>
      <xdr:rowOff>76200</xdr:rowOff>
    </xdr:from>
    <xdr:to>
      <xdr:col>1</xdr:col>
      <xdr:colOff>3295200</xdr:colOff>
      <xdr:row>70</xdr:row>
      <xdr:rowOff>400010</xdr:rowOff>
    </xdr:to>
    <xdr:pic>
      <xdr:nvPicPr>
        <xdr:cNvPr id="2" name="Picture 1"/>
        <xdr:cNvPicPr>
          <a:picLocks noChangeAspect="1"/>
        </xdr:cNvPicPr>
      </xdr:nvPicPr>
      <xdr:blipFill>
        <a:blip xmlns:r="http://schemas.openxmlformats.org/officeDocument/2006/relationships" r:embed="rId1"/>
        <a:stretch>
          <a:fillRect/>
        </a:stretch>
      </xdr:blipFill>
      <xdr:spPr>
        <a:xfrm>
          <a:off x="95250" y="28508325"/>
          <a:ext cx="3600000" cy="323810"/>
        </a:xfrm>
        <a:prstGeom prst="rect">
          <a:avLst/>
        </a:prstGeom>
      </xdr:spPr>
    </xdr:pic>
    <xdr:clientData/>
  </xdr:twoCellAnchor>
  <xdr:twoCellAnchor editAs="oneCell">
    <xdr:from>
      <xdr:col>2</xdr:col>
      <xdr:colOff>95250</xdr:colOff>
      <xdr:row>12</xdr:row>
      <xdr:rowOff>152399</xdr:rowOff>
    </xdr:from>
    <xdr:to>
      <xdr:col>2</xdr:col>
      <xdr:colOff>704850</xdr:colOff>
      <xdr:row>12</xdr:row>
      <xdr:rowOff>721894</xdr:rowOff>
    </xdr:to>
    <xdr:pic>
      <xdr:nvPicPr>
        <xdr:cNvPr id="3" name="Picture 2"/>
        <xdr:cNvPicPr>
          <a:picLocks noChangeAspect="1"/>
        </xdr:cNvPicPr>
      </xdr:nvPicPr>
      <xdr:blipFill>
        <a:blip xmlns:r="http://schemas.openxmlformats.org/officeDocument/2006/relationships" r:embed="rId2"/>
        <a:stretch>
          <a:fillRect/>
        </a:stretch>
      </xdr:blipFill>
      <xdr:spPr>
        <a:xfrm>
          <a:off x="4438650" y="6896099"/>
          <a:ext cx="609600" cy="569495"/>
        </a:xfrm>
        <a:prstGeom prst="rect">
          <a:avLst/>
        </a:prstGeom>
      </xdr:spPr>
    </xdr:pic>
    <xdr:clientData/>
  </xdr:twoCellAnchor>
  <xdr:twoCellAnchor editAs="oneCell">
    <xdr:from>
      <xdr:col>3</xdr:col>
      <xdr:colOff>40781</xdr:colOff>
      <xdr:row>12</xdr:row>
      <xdr:rowOff>133351</xdr:rowOff>
    </xdr:from>
    <xdr:to>
      <xdr:col>3</xdr:col>
      <xdr:colOff>819150</xdr:colOff>
      <xdr:row>12</xdr:row>
      <xdr:rowOff>736941</xdr:rowOff>
    </xdr:to>
    <xdr:pic>
      <xdr:nvPicPr>
        <xdr:cNvPr id="4" name="Picture 3"/>
        <xdr:cNvPicPr>
          <a:picLocks noChangeAspect="1"/>
        </xdr:cNvPicPr>
      </xdr:nvPicPr>
      <xdr:blipFill>
        <a:blip xmlns:r="http://schemas.openxmlformats.org/officeDocument/2006/relationships" r:embed="rId3"/>
        <a:stretch>
          <a:fillRect/>
        </a:stretch>
      </xdr:blipFill>
      <xdr:spPr>
        <a:xfrm>
          <a:off x="5565281" y="6877051"/>
          <a:ext cx="778369" cy="603590"/>
        </a:xfrm>
        <a:prstGeom prst="rect">
          <a:avLst/>
        </a:prstGeom>
      </xdr:spPr>
    </xdr:pic>
    <xdr:clientData/>
  </xdr:twoCellAnchor>
  <xdr:twoCellAnchor editAs="oneCell">
    <xdr:from>
      <xdr:col>1</xdr:col>
      <xdr:colOff>19050</xdr:colOff>
      <xdr:row>14</xdr:row>
      <xdr:rowOff>85724</xdr:rowOff>
    </xdr:from>
    <xdr:to>
      <xdr:col>1</xdr:col>
      <xdr:colOff>3479073</xdr:colOff>
      <xdr:row>14</xdr:row>
      <xdr:rowOff>828675</xdr:rowOff>
    </xdr:to>
    <xdr:pic>
      <xdr:nvPicPr>
        <xdr:cNvPr id="5" name="Picture 4"/>
        <xdr:cNvPicPr>
          <a:picLocks noChangeAspect="1"/>
        </xdr:cNvPicPr>
      </xdr:nvPicPr>
      <xdr:blipFill>
        <a:blip xmlns:r="http://schemas.openxmlformats.org/officeDocument/2006/relationships" r:embed="rId4"/>
        <a:stretch>
          <a:fillRect/>
        </a:stretch>
      </xdr:blipFill>
      <xdr:spPr>
        <a:xfrm>
          <a:off x="419100" y="8039099"/>
          <a:ext cx="3460023" cy="742951"/>
        </a:xfrm>
        <a:prstGeom prst="rect">
          <a:avLst/>
        </a:prstGeom>
      </xdr:spPr>
    </xdr:pic>
    <xdr:clientData/>
  </xdr:twoCellAnchor>
  <xdr:twoCellAnchor editAs="oneCell">
    <xdr:from>
      <xdr:col>1</xdr:col>
      <xdr:colOff>2686050</xdr:colOff>
      <xdr:row>16</xdr:row>
      <xdr:rowOff>85725</xdr:rowOff>
    </xdr:from>
    <xdr:to>
      <xdr:col>1</xdr:col>
      <xdr:colOff>3343193</xdr:colOff>
      <xdr:row>16</xdr:row>
      <xdr:rowOff>342868</xdr:rowOff>
    </xdr:to>
    <xdr:pic>
      <xdr:nvPicPr>
        <xdr:cNvPr id="6" name="Picture 5"/>
        <xdr:cNvPicPr>
          <a:picLocks noChangeAspect="1"/>
        </xdr:cNvPicPr>
      </xdr:nvPicPr>
      <xdr:blipFill>
        <a:blip xmlns:r="http://schemas.openxmlformats.org/officeDocument/2006/relationships" r:embed="rId5"/>
        <a:stretch>
          <a:fillRect/>
        </a:stretch>
      </xdr:blipFill>
      <xdr:spPr>
        <a:xfrm>
          <a:off x="3086100" y="9153525"/>
          <a:ext cx="657143" cy="257143"/>
        </a:xfrm>
        <a:prstGeom prst="rect">
          <a:avLst/>
        </a:prstGeom>
      </xdr:spPr>
    </xdr:pic>
    <xdr:clientData/>
  </xdr:twoCellAnchor>
  <xdr:twoCellAnchor editAs="oneCell">
    <xdr:from>
      <xdr:col>0</xdr:col>
      <xdr:colOff>47625</xdr:colOff>
      <xdr:row>30</xdr:row>
      <xdr:rowOff>47625</xdr:rowOff>
    </xdr:from>
    <xdr:to>
      <xdr:col>1</xdr:col>
      <xdr:colOff>3228527</xdr:colOff>
      <xdr:row>30</xdr:row>
      <xdr:rowOff>352425</xdr:rowOff>
    </xdr:to>
    <xdr:pic>
      <xdr:nvPicPr>
        <xdr:cNvPr id="7" name="Picture 6"/>
        <xdr:cNvPicPr>
          <a:picLocks noChangeAspect="1"/>
        </xdr:cNvPicPr>
      </xdr:nvPicPr>
      <xdr:blipFill>
        <a:blip xmlns:r="http://schemas.openxmlformats.org/officeDocument/2006/relationships" r:embed="rId6"/>
        <a:stretch>
          <a:fillRect/>
        </a:stretch>
      </xdr:blipFill>
      <xdr:spPr>
        <a:xfrm>
          <a:off x="47625" y="13992225"/>
          <a:ext cx="3580952" cy="304800"/>
        </a:xfrm>
        <a:prstGeom prst="rect">
          <a:avLst/>
        </a:prstGeom>
      </xdr:spPr>
    </xdr:pic>
    <xdr:clientData/>
  </xdr:twoCellAnchor>
  <xdr:twoCellAnchor editAs="oneCell">
    <xdr:from>
      <xdr:col>2</xdr:col>
      <xdr:colOff>57150</xdr:colOff>
      <xdr:row>28</xdr:row>
      <xdr:rowOff>28575</xdr:rowOff>
    </xdr:from>
    <xdr:to>
      <xdr:col>2</xdr:col>
      <xdr:colOff>628579</xdr:colOff>
      <xdr:row>28</xdr:row>
      <xdr:rowOff>342861</xdr:rowOff>
    </xdr:to>
    <xdr:pic>
      <xdr:nvPicPr>
        <xdr:cNvPr id="8" name="Picture 7"/>
        <xdr:cNvPicPr>
          <a:picLocks noChangeAspect="1"/>
        </xdr:cNvPicPr>
      </xdr:nvPicPr>
      <xdr:blipFill>
        <a:blip xmlns:r="http://schemas.openxmlformats.org/officeDocument/2006/relationships" r:embed="rId7"/>
        <a:stretch>
          <a:fillRect/>
        </a:stretch>
      </xdr:blipFill>
      <xdr:spPr>
        <a:xfrm>
          <a:off x="4400550" y="13192125"/>
          <a:ext cx="571429" cy="314286"/>
        </a:xfrm>
        <a:prstGeom prst="rect">
          <a:avLst/>
        </a:prstGeom>
      </xdr:spPr>
    </xdr:pic>
    <xdr:clientData/>
  </xdr:twoCellAnchor>
  <xdr:twoCellAnchor editAs="oneCell">
    <xdr:from>
      <xdr:col>3</xdr:col>
      <xdr:colOff>28575</xdr:colOff>
      <xdr:row>28</xdr:row>
      <xdr:rowOff>38100</xdr:rowOff>
    </xdr:from>
    <xdr:to>
      <xdr:col>3</xdr:col>
      <xdr:colOff>1180956</xdr:colOff>
      <xdr:row>28</xdr:row>
      <xdr:rowOff>352386</xdr:rowOff>
    </xdr:to>
    <xdr:pic>
      <xdr:nvPicPr>
        <xdr:cNvPr id="9" name="Picture 8"/>
        <xdr:cNvPicPr>
          <a:picLocks noChangeAspect="1"/>
        </xdr:cNvPicPr>
      </xdr:nvPicPr>
      <xdr:blipFill>
        <a:blip xmlns:r="http://schemas.openxmlformats.org/officeDocument/2006/relationships" r:embed="rId8"/>
        <a:stretch>
          <a:fillRect/>
        </a:stretch>
      </xdr:blipFill>
      <xdr:spPr>
        <a:xfrm>
          <a:off x="5553075" y="13201650"/>
          <a:ext cx="1152381" cy="314286"/>
        </a:xfrm>
        <a:prstGeom prst="rect">
          <a:avLst/>
        </a:prstGeom>
      </xdr:spPr>
    </xdr:pic>
    <xdr:clientData/>
  </xdr:twoCellAnchor>
  <xdr:twoCellAnchor editAs="oneCell">
    <xdr:from>
      <xdr:col>2</xdr:col>
      <xdr:colOff>28575</xdr:colOff>
      <xdr:row>39</xdr:row>
      <xdr:rowOff>47625</xdr:rowOff>
    </xdr:from>
    <xdr:to>
      <xdr:col>2</xdr:col>
      <xdr:colOff>590480</xdr:colOff>
      <xdr:row>39</xdr:row>
      <xdr:rowOff>342863</xdr:rowOff>
    </xdr:to>
    <xdr:pic>
      <xdr:nvPicPr>
        <xdr:cNvPr id="10" name="Picture 9"/>
        <xdr:cNvPicPr>
          <a:picLocks noChangeAspect="1"/>
        </xdr:cNvPicPr>
      </xdr:nvPicPr>
      <xdr:blipFill>
        <a:blip xmlns:r="http://schemas.openxmlformats.org/officeDocument/2006/relationships" r:embed="rId9"/>
        <a:stretch>
          <a:fillRect/>
        </a:stretch>
      </xdr:blipFill>
      <xdr:spPr>
        <a:xfrm>
          <a:off x="4371975" y="16049625"/>
          <a:ext cx="561905" cy="295238"/>
        </a:xfrm>
        <a:prstGeom prst="rect">
          <a:avLst/>
        </a:prstGeom>
      </xdr:spPr>
    </xdr:pic>
    <xdr:clientData/>
  </xdr:twoCellAnchor>
  <xdr:twoCellAnchor editAs="oneCell">
    <xdr:from>
      <xdr:col>3</xdr:col>
      <xdr:colOff>38100</xdr:colOff>
      <xdr:row>39</xdr:row>
      <xdr:rowOff>14681</xdr:rowOff>
    </xdr:from>
    <xdr:to>
      <xdr:col>3</xdr:col>
      <xdr:colOff>1171575</xdr:colOff>
      <xdr:row>39</xdr:row>
      <xdr:rowOff>323811</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5562600" y="16016681"/>
          <a:ext cx="1133475" cy="309130"/>
        </a:xfrm>
        <a:prstGeom prst="rect">
          <a:avLst/>
        </a:prstGeom>
      </xdr:spPr>
    </xdr:pic>
    <xdr:clientData/>
  </xdr:twoCellAnchor>
  <xdr:twoCellAnchor editAs="oneCell">
    <xdr:from>
      <xdr:col>0</xdr:col>
      <xdr:colOff>38100</xdr:colOff>
      <xdr:row>40</xdr:row>
      <xdr:rowOff>47625</xdr:rowOff>
    </xdr:from>
    <xdr:to>
      <xdr:col>1</xdr:col>
      <xdr:colOff>3305175</xdr:colOff>
      <xdr:row>40</xdr:row>
      <xdr:rowOff>400006</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38100" y="17506950"/>
          <a:ext cx="3667125" cy="352381"/>
        </a:xfrm>
        <a:prstGeom prst="rect">
          <a:avLst/>
        </a:prstGeom>
      </xdr:spPr>
    </xdr:pic>
    <xdr:clientData/>
  </xdr:twoCellAnchor>
  <xdr:twoCellAnchor editAs="oneCell">
    <xdr:from>
      <xdr:col>2</xdr:col>
      <xdr:colOff>85725</xdr:colOff>
      <xdr:row>47</xdr:row>
      <xdr:rowOff>38100</xdr:rowOff>
    </xdr:from>
    <xdr:to>
      <xdr:col>2</xdr:col>
      <xdr:colOff>628582</xdr:colOff>
      <xdr:row>47</xdr:row>
      <xdr:rowOff>333338</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4429125" y="18907125"/>
          <a:ext cx="542857" cy="295238"/>
        </a:xfrm>
        <a:prstGeom prst="rect">
          <a:avLst/>
        </a:prstGeom>
      </xdr:spPr>
    </xdr:pic>
    <xdr:clientData/>
  </xdr:twoCellAnchor>
  <xdr:twoCellAnchor editAs="oneCell">
    <xdr:from>
      <xdr:col>3</xdr:col>
      <xdr:colOff>47625</xdr:colOff>
      <xdr:row>47</xdr:row>
      <xdr:rowOff>19050</xdr:rowOff>
    </xdr:from>
    <xdr:to>
      <xdr:col>3</xdr:col>
      <xdr:colOff>1190482</xdr:colOff>
      <xdr:row>47</xdr:row>
      <xdr:rowOff>352383</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5572125" y="18888075"/>
          <a:ext cx="1142857" cy="333333"/>
        </a:xfrm>
        <a:prstGeom prst="rect">
          <a:avLst/>
        </a:prstGeom>
      </xdr:spPr>
    </xdr:pic>
    <xdr:clientData/>
  </xdr:twoCellAnchor>
  <xdr:twoCellAnchor editAs="oneCell">
    <xdr:from>
      <xdr:col>0</xdr:col>
      <xdr:colOff>57150</xdr:colOff>
      <xdr:row>48</xdr:row>
      <xdr:rowOff>95250</xdr:rowOff>
    </xdr:from>
    <xdr:to>
      <xdr:col>1</xdr:col>
      <xdr:colOff>3247576</xdr:colOff>
      <xdr:row>48</xdr:row>
      <xdr:rowOff>400012</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57150" y="20431125"/>
          <a:ext cx="3590476" cy="304762"/>
        </a:xfrm>
        <a:prstGeom prst="rect">
          <a:avLst/>
        </a:prstGeom>
      </xdr:spPr>
    </xdr:pic>
    <xdr:clientData/>
  </xdr:twoCellAnchor>
  <xdr:twoCellAnchor editAs="oneCell">
    <xdr:from>
      <xdr:col>3</xdr:col>
      <xdr:colOff>28575</xdr:colOff>
      <xdr:row>54</xdr:row>
      <xdr:rowOff>38100</xdr:rowOff>
    </xdr:from>
    <xdr:to>
      <xdr:col>3</xdr:col>
      <xdr:colOff>1161908</xdr:colOff>
      <xdr:row>54</xdr:row>
      <xdr:rowOff>323814</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5553075" y="21107400"/>
          <a:ext cx="1133333" cy="285714"/>
        </a:xfrm>
        <a:prstGeom prst="rect">
          <a:avLst/>
        </a:prstGeom>
      </xdr:spPr>
    </xdr:pic>
    <xdr:clientData/>
  </xdr:twoCellAnchor>
  <xdr:twoCellAnchor editAs="oneCell">
    <xdr:from>
      <xdr:col>2</xdr:col>
      <xdr:colOff>57150</xdr:colOff>
      <xdr:row>54</xdr:row>
      <xdr:rowOff>38100</xdr:rowOff>
    </xdr:from>
    <xdr:to>
      <xdr:col>2</xdr:col>
      <xdr:colOff>609531</xdr:colOff>
      <xdr:row>54</xdr:row>
      <xdr:rowOff>333338</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4400550" y="21107400"/>
          <a:ext cx="552381" cy="295238"/>
        </a:xfrm>
        <a:prstGeom prst="rect">
          <a:avLst/>
        </a:prstGeom>
      </xdr:spPr>
    </xdr:pic>
    <xdr:clientData/>
  </xdr:twoCellAnchor>
  <xdr:twoCellAnchor editAs="oneCell">
    <xdr:from>
      <xdr:col>0</xdr:col>
      <xdr:colOff>76200</xdr:colOff>
      <xdr:row>55</xdr:row>
      <xdr:rowOff>76200</xdr:rowOff>
    </xdr:from>
    <xdr:to>
      <xdr:col>1</xdr:col>
      <xdr:colOff>3276150</xdr:colOff>
      <xdr:row>55</xdr:row>
      <xdr:rowOff>390486</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76200" y="22926675"/>
          <a:ext cx="3600000" cy="314286"/>
        </a:xfrm>
        <a:prstGeom prst="rect">
          <a:avLst/>
        </a:prstGeom>
      </xdr:spPr>
    </xdr:pic>
    <xdr:clientData/>
  </xdr:twoCellAnchor>
  <xdr:twoCellAnchor editAs="oneCell">
    <xdr:from>
      <xdr:col>3</xdr:col>
      <xdr:colOff>38100</xdr:colOff>
      <xdr:row>61</xdr:row>
      <xdr:rowOff>57150</xdr:rowOff>
    </xdr:from>
    <xdr:to>
      <xdr:col>3</xdr:col>
      <xdr:colOff>1209529</xdr:colOff>
      <xdr:row>61</xdr:row>
      <xdr:rowOff>352388</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5562600" y="23364825"/>
          <a:ext cx="1171429" cy="295238"/>
        </a:xfrm>
        <a:prstGeom prst="rect">
          <a:avLst/>
        </a:prstGeom>
      </xdr:spPr>
    </xdr:pic>
    <xdr:clientData/>
  </xdr:twoCellAnchor>
  <xdr:twoCellAnchor editAs="oneCell">
    <xdr:from>
      <xdr:col>2</xdr:col>
      <xdr:colOff>19050</xdr:colOff>
      <xdr:row>61</xdr:row>
      <xdr:rowOff>47625</xdr:rowOff>
    </xdr:from>
    <xdr:to>
      <xdr:col>2</xdr:col>
      <xdr:colOff>561907</xdr:colOff>
      <xdr:row>61</xdr:row>
      <xdr:rowOff>361911</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4362450" y="23355300"/>
          <a:ext cx="542857" cy="314286"/>
        </a:xfrm>
        <a:prstGeom prst="rect">
          <a:avLst/>
        </a:prstGeom>
      </xdr:spPr>
    </xdr:pic>
    <xdr:clientData/>
  </xdr:twoCellAnchor>
  <xdr:twoCellAnchor editAs="oneCell">
    <xdr:from>
      <xdr:col>0</xdr:col>
      <xdr:colOff>171450</xdr:colOff>
      <xdr:row>62</xdr:row>
      <xdr:rowOff>76200</xdr:rowOff>
    </xdr:from>
    <xdr:to>
      <xdr:col>1</xdr:col>
      <xdr:colOff>3371400</xdr:colOff>
      <xdr:row>62</xdr:row>
      <xdr:rowOff>400010</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171450" y="25546050"/>
          <a:ext cx="3600000" cy="323810"/>
        </a:xfrm>
        <a:prstGeom prst="rect">
          <a:avLst/>
        </a:prstGeom>
      </xdr:spPr>
    </xdr:pic>
    <xdr:clientData/>
  </xdr:twoCellAnchor>
  <xdr:twoCellAnchor editAs="oneCell">
    <xdr:from>
      <xdr:col>3</xdr:col>
      <xdr:colOff>38100</xdr:colOff>
      <xdr:row>69</xdr:row>
      <xdr:rowOff>47625</xdr:rowOff>
    </xdr:from>
    <xdr:to>
      <xdr:col>3</xdr:col>
      <xdr:colOff>1180957</xdr:colOff>
      <xdr:row>69</xdr:row>
      <xdr:rowOff>352387</xdr:rowOff>
    </xdr:to>
    <xdr:pic>
      <xdr:nvPicPr>
        <xdr:cNvPr id="22" name="Picture 21"/>
        <xdr:cNvPicPr>
          <a:picLocks noChangeAspect="1"/>
        </xdr:cNvPicPr>
      </xdr:nvPicPr>
      <xdr:blipFill>
        <a:blip xmlns:r="http://schemas.openxmlformats.org/officeDocument/2006/relationships" r:embed="rId21"/>
        <a:stretch>
          <a:fillRect/>
        </a:stretch>
      </xdr:blipFill>
      <xdr:spPr>
        <a:xfrm>
          <a:off x="5562600" y="25593675"/>
          <a:ext cx="1142857" cy="304762"/>
        </a:xfrm>
        <a:prstGeom prst="rect">
          <a:avLst/>
        </a:prstGeom>
      </xdr:spPr>
    </xdr:pic>
    <xdr:clientData/>
  </xdr:twoCellAnchor>
  <xdr:twoCellAnchor editAs="oneCell">
    <xdr:from>
      <xdr:col>2</xdr:col>
      <xdr:colOff>9525</xdr:colOff>
      <xdr:row>69</xdr:row>
      <xdr:rowOff>57150</xdr:rowOff>
    </xdr:from>
    <xdr:to>
      <xdr:col>2</xdr:col>
      <xdr:colOff>561906</xdr:colOff>
      <xdr:row>69</xdr:row>
      <xdr:rowOff>352388</xdr:rowOff>
    </xdr:to>
    <xdr:pic>
      <xdr:nvPicPr>
        <xdr:cNvPr id="23" name="Picture 22"/>
        <xdr:cNvPicPr>
          <a:picLocks noChangeAspect="1"/>
        </xdr:cNvPicPr>
      </xdr:nvPicPr>
      <xdr:blipFill>
        <a:blip xmlns:r="http://schemas.openxmlformats.org/officeDocument/2006/relationships" r:embed="rId22"/>
        <a:stretch>
          <a:fillRect/>
        </a:stretch>
      </xdr:blipFill>
      <xdr:spPr>
        <a:xfrm>
          <a:off x="4352925" y="25603200"/>
          <a:ext cx="552381" cy="295238"/>
        </a:xfrm>
        <a:prstGeom prst="rect">
          <a:avLst/>
        </a:prstGeom>
      </xdr:spPr>
    </xdr:pic>
    <xdr:clientData/>
  </xdr:twoCellAnchor>
  <xdr:twoCellAnchor editAs="oneCell">
    <xdr:from>
      <xdr:col>3</xdr:col>
      <xdr:colOff>38100</xdr:colOff>
      <xdr:row>75</xdr:row>
      <xdr:rowOff>57150</xdr:rowOff>
    </xdr:from>
    <xdr:to>
      <xdr:col>3</xdr:col>
      <xdr:colOff>1171433</xdr:colOff>
      <xdr:row>75</xdr:row>
      <xdr:rowOff>333340</xdr:rowOff>
    </xdr:to>
    <xdr:pic>
      <xdr:nvPicPr>
        <xdr:cNvPr id="24" name="Picture 23"/>
        <xdr:cNvPicPr>
          <a:picLocks noChangeAspect="1"/>
        </xdr:cNvPicPr>
      </xdr:nvPicPr>
      <xdr:blipFill>
        <a:blip xmlns:r="http://schemas.openxmlformats.org/officeDocument/2006/relationships" r:embed="rId23"/>
        <a:stretch>
          <a:fillRect/>
        </a:stretch>
      </xdr:blipFill>
      <xdr:spPr>
        <a:xfrm>
          <a:off x="5562600" y="27146250"/>
          <a:ext cx="1133333" cy="276190"/>
        </a:xfrm>
        <a:prstGeom prst="rect">
          <a:avLst/>
        </a:prstGeom>
      </xdr:spPr>
    </xdr:pic>
    <xdr:clientData/>
  </xdr:twoCellAnchor>
  <xdr:twoCellAnchor editAs="oneCell">
    <xdr:from>
      <xdr:col>2</xdr:col>
      <xdr:colOff>28575</xdr:colOff>
      <xdr:row>75</xdr:row>
      <xdr:rowOff>47625</xdr:rowOff>
    </xdr:from>
    <xdr:to>
      <xdr:col>2</xdr:col>
      <xdr:colOff>571432</xdr:colOff>
      <xdr:row>75</xdr:row>
      <xdr:rowOff>342863</xdr:rowOff>
    </xdr:to>
    <xdr:pic>
      <xdr:nvPicPr>
        <xdr:cNvPr id="25" name="Picture 24"/>
        <xdr:cNvPicPr>
          <a:picLocks noChangeAspect="1"/>
        </xdr:cNvPicPr>
      </xdr:nvPicPr>
      <xdr:blipFill>
        <a:blip xmlns:r="http://schemas.openxmlformats.org/officeDocument/2006/relationships" r:embed="rId24"/>
        <a:stretch>
          <a:fillRect/>
        </a:stretch>
      </xdr:blipFill>
      <xdr:spPr>
        <a:xfrm>
          <a:off x="4371975" y="27136725"/>
          <a:ext cx="542857" cy="295238"/>
        </a:xfrm>
        <a:prstGeom prst="rect">
          <a:avLst/>
        </a:prstGeom>
      </xdr:spPr>
    </xdr:pic>
    <xdr:clientData/>
  </xdr:twoCellAnchor>
  <xdr:twoCellAnchor editAs="oneCell">
    <xdr:from>
      <xdr:col>0</xdr:col>
      <xdr:colOff>76200</xdr:colOff>
      <xdr:row>76</xdr:row>
      <xdr:rowOff>66675</xdr:rowOff>
    </xdr:from>
    <xdr:to>
      <xdr:col>1</xdr:col>
      <xdr:colOff>3304721</xdr:colOff>
      <xdr:row>76</xdr:row>
      <xdr:rowOff>380961</xdr:rowOff>
    </xdr:to>
    <xdr:pic>
      <xdr:nvPicPr>
        <xdr:cNvPr id="26" name="Picture 25"/>
        <xdr:cNvPicPr>
          <a:picLocks noChangeAspect="1"/>
        </xdr:cNvPicPr>
      </xdr:nvPicPr>
      <xdr:blipFill>
        <a:blip xmlns:r="http://schemas.openxmlformats.org/officeDocument/2006/relationships" r:embed="rId25"/>
        <a:stretch>
          <a:fillRect/>
        </a:stretch>
      </xdr:blipFill>
      <xdr:spPr>
        <a:xfrm>
          <a:off x="76200" y="30718125"/>
          <a:ext cx="3628571" cy="314286"/>
        </a:xfrm>
        <a:prstGeom prst="rect">
          <a:avLst/>
        </a:prstGeom>
      </xdr:spPr>
    </xdr:pic>
    <xdr:clientData/>
  </xdr:twoCellAnchor>
  <xdr:twoCellAnchor editAs="oneCell">
    <xdr:from>
      <xdr:col>1</xdr:col>
      <xdr:colOff>2905125</xdr:colOff>
      <xdr:row>79</xdr:row>
      <xdr:rowOff>123825</xdr:rowOff>
    </xdr:from>
    <xdr:to>
      <xdr:col>1</xdr:col>
      <xdr:colOff>3562268</xdr:colOff>
      <xdr:row>79</xdr:row>
      <xdr:rowOff>380968</xdr:rowOff>
    </xdr:to>
    <xdr:pic>
      <xdr:nvPicPr>
        <xdr:cNvPr id="32" name="Picture 31"/>
        <xdr:cNvPicPr>
          <a:picLocks noChangeAspect="1"/>
        </xdr:cNvPicPr>
      </xdr:nvPicPr>
      <xdr:blipFill>
        <a:blip xmlns:r="http://schemas.openxmlformats.org/officeDocument/2006/relationships" r:embed="rId5"/>
        <a:stretch>
          <a:fillRect/>
        </a:stretch>
      </xdr:blipFill>
      <xdr:spPr>
        <a:xfrm>
          <a:off x="3305175" y="32470725"/>
          <a:ext cx="657143" cy="257143"/>
        </a:xfrm>
        <a:prstGeom prst="rect">
          <a:avLst/>
        </a:prstGeom>
      </xdr:spPr>
    </xdr:pic>
    <xdr:clientData/>
  </xdr:twoCellAnchor>
  <xdr:twoCellAnchor editAs="oneCell">
    <xdr:from>
      <xdr:col>0</xdr:col>
      <xdr:colOff>381000</xdr:colOff>
      <xdr:row>78</xdr:row>
      <xdr:rowOff>85725</xdr:rowOff>
    </xdr:from>
    <xdr:to>
      <xdr:col>1</xdr:col>
      <xdr:colOff>3440973</xdr:colOff>
      <xdr:row>78</xdr:row>
      <xdr:rowOff>828676</xdr:rowOff>
    </xdr:to>
    <xdr:pic>
      <xdr:nvPicPr>
        <xdr:cNvPr id="33" name="Picture 32"/>
        <xdr:cNvPicPr>
          <a:picLocks noChangeAspect="1"/>
        </xdr:cNvPicPr>
      </xdr:nvPicPr>
      <xdr:blipFill>
        <a:blip xmlns:r="http://schemas.openxmlformats.org/officeDocument/2006/relationships" r:embed="rId4"/>
        <a:stretch>
          <a:fillRect/>
        </a:stretch>
      </xdr:blipFill>
      <xdr:spPr>
        <a:xfrm>
          <a:off x="381000" y="31527750"/>
          <a:ext cx="3460023" cy="7429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19049</xdr:colOff>
      <xdr:row>43</xdr:row>
      <xdr:rowOff>38100</xdr:rowOff>
    </xdr:from>
    <xdr:to>
      <xdr:col>17</xdr:col>
      <xdr:colOff>571499</xdr:colOff>
      <xdr:row>61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23812</xdr:colOff>
      <xdr:row>65</xdr:row>
      <xdr:rowOff>28574</xdr:rowOff>
    </xdr:from>
    <xdr:to>
      <xdr:col>17</xdr:col>
      <xdr:colOff>581025</xdr:colOff>
      <xdr:row>84</xdr:row>
      <xdr:rowOff>57149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33336</xdr:colOff>
      <xdr:row>89</xdr:row>
      <xdr:rowOff>38099</xdr:rowOff>
    </xdr:from>
    <xdr:to>
      <xdr:col>17</xdr:col>
      <xdr:colOff>581024</xdr:colOff>
      <xdr:row>105</xdr:row>
      <xdr:rowOff>47624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781050</xdr:colOff>
      <xdr:row>70</xdr:row>
      <xdr:rowOff>66675</xdr:rowOff>
    </xdr:from>
    <xdr:to>
      <xdr:col>2</xdr:col>
      <xdr:colOff>228150</xdr:colOff>
      <xdr:row>70</xdr:row>
      <xdr:rowOff>390485</xdr:rowOff>
    </xdr:to>
    <xdr:pic>
      <xdr:nvPicPr>
        <xdr:cNvPr id="2" name="Picture 1"/>
        <xdr:cNvPicPr>
          <a:picLocks noChangeAspect="1"/>
        </xdr:cNvPicPr>
      </xdr:nvPicPr>
      <xdr:blipFill>
        <a:blip xmlns:r="http://schemas.openxmlformats.org/officeDocument/2006/relationships" r:embed="rId1"/>
        <a:stretch>
          <a:fillRect/>
        </a:stretch>
      </xdr:blipFill>
      <xdr:spPr>
        <a:xfrm>
          <a:off x="1181100" y="28498800"/>
          <a:ext cx="3600000" cy="323810"/>
        </a:xfrm>
        <a:prstGeom prst="rect">
          <a:avLst/>
        </a:prstGeom>
      </xdr:spPr>
    </xdr:pic>
    <xdr:clientData/>
  </xdr:twoCellAnchor>
  <xdr:twoCellAnchor editAs="oneCell">
    <xdr:from>
      <xdr:col>2</xdr:col>
      <xdr:colOff>95250</xdr:colOff>
      <xdr:row>12</xdr:row>
      <xdr:rowOff>152399</xdr:rowOff>
    </xdr:from>
    <xdr:to>
      <xdr:col>2</xdr:col>
      <xdr:colOff>704850</xdr:colOff>
      <xdr:row>12</xdr:row>
      <xdr:rowOff>721894</xdr:rowOff>
    </xdr:to>
    <xdr:pic>
      <xdr:nvPicPr>
        <xdr:cNvPr id="3" name="Picture 2"/>
        <xdr:cNvPicPr>
          <a:picLocks noChangeAspect="1"/>
        </xdr:cNvPicPr>
      </xdr:nvPicPr>
      <xdr:blipFill>
        <a:blip xmlns:r="http://schemas.openxmlformats.org/officeDocument/2006/relationships" r:embed="rId2"/>
        <a:stretch>
          <a:fillRect/>
        </a:stretch>
      </xdr:blipFill>
      <xdr:spPr>
        <a:xfrm>
          <a:off x="4648200" y="6953249"/>
          <a:ext cx="609600" cy="569495"/>
        </a:xfrm>
        <a:prstGeom prst="rect">
          <a:avLst/>
        </a:prstGeom>
      </xdr:spPr>
    </xdr:pic>
    <xdr:clientData/>
  </xdr:twoCellAnchor>
  <xdr:twoCellAnchor editAs="oneCell">
    <xdr:from>
      <xdr:col>3</xdr:col>
      <xdr:colOff>40781</xdr:colOff>
      <xdr:row>12</xdr:row>
      <xdr:rowOff>133351</xdr:rowOff>
    </xdr:from>
    <xdr:to>
      <xdr:col>3</xdr:col>
      <xdr:colOff>819150</xdr:colOff>
      <xdr:row>12</xdr:row>
      <xdr:rowOff>736941</xdr:rowOff>
    </xdr:to>
    <xdr:pic>
      <xdr:nvPicPr>
        <xdr:cNvPr id="4" name="Picture 3"/>
        <xdr:cNvPicPr>
          <a:picLocks noChangeAspect="1"/>
        </xdr:cNvPicPr>
      </xdr:nvPicPr>
      <xdr:blipFill>
        <a:blip xmlns:r="http://schemas.openxmlformats.org/officeDocument/2006/relationships" r:embed="rId3"/>
        <a:stretch>
          <a:fillRect/>
        </a:stretch>
      </xdr:blipFill>
      <xdr:spPr>
        <a:xfrm>
          <a:off x="5774831" y="6934201"/>
          <a:ext cx="778369" cy="603590"/>
        </a:xfrm>
        <a:prstGeom prst="rect">
          <a:avLst/>
        </a:prstGeom>
      </xdr:spPr>
    </xdr:pic>
    <xdr:clientData/>
  </xdr:twoCellAnchor>
  <xdr:twoCellAnchor editAs="oneCell">
    <xdr:from>
      <xdr:col>1</xdr:col>
      <xdr:colOff>1333500</xdr:colOff>
      <xdr:row>14</xdr:row>
      <xdr:rowOff>85724</xdr:rowOff>
    </xdr:from>
    <xdr:to>
      <xdr:col>2</xdr:col>
      <xdr:colOff>640623</xdr:colOff>
      <xdr:row>14</xdr:row>
      <xdr:rowOff>828675</xdr:rowOff>
    </xdr:to>
    <xdr:pic>
      <xdr:nvPicPr>
        <xdr:cNvPr id="5" name="Picture 4"/>
        <xdr:cNvPicPr>
          <a:picLocks noChangeAspect="1"/>
        </xdr:cNvPicPr>
      </xdr:nvPicPr>
      <xdr:blipFill>
        <a:blip xmlns:r="http://schemas.openxmlformats.org/officeDocument/2006/relationships" r:embed="rId4"/>
        <a:stretch>
          <a:fillRect/>
        </a:stretch>
      </xdr:blipFill>
      <xdr:spPr>
        <a:xfrm>
          <a:off x="1733550" y="8039099"/>
          <a:ext cx="3460023" cy="742951"/>
        </a:xfrm>
        <a:prstGeom prst="rect">
          <a:avLst/>
        </a:prstGeom>
      </xdr:spPr>
    </xdr:pic>
    <xdr:clientData/>
  </xdr:twoCellAnchor>
  <xdr:twoCellAnchor editAs="oneCell">
    <xdr:from>
      <xdr:col>1</xdr:col>
      <xdr:colOff>2686050</xdr:colOff>
      <xdr:row>16</xdr:row>
      <xdr:rowOff>85725</xdr:rowOff>
    </xdr:from>
    <xdr:to>
      <xdr:col>1</xdr:col>
      <xdr:colOff>3343193</xdr:colOff>
      <xdr:row>16</xdr:row>
      <xdr:rowOff>342868</xdr:rowOff>
    </xdr:to>
    <xdr:pic>
      <xdr:nvPicPr>
        <xdr:cNvPr id="6" name="Picture 5"/>
        <xdr:cNvPicPr>
          <a:picLocks noChangeAspect="1"/>
        </xdr:cNvPicPr>
      </xdr:nvPicPr>
      <xdr:blipFill>
        <a:blip xmlns:r="http://schemas.openxmlformats.org/officeDocument/2006/relationships" r:embed="rId5"/>
        <a:stretch>
          <a:fillRect/>
        </a:stretch>
      </xdr:blipFill>
      <xdr:spPr>
        <a:xfrm>
          <a:off x="3086100" y="9210675"/>
          <a:ext cx="657143" cy="257143"/>
        </a:xfrm>
        <a:prstGeom prst="rect">
          <a:avLst/>
        </a:prstGeom>
      </xdr:spPr>
    </xdr:pic>
    <xdr:clientData/>
  </xdr:twoCellAnchor>
  <xdr:twoCellAnchor editAs="oneCell">
    <xdr:from>
      <xdr:col>1</xdr:col>
      <xdr:colOff>1000125</xdr:colOff>
      <xdr:row>30</xdr:row>
      <xdr:rowOff>28575</xdr:rowOff>
    </xdr:from>
    <xdr:to>
      <xdr:col>2</xdr:col>
      <xdr:colOff>428177</xdr:colOff>
      <xdr:row>30</xdr:row>
      <xdr:rowOff>333375</xdr:rowOff>
    </xdr:to>
    <xdr:pic>
      <xdr:nvPicPr>
        <xdr:cNvPr id="7" name="Picture 6"/>
        <xdr:cNvPicPr>
          <a:picLocks noChangeAspect="1"/>
        </xdr:cNvPicPr>
      </xdr:nvPicPr>
      <xdr:blipFill>
        <a:blip xmlns:r="http://schemas.openxmlformats.org/officeDocument/2006/relationships" r:embed="rId6"/>
        <a:stretch>
          <a:fillRect/>
        </a:stretch>
      </xdr:blipFill>
      <xdr:spPr>
        <a:xfrm>
          <a:off x="1400175" y="13973175"/>
          <a:ext cx="3580952" cy="304800"/>
        </a:xfrm>
        <a:prstGeom prst="rect">
          <a:avLst/>
        </a:prstGeom>
      </xdr:spPr>
    </xdr:pic>
    <xdr:clientData/>
  </xdr:twoCellAnchor>
  <xdr:twoCellAnchor editAs="oneCell">
    <xdr:from>
      <xdr:col>2</xdr:col>
      <xdr:colOff>57150</xdr:colOff>
      <xdr:row>28</xdr:row>
      <xdr:rowOff>28575</xdr:rowOff>
    </xdr:from>
    <xdr:to>
      <xdr:col>2</xdr:col>
      <xdr:colOff>628579</xdr:colOff>
      <xdr:row>28</xdr:row>
      <xdr:rowOff>342861</xdr:rowOff>
    </xdr:to>
    <xdr:pic>
      <xdr:nvPicPr>
        <xdr:cNvPr id="8" name="Picture 7"/>
        <xdr:cNvPicPr>
          <a:picLocks noChangeAspect="1"/>
        </xdr:cNvPicPr>
      </xdr:nvPicPr>
      <xdr:blipFill>
        <a:blip xmlns:r="http://schemas.openxmlformats.org/officeDocument/2006/relationships" r:embed="rId7"/>
        <a:stretch>
          <a:fillRect/>
        </a:stretch>
      </xdr:blipFill>
      <xdr:spPr>
        <a:xfrm>
          <a:off x="4610100" y="13592175"/>
          <a:ext cx="571429" cy="314286"/>
        </a:xfrm>
        <a:prstGeom prst="rect">
          <a:avLst/>
        </a:prstGeom>
      </xdr:spPr>
    </xdr:pic>
    <xdr:clientData/>
  </xdr:twoCellAnchor>
  <xdr:twoCellAnchor editAs="oneCell">
    <xdr:from>
      <xdr:col>3</xdr:col>
      <xdr:colOff>28575</xdr:colOff>
      <xdr:row>28</xdr:row>
      <xdr:rowOff>38100</xdr:rowOff>
    </xdr:from>
    <xdr:to>
      <xdr:col>3</xdr:col>
      <xdr:colOff>1180956</xdr:colOff>
      <xdr:row>28</xdr:row>
      <xdr:rowOff>352386</xdr:rowOff>
    </xdr:to>
    <xdr:pic>
      <xdr:nvPicPr>
        <xdr:cNvPr id="9" name="Picture 8"/>
        <xdr:cNvPicPr>
          <a:picLocks noChangeAspect="1"/>
        </xdr:cNvPicPr>
      </xdr:nvPicPr>
      <xdr:blipFill>
        <a:blip xmlns:r="http://schemas.openxmlformats.org/officeDocument/2006/relationships" r:embed="rId8"/>
        <a:stretch>
          <a:fillRect/>
        </a:stretch>
      </xdr:blipFill>
      <xdr:spPr>
        <a:xfrm>
          <a:off x="5762625" y="13601700"/>
          <a:ext cx="1152381" cy="314286"/>
        </a:xfrm>
        <a:prstGeom prst="rect">
          <a:avLst/>
        </a:prstGeom>
      </xdr:spPr>
    </xdr:pic>
    <xdr:clientData/>
  </xdr:twoCellAnchor>
  <xdr:twoCellAnchor editAs="oneCell">
    <xdr:from>
      <xdr:col>2</xdr:col>
      <xdr:colOff>28575</xdr:colOff>
      <xdr:row>39</xdr:row>
      <xdr:rowOff>47625</xdr:rowOff>
    </xdr:from>
    <xdr:to>
      <xdr:col>2</xdr:col>
      <xdr:colOff>590480</xdr:colOff>
      <xdr:row>39</xdr:row>
      <xdr:rowOff>342863</xdr:rowOff>
    </xdr:to>
    <xdr:pic>
      <xdr:nvPicPr>
        <xdr:cNvPr id="10" name="Picture 9"/>
        <xdr:cNvPicPr>
          <a:picLocks noChangeAspect="1"/>
        </xdr:cNvPicPr>
      </xdr:nvPicPr>
      <xdr:blipFill>
        <a:blip xmlns:r="http://schemas.openxmlformats.org/officeDocument/2006/relationships" r:embed="rId9"/>
        <a:stretch>
          <a:fillRect/>
        </a:stretch>
      </xdr:blipFill>
      <xdr:spPr>
        <a:xfrm>
          <a:off x="4581525" y="17135475"/>
          <a:ext cx="561905" cy="295238"/>
        </a:xfrm>
        <a:prstGeom prst="rect">
          <a:avLst/>
        </a:prstGeom>
      </xdr:spPr>
    </xdr:pic>
    <xdr:clientData/>
  </xdr:twoCellAnchor>
  <xdr:twoCellAnchor editAs="oneCell">
    <xdr:from>
      <xdr:col>3</xdr:col>
      <xdr:colOff>38100</xdr:colOff>
      <xdr:row>39</xdr:row>
      <xdr:rowOff>14681</xdr:rowOff>
    </xdr:from>
    <xdr:to>
      <xdr:col>3</xdr:col>
      <xdr:colOff>1171575</xdr:colOff>
      <xdr:row>39</xdr:row>
      <xdr:rowOff>323811</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5772150" y="17102531"/>
          <a:ext cx="1133475" cy="309130"/>
        </a:xfrm>
        <a:prstGeom prst="rect">
          <a:avLst/>
        </a:prstGeom>
      </xdr:spPr>
    </xdr:pic>
    <xdr:clientData/>
  </xdr:twoCellAnchor>
  <xdr:twoCellAnchor editAs="oneCell">
    <xdr:from>
      <xdr:col>1</xdr:col>
      <xdr:colOff>904875</xdr:colOff>
      <xdr:row>40</xdr:row>
      <xdr:rowOff>47625</xdr:rowOff>
    </xdr:from>
    <xdr:to>
      <xdr:col>2</xdr:col>
      <xdr:colOff>419100</xdr:colOff>
      <xdr:row>40</xdr:row>
      <xdr:rowOff>400006</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1304925" y="17506950"/>
          <a:ext cx="3667125" cy="352381"/>
        </a:xfrm>
        <a:prstGeom prst="rect">
          <a:avLst/>
        </a:prstGeom>
      </xdr:spPr>
    </xdr:pic>
    <xdr:clientData/>
  </xdr:twoCellAnchor>
  <xdr:twoCellAnchor editAs="oneCell">
    <xdr:from>
      <xdr:col>2</xdr:col>
      <xdr:colOff>85725</xdr:colOff>
      <xdr:row>47</xdr:row>
      <xdr:rowOff>38100</xdr:rowOff>
    </xdr:from>
    <xdr:to>
      <xdr:col>2</xdr:col>
      <xdr:colOff>628582</xdr:colOff>
      <xdr:row>47</xdr:row>
      <xdr:rowOff>333338</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4638675" y="19992975"/>
          <a:ext cx="542857" cy="295238"/>
        </a:xfrm>
        <a:prstGeom prst="rect">
          <a:avLst/>
        </a:prstGeom>
      </xdr:spPr>
    </xdr:pic>
    <xdr:clientData/>
  </xdr:twoCellAnchor>
  <xdr:twoCellAnchor editAs="oneCell">
    <xdr:from>
      <xdr:col>3</xdr:col>
      <xdr:colOff>47625</xdr:colOff>
      <xdr:row>47</xdr:row>
      <xdr:rowOff>19050</xdr:rowOff>
    </xdr:from>
    <xdr:to>
      <xdr:col>3</xdr:col>
      <xdr:colOff>1190482</xdr:colOff>
      <xdr:row>47</xdr:row>
      <xdr:rowOff>352383</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5781675" y="19973925"/>
          <a:ext cx="1142857" cy="333333"/>
        </a:xfrm>
        <a:prstGeom prst="rect">
          <a:avLst/>
        </a:prstGeom>
      </xdr:spPr>
    </xdr:pic>
    <xdr:clientData/>
  </xdr:twoCellAnchor>
  <xdr:twoCellAnchor editAs="oneCell">
    <xdr:from>
      <xdr:col>1</xdr:col>
      <xdr:colOff>914400</xdr:colOff>
      <xdr:row>48</xdr:row>
      <xdr:rowOff>66675</xdr:rowOff>
    </xdr:from>
    <xdr:to>
      <xdr:col>2</xdr:col>
      <xdr:colOff>351976</xdr:colOff>
      <xdr:row>48</xdr:row>
      <xdr:rowOff>371437</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1314450" y="20402550"/>
          <a:ext cx="3590476" cy="304762"/>
        </a:xfrm>
        <a:prstGeom prst="rect">
          <a:avLst/>
        </a:prstGeom>
      </xdr:spPr>
    </xdr:pic>
    <xdr:clientData/>
  </xdr:twoCellAnchor>
  <xdr:twoCellAnchor editAs="oneCell">
    <xdr:from>
      <xdr:col>3</xdr:col>
      <xdr:colOff>28575</xdr:colOff>
      <xdr:row>54</xdr:row>
      <xdr:rowOff>38100</xdr:rowOff>
    </xdr:from>
    <xdr:to>
      <xdr:col>3</xdr:col>
      <xdr:colOff>1161908</xdr:colOff>
      <xdr:row>54</xdr:row>
      <xdr:rowOff>323814</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5762625" y="22536150"/>
          <a:ext cx="1133333" cy="285714"/>
        </a:xfrm>
        <a:prstGeom prst="rect">
          <a:avLst/>
        </a:prstGeom>
      </xdr:spPr>
    </xdr:pic>
    <xdr:clientData/>
  </xdr:twoCellAnchor>
  <xdr:twoCellAnchor editAs="oneCell">
    <xdr:from>
      <xdr:col>2</xdr:col>
      <xdr:colOff>57150</xdr:colOff>
      <xdr:row>54</xdr:row>
      <xdr:rowOff>38100</xdr:rowOff>
    </xdr:from>
    <xdr:to>
      <xdr:col>2</xdr:col>
      <xdr:colOff>609531</xdr:colOff>
      <xdr:row>54</xdr:row>
      <xdr:rowOff>333338</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4610100" y="22536150"/>
          <a:ext cx="552381" cy="295238"/>
        </a:xfrm>
        <a:prstGeom prst="rect">
          <a:avLst/>
        </a:prstGeom>
      </xdr:spPr>
    </xdr:pic>
    <xdr:clientData/>
  </xdr:twoCellAnchor>
  <xdr:twoCellAnchor editAs="oneCell">
    <xdr:from>
      <xdr:col>1</xdr:col>
      <xdr:colOff>904875</xdr:colOff>
      <xdr:row>55</xdr:row>
      <xdr:rowOff>76200</xdr:rowOff>
    </xdr:from>
    <xdr:to>
      <xdr:col>2</xdr:col>
      <xdr:colOff>351975</xdr:colOff>
      <xdr:row>55</xdr:row>
      <xdr:rowOff>390486</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1304925" y="22926675"/>
          <a:ext cx="3600000" cy="314286"/>
        </a:xfrm>
        <a:prstGeom prst="rect">
          <a:avLst/>
        </a:prstGeom>
      </xdr:spPr>
    </xdr:pic>
    <xdr:clientData/>
  </xdr:twoCellAnchor>
  <xdr:twoCellAnchor editAs="oneCell">
    <xdr:from>
      <xdr:col>3</xdr:col>
      <xdr:colOff>38100</xdr:colOff>
      <xdr:row>61</xdr:row>
      <xdr:rowOff>57150</xdr:rowOff>
    </xdr:from>
    <xdr:to>
      <xdr:col>3</xdr:col>
      <xdr:colOff>1209529</xdr:colOff>
      <xdr:row>61</xdr:row>
      <xdr:rowOff>352388</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5772150" y="25146000"/>
          <a:ext cx="1171429" cy="295238"/>
        </a:xfrm>
        <a:prstGeom prst="rect">
          <a:avLst/>
        </a:prstGeom>
      </xdr:spPr>
    </xdr:pic>
    <xdr:clientData/>
  </xdr:twoCellAnchor>
  <xdr:twoCellAnchor editAs="oneCell">
    <xdr:from>
      <xdr:col>2</xdr:col>
      <xdr:colOff>19050</xdr:colOff>
      <xdr:row>61</xdr:row>
      <xdr:rowOff>47625</xdr:rowOff>
    </xdr:from>
    <xdr:to>
      <xdr:col>2</xdr:col>
      <xdr:colOff>561907</xdr:colOff>
      <xdr:row>61</xdr:row>
      <xdr:rowOff>361911</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4572000" y="25136475"/>
          <a:ext cx="542857" cy="314286"/>
        </a:xfrm>
        <a:prstGeom prst="rect">
          <a:avLst/>
        </a:prstGeom>
      </xdr:spPr>
    </xdr:pic>
    <xdr:clientData/>
  </xdr:twoCellAnchor>
  <xdr:twoCellAnchor editAs="oneCell">
    <xdr:from>
      <xdr:col>1</xdr:col>
      <xdr:colOff>857250</xdr:colOff>
      <xdr:row>62</xdr:row>
      <xdr:rowOff>57150</xdr:rowOff>
    </xdr:from>
    <xdr:to>
      <xdr:col>2</xdr:col>
      <xdr:colOff>304350</xdr:colOff>
      <xdr:row>62</xdr:row>
      <xdr:rowOff>380960</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1257300" y="25527000"/>
          <a:ext cx="3600000" cy="323810"/>
        </a:xfrm>
        <a:prstGeom prst="rect">
          <a:avLst/>
        </a:prstGeom>
      </xdr:spPr>
    </xdr:pic>
    <xdr:clientData/>
  </xdr:twoCellAnchor>
  <xdr:twoCellAnchor editAs="oneCell">
    <xdr:from>
      <xdr:col>3</xdr:col>
      <xdr:colOff>38100</xdr:colOff>
      <xdr:row>69</xdr:row>
      <xdr:rowOff>47625</xdr:rowOff>
    </xdr:from>
    <xdr:to>
      <xdr:col>3</xdr:col>
      <xdr:colOff>1180957</xdr:colOff>
      <xdr:row>69</xdr:row>
      <xdr:rowOff>352387</xdr:rowOff>
    </xdr:to>
    <xdr:pic>
      <xdr:nvPicPr>
        <xdr:cNvPr id="22" name="Picture 21"/>
        <xdr:cNvPicPr>
          <a:picLocks noChangeAspect="1"/>
        </xdr:cNvPicPr>
      </xdr:nvPicPr>
      <xdr:blipFill>
        <a:blip xmlns:r="http://schemas.openxmlformats.org/officeDocument/2006/relationships" r:embed="rId21"/>
        <a:stretch>
          <a:fillRect/>
        </a:stretch>
      </xdr:blipFill>
      <xdr:spPr>
        <a:xfrm>
          <a:off x="5772150" y="28079700"/>
          <a:ext cx="1142857" cy="304762"/>
        </a:xfrm>
        <a:prstGeom prst="rect">
          <a:avLst/>
        </a:prstGeom>
      </xdr:spPr>
    </xdr:pic>
    <xdr:clientData/>
  </xdr:twoCellAnchor>
  <xdr:twoCellAnchor editAs="oneCell">
    <xdr:from>
      <xdr:col>2</xdr:col>
      <xdr:colOff>9525</xdr:colOff>
      <xdr:row>69</xdr:row>
      <xdr:rowOff>57150</xdr:rowOff>
    </xdr:from>
    <xdr:to>
      <xdr:col>2</xdr:col>
      <xdr:colOff>561906</xdr:colOff>
      <xdr:row>69</xdr:row>
      <xdr:rowOff>352388</xdr:rowOff>
    </xdr:to>
    <xdr:pic>
      <xdr:nvPicPr>
        <xdr:cNvPr id="23" name="Picture 22"/>
        <xdr:cNvPicPr>
          <a:picLocks noChangeAspect="1"/>
        </xdr:cNvPicPr>
      </xdr:nvPicPr>
      <xdr:blipFill>
        <a:blip xmlns:r="http://schemas.openxmlformats.org/officeDocument/2006/relationships" r:embed="rId22"/>
        <a:stretch>
          <a:fillRect/>
        </a:stretch>
      </xdr:blipFill>
      <xdr:spPr>
        <a:xfrm>
          <a:off x="4562475" y="28089225"/>
          <a:ext cx="552381" cy="295238"/>
        </a:xfrm>
        <a:prstGeom prst="rect">
          <a:avLst/>
        </a:prstGeom>
      </xdr:spPr>
    </xdr:pic>
    <xdr:clientData/>
  </xdr:twoCellAnchor>
  <xdr:twoCellAnchor editAs="oneCell">
    <xdr:from>
      <xdr:col>3</xdr:col>
      <xdr:colOff>38100</xdr:colOff>
      <xdr:row>75</xdr:row>
      <xdr:rowOff>57150</xdr:rowOff>
    </xdr:from>
    <xdr:to>
      <xdr:col>3</xdr:col>
      <xdr:colOff>1171433</xdr:colOff>
      <xdr:row>75</xdr:row>
      <xdr:rowOff>333340</xdr:rowOff>
    </xdr:to>
    <xdr:pic>
      <xdr:nvPicPr>
        <xdr:cNvPr id="24" name="Picture 23"/>
        <xdr:cNvPicPr>
          <a:picLocks noChangeAspect="1"/>
        </xdr:cNvPicPr>
      </xdr:nvPicPr>
      <xdr:blipFill>
        <a:blip xmlns:r="http://schemas.openxmlformats.org/officeDocument/2006/relationships" r:embed="rId23"/>
        <a:stretch>
          <a:fillRect/>
        </a:stretch>
      </xdr:blipFill>
      <xdr:spPr>
        <a:xfrm>
          <a:off x="5772150" y="30337125"/>
          <a:ext cx="1133333" cy="276190"/>
        </a:xfrm>
        <a:prstGeom prst="rect">
          <a:avLst/>
        </a:prstGeom>
      </xdr:spPr>
    </xdr:pic>
    <xdr:clientData/>
  </xdr:twoCellAnchor>
  <xdr:twoCellAnchor editAs="oneCell">
    <xdr:from>
      <xdr:col>2</xdr:col>
      <xdr:colOff>28575</xdr:colOff>
      <xdr:row>75</xdr:row>
      <xdr:rowOff>47625</xdr:rowOff>
    </xdr:from>
    <xdr:to>
      <xdr:col>2</xdr:col>
      <xdr:colOff>571432</xdr:colOff>
      <xdr:row>75</xdr:row>
      <xdr:rowOff>342863</xdr:rowOff>
    </xdr:to>
    <xdr:pic>
      <xdr:nvPicPr>
        <xdr:cNvPr id="25" name="Picture 24"/>
        <xdr:cNvPicPr>
          <a:picLocks noChangeAspect="1"/>
        </xdr:cNvPicPr>
      </xdr:nvPicPr>
      <xdr:blipFill>
        <a:blip xmlns:r="http://schemas.openxmlformats.org/officeDocument/2006/relationships" r:embed="rId24"/>
        <a:stretch>
          <a:fillRect/>
        </a:stretch>
      </xdr:blipFill>
      <xdr:spPr>
        <a:xfrm>
          <a:off x="4581525" y="30327600"/>
          <a:ext cx="542857" cy="295238"/>
        </a:xfrm>
        <a:prstGeom prst="rect">
          <a:avLst/>
        </a:prstGeom>
      </xdr:spPr>
    </xdr:pic>
    <xdr:clientData/>
  </xdr:twoCellAnchor>
  <xdr:twoCellAnchor editAs="oneCell">
    <xdr:from>
      <xdr:col>1</xdr:col>
      <xdr:colOff>838200</xdr:colOff>
      <xdr:row>76</xdr:row>
      <xdr:rowOff>76200</xdr:rowOff>
    </xdr:from>
    <xdr:to>
      <xdr:col>2</xdr:col>
      <xdr:colOff>313871</xdr:colOff>
      <xdr:row>76</xdr:row>
      <xdr:rowOff>390486</xdr:rowOff>
    </xdr:to>
    <xdr:pic>
      <xdr:nvPicPr>
        <xdr:cNvPr id="26" name="Picture 25"/>
        <xdr:cNvPicPr>
          <a:picLocks noChangeAspect="1"/>
        </xdr:cNvPicPr>
      </xdr:nvPicPr>
      <xdr:blipFill>
        <a:blip xmlns:r="http://schemas.openxmlformats.org/officeDocument/2006/relationships" r:embed="rId25"/>
        <a:stretch>
          <a:fillRect/>
        </a:stretch>
      </xdr:blipFill>
      <xdr:spPr>
        <a:xfrm>
          <a:off x="1238250" y="30727650"/>
          <a:ext cx="3628571" cy="314286"/>
        </a:xfrm>
        <a:prstGeom prst="rect">
          <a:avLst/>
        </a:prstGeom>
      </xdr:spPr>
    </xdr:pic>
    <xdr:clientData/>
  </xdr:twoCellAnchor>
  <xdr:twoCellAnchor>
    <xdr:from>
      <xdr:col>1</xdr:col>
      <xdr:colOff>1238250</xdr:colOff>
      <xdr:row>78</xdr:row>
      <xdr:rowOff>266700</xdr:rowOff>
    </xdr:from>
    <xdr:to>
      <xdr:col>1</xdr:col>
      <xdr:colOff>2114550</xdr:colOff>
      <xdr:row>78</xdr:row>
      <xdr:rowOff>628015</xdr:rowOff>
    </xdr:to>
    <xdr:sp macro="" textlink="">
      <xdr:nvSpPr>
        <xdr:cNvPr id="27" name="Text Box 5"/>
        <xdr:cNvSpPr txBox="1">
          <a:spLocks noChangeArrowheads="1"/>
        </xdr:cNvSpPr>
      </xdr:nvSpPr>
      <xdr:spPr bwMode="auto">
        <a:xfrm>
          <a:off x="1638300" y="31708725"/>
          <a:ext cx="876300" cy="361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11455" marR="635" indent="-212090">
            <a:lnSpc>
              <a:spcPct val="108000"/>
            </a:lnSpc>
            <a:spcAft>
              <a:spcPts val="0"/>
            </a:spcAft>
          </a:pPr>
          <a:r>
            <a:rPr lang="en-US" sz="1200" b="1">
              <a:effectLst/>
              <a:latin typeface="Arial" panose="020B0604020202020204" pitchFamily="34" charset="0"/>
              <a:ea typeface="Arial" panose="020B0604020202020204" pitchFamily="34" charset="0"/>
            </a:rPr>
            <a:t>Institutional</a:t>
          </a:r>
          <a:r>
            <a:rPr lang="en-US" sz="1200" b="1" spc="-320">
              <a:effectLst/>
              <a:latin typeface="Arial" panose="020B0604020202020204" pitchFamily="34" charset="0"/>
              <a:ea typeface="Arial" panose="020B0604020202020204" pitchFamily="34" charset="0"/>
            </a:rPr>
            <a:t> </a:t>
          </a:r>
          <a:r>
            <a:rPr lang="en-US" sz="1200" b="1">
              <a:effectLst/>
              <a:latin typeface="Arial" panose="020B0604020202020204" pitchFamily="34" charset="0"/>
              <a:ea typeface="Arial" panose="020B0604020202020204" pitchFamily="34" charset="0"/>
            </a:rPr>
            <a:t>CGPA</a:t>
          </a:r>
          <a:endParaRPr lang="en-IN" sz="1100">
            <a:effectLst/>
            <a:latin typeface="Arial" panose="020B0604020202020204" pitchFamily="34" charset="0"/>
            <a:ea typeface="Arial" panose="020B0604020202020204" pitchFamily="34" charset="0"/>
          </a:endParaRPr>
        </a:p>
      </xdr:txBody>
    </xdr:sp>
    <xdr:clientData/>
  </xdr:twoCellAnchor>
  <xdr:twoCellAnchor>
    <xdr:from>
      <xdr:col>1</xdr:col>
      <xdr:colOff>2152650</xdr:colOff>
      <xdr:row>78</xdr:row>
      <xdr:rowOff>333375</xdr:rowOff>
    </xdr:from>
    <xdr:to>
      <xdr:col>1</xdr:col>
      <xdr:colOff>2254885</xdr:colOff>
      <xdr:row>78</xdr:row>
      <xdr:rowOff>504190</xdr:rowOff>
    </xdr:to>
    <xdr:sp macro="" textlink="">
      <xdr:nvSpPr>
        <xdr:cNvPr id="28" name="Text Box 4"/>
        <xdr:cNvSpPr txBox="1">
          <a:spLocks noChangeArrowheads="1"/>
        </xdr:cNvSpPr>
      </xdr:nvSpPr>
      <xdr:spPr bwMode="auto">
        <a:xfrm>
          <a:off x="2552700" y="31775400"/>
          <a:ext cx="102235" cy="170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nSpc>
              <a:spcPts val="1340"/>
            </a:lnSpc>
            <a:spcAft>
              <a:spcPts val="0"/>
            </a:spcAft>
          </a:pPr>
          <a:r>
            <a:rPr lang="en-US" sz="1200" b="1">
              <a:effectLst/>
              <a:latin typeface="Arial" panose="020B0604020202020204" pitchFamily="34" charset="0"/>
              <a:ea typeface="Arial" panose="020B0604020202020204" pitchFamily="34" charset="0"/>
            </a:rPr>
            <a:t>=</a:t>
          </a:r>
          <a:endParaRPr lang="en-IN" sz="1100">
            <a:effectLst/>
            <a:latin typeface="Arial" panose="020B0604020202020204" pitchFamily="34" charset="0"/>
            <a:ea typeface="Arial" panose="020B0604020202020204" pitchFamily="34" charset="0"/>
          </a:endParaRPr>
        </a:p>
      </xdr:txBody>
    </xdr:sp>
    <xdr:clientData/>
  </xdr:twoCellAnchor>
  <xdr:twoCellAnchor editAs="oneCell">
    <xdr:from>
      <xdr:col>1</xdr:col>
      <xdr:colOff>2476500</xdr:colOff>
      <xdr:row>78</xdr:row>
      <xdr:rowOff>123826</xdr:rowOff>
    </xdr:from>
    <xdr:to>
      <xdr:col>2</xdr:col>
      <xdr:colOff>123825</xdr:colOff>
      <xdr:row>78</xdr:row>
      <xdr:rowOff>733426</xdr:rowOff>
    </xdr:to>
    <xdr:pic>
      <xdr:nvPicPr>
        <xdr:cNvPr id="29" name="Picture 28"/>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876550" y="31565851"/>
          <a:ext cx="18002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457200</xdr:colOff>
      <xdr:row>78</xdr:row>
      <xdr:rowOff>371475</xdr:rowOff>
    </xdr:from>
    <xdr:to>
      <xdr:col>2</xdr:col>
      <xdr:colOff>559435</xdr:colOff>
      <xdr:row>78</xdr:row>
      <xdr:rowOff>542290</xdr:rowOff>
    </xdr:to>
    <xdr:sp macro="" textlink="">
      <xdr:nvSpPr>
        <xdr:cNvPr id="30" name="Text Box 4"/>
        <xdr:cNvSpPr txBox="1">
          <a:spLocks noChangeArrowheads="1"/>
        </xdr:cNvSpPr>
      </xdr:nvSpPr>
      <xdr:spPr bwMode="auto">
        <a:xfrm>
          <a:off x="5010150" y="31813500"/>
          <a:ext cx="102235" cy="170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nSpc>
              <a:spcPts val="1340"/>
            </a:lnSpc>
            <a:spcAft>
              <a:spcPts val="0"/>
            </a:spcAft>
          </a:pPr>
          <a:r>
            <a:rPr lang="en-US" sz="1200" b="1">
              <a:effectLst/>
              <a:latin typeface="Arial" panose="020B0604020202020204" pitchFamily="34" charset="0"/>
              <a:ea typeface="Arial" panose="020B0604020202020204" pitchFamily="34" charset="0"/>
            </a:rPr>
            <a:t>=</a:t>
          </a:r>
          <a:endParaRPr lang="en-IN" sz="1100">
            <a:effectLst/>
            <a:latin typeface="Arial" panose="020B0604020202020204" pitchFamily="34" charset="0"/>
            <a:ea typeface="Arial" panose="020B0604020202020204" pitchFamily="34" charset="0"/>
          </a:endParaRPr>
        </a:p>
      </xdr:txBody>
    </xdr:sp>
    <xdr:clientData/>
  </xdr:twoCellAnchor>
  <xdr:twoCellAnchor editAs="oneCell">
    <xdr:from>
      <xdr:col>1</xdr:col>
      <xdr:colOff>2905125</xdr:colOff>
      <xdr:row>79</xdr:row>
      <xdr:rowOff>123825</xdr:rowOff>
    </xdr:from>
    <xdr:to>
      <xdr:col>1</xdr:col>
      <xdr:colOff>3562268</xdr:colOff>
      <xdr:row>79</xdr:row>
      <xdr:rowOff>380968</xdr:rowOff>
    </xdr:to>
    <xdr:pic>
      <xdr:nvPicPr>
        <xdr:cNvPr id="31" name="Picture 30"/>
        <xdr:cNvPicPr>
          <a:picLocks noChangeAspect="1"/>
        </xdr:cNvPicPr>
      </xdr:nvPicPr>
      <xdr:blipFill>
        <a:blip xmlns:r="http://schemas.openxmlformats.org/officeDocument/2006/relationships" r:embed="rId5"/>
        <a:stretch>
          <a:fillRect/>
        </a:stretch>
      </xdr:blipFill>
      <xdr:spPr>
        <a:xfrm>
          <a:off x="3305175" y="32470725"/>
          <a:ext cx="657143" cy="2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63</xdr:row>
      <xdr:rowOff>38100</xdr:rowOff>
    </xdr:from>
    <xdr:to>
      <xdr:col>1</xdr:col>
      <xdr:colOff>3314250</xdr:colOff>
      <xdr:row>63</xdr:row>
      <xdr:rowOff>361910</xdr:rowOff>
    </xdr:to>
    <xdr:pic>
      <xdr:nvPicPr>
        <xdr:cNvPr id="37" name="Picture 36"/>
        <xdr:cNvPicPr>
          <a:picLocks noChangeAspect="1"/>
        </xdr:cNvPicPr>
      </xdr:nvPicPr>
      <xdr:blipFill>
        <a:blip xmlns:r="http://schemas.openxmlformats.org/officeDocument/2006/relationships" r:embed="rId1"/>
        <a:stretch>
          <a:fillRect/>
        </a:stretch>
      </xdr:blipFill>
      <xdr:spPr>
        <a:xfrm>
          <a:off x="114300" y="25812750"/>
          <a:ext cx="3600000" cy="323810"/>
        </a:xfrm>
        <a:prstGeom prst="rect">
          <a:avLst/>
        </a:prstGeom>
      </xdr:spPr>
    </xdr:pic>
    <xdr:clientData/>
  </xdr:twoCellAnchor>
  <xdr:twoCellAnchor editAs="oneCell">
    <xdr:from>
      <xdr:col>2</xdr:col>
      <xdr:colOff>95250</xdr:colOff>
      <xdr:row>12</xdr:row>
      <xdr:rowOff>152399</xdr:rowOff>
    </xdr:from>
    <xdr:to>
      <xdr:col>2</xdr:col>
      <xdr:colOff>704850</xdr:colOff>
      <xdr:row>12</xdr:row>
      <xdr:rowOff>721894</xdr:rowOff>
    </xdr:to>
    <xdr:pic>
      <xdr:nvPicPr>
        <xdr:cNvPr id="2" name="Picture 1"/>
        <xdr:cNvPicPr>
          <a:picLocks noChangeAspect="1"/>
        </xdr:cNvPicPr>
      </xdr:nvPicPr>
      <xdr:blipFill>
        <a:blip xmlns:r="http://schemas.openxmlformats.org/officeDocument/2006/relationships" r:embed="rId2"/>
        <a:stretch>
          <a:fillRect/>
        </a:stretch>
      </xdr:blipFill>
      <xdr:spPr>
        <a:xfrm>
          <a:off x="3686175" y="4343399"/>
          <a:ext cx="609600" cy="569495"/>
        </a:xfrm>
        <a:prstGeom prst="rect">
          <a:avLst/>
        </a:prstGeom>
      </xdr:spPr>
    </xdr:pic>
    <xdr:clientData/>
  </xdr:twoCellAnchor>
  <xdr:twoCellAnchor editAs="oneCell">
    <xdr:from>
      <xdr:col>3</xdr:col>
      <xdr:colOff>76199</xdr:colOff>
      <xdr:row>12</xdr:row>
      <xdr:rowOff>160815</xdr:rowOff>
    </xdr:from>
    <xdr:to>
      <xdr:col>3</xdr:col>
      <xdr:colOff>819150</xdr:colOff>
      <xdr:row>12</xdr:row>
      <xdr:rowOff>736940</xdr:rowOff>
    </xdr:to>
    <xdr:pic>
      <xdr:nvPicPr>
        <xdr:cNvPr id="3" name="Picture 2"/>
        <xdr:cNvPicPr>
          <a:picLocks noChangeAspect="1"/>
        </xdr:cNvPicPr>
      </xdr:nvPicPr>
      <xdr:blipFill>
        <a:blip xmlns:r="http://schemas.openxmlformats.org/officeDocument/2006/relationships" r:embed="rId3"/>
        <a:stretch>
          <a:fillRect/>
        </a:stretch>
      </xdr:blipFill>
      <xdr:spPr>
        <a:xfrm>
          <a:off x="4714874" y="4351815"/>
          <a:ext cx="742951" cy="576125"/>
        </a:xfrm>
        <a:prstGeom prst="rect">
          <a:avLst/>
        </a:prstGeom>
      </xdr:spPr>
    </xdr:pic>
    <xdr:clientData/>
  </xdr:twoCellAnchor>
  <xdr:twoCellAnchor editAs="oneCell">
    <xdr:from>
      <xdr:col>1</xdr:col>
      <xdr:colOff>219075</xdr:colOff>
      <xdr:row>14</xdr:row>
      <xdr:rowOff>104774</xdr:rowOff>
    </xdr:from>
    <xdr:to>
      <xdr:col>1</xdr:col>
      <xdr:colOff>3324224</xdr:colOff>
      <xdr:row>14</xdr:row>
      <xdr:rowOff>771525</xdr:rowOff>
    </xdr:to>
    <xdr:pic>
      <xdr:nvPicPr>
        <xdr:cNvPr id="4" name="Picture 3"/>
        <xdr:cNvPicPr>
          <a:picLocks noChangeAspect="1"/>
        </xdr:cNvPicPr>
      </xdr:nvPicPr>
      <xdr:blipFill>
        <a:blip xmlns:r="http://schemas.openxmlformats.org/officeDocument/2006/relationships" r:embed="rId4"/>
        <a:stretch>
          <a:fillRect/>
        </a:stretch>
      </xdr:blipFill>
      <xdr:spPr>
        <a:xfrm>
          <a:off x="619125" y="7877174"/>
          <a:ext cx="3105149" cy="666751"/>
        </a:xfrm>
        <a:prstGeom prst="rect">
          <a:avLst/>
        </a:prstGeom>
      </xdr:spPr>
    </xdr:pic>
    <xdr:clientData/>
  </xdr:twoCellAnchor>
  <xdr:twoCellAnchor editAs="oneCell">
    <xdr:from>
      <xdr:col>0</xdr:col>
      <xdr:colOff>66675</xdr:colOff>
      <xdr:row>29</xdr:row>
      <xdr:rowOff>19050</xdr:rowOff>
    </xdr:from>
    <xdr:to>
      <xdr:col>1</xdr:col>
      <xdr:colOff>3247577</xdr:colOff>
      <xdr:row>29</xdr:row>
      <xdr:rowOff>323850</xdr:rowOff>
    </xdr:to>
    <xdr:pic>
      <xdr:nvPicPr>
        <xdr:cNvPr id="20" name="Picture 19"/>
        <xdr:cNvPicPr>
          <a:picLocks noChangeAspect="1"/>
        </xdr:cNvPicPr>
      </xdr:nvPicPr>
      <xdr:blipFill>
        <a:blip xmlns:r="http://schemas.openxmlformats.org/officeDocument/2006/relationships" r:embed="rId5"/>
        <a:stretch>
          <a:fillRect/>
        </a:stretch>
      </xdr:blipFill>
      <xdr:spPr>
        <a:xfrm>
          <a:off x="66675" y="13392150"/>
          <a:ext cx="3580952" cy="304800"/>
        </a:xfrm>
        <a:prstGeom prst="rect">
          <a:avLst/>
        </a:prstGeom>
      </xdr:spPr>
    </xdr:pic>
    <xdr:clientData/>
  </xdr:twoCellAnchor>
  <xdr:twoCellAnchor editAs="oneCell">
    <xdr:from>
      <xdr:col>2</xdr:col>
      <xdr:colOff>57150</xdr:colOff>
      <xdr:row>27</xdr:row>
      <xdr:rowOff>28575</xdr:rowOff>
    </xdr:from>
    <xdr:to>
      <xdr:col>2</xdr:col>
      <xdr:colOff>628579</xdr:colOff>
      <xdr:row>27</xdr:row>
      <xdr:rowOff>342861</xdr:rowOff>
    </xdr:to>
    <xdr:pic>
      <xdr:nvPicPr>
        <xdr:cNvPr id="21" name="Picture 20"/>
        <xdr:cNvPicPr>
          <a:picLocks noChangeAspect="1"/>
        </xdr:cNvPicPr>
      </xdr:nvPicPr>
      <xdr:blipFill>
        <a:blip xmlns:r="http://schemas.openxmlformats.org/officeDocument/2006/relationships" r:embed="rId6"/>
        <a:stretch>
          <a:fillRect/>
        </a:stretch>
      </xdr:blipFill>
      <xdr:spPr>
        <a:xfrm>
          <a:off x="3648075" y="9886950"/>
          <a:ext cx="571429" cy="314286"/>
        </a:xfrm>
        <a:prstGeom prst="rect">
          <a:avLst/>
        </a:prstGeom>
      </xdr:spPr>
    </xdr:pic>
    <xdr:clientData/>
  </xdr:twoCellAnchor>
  <xdr:twoCellAnchor editAs="oneCell">
    <xdr:from>
      <xdr:col>3</xdr:col>
      <xdr:colOff>28575</xdr:colOff>
      <xdr:row>27</xdr:row>
      <xdr:rowOff>38100</xdr:rowOff>
    </xdr:from>
    <xdr:to>
      <xdr:col>3</xdr:col>
      <xdr:colOff>1180956</xdr:colOff>
      <xdr:row>27</xdr:row>
      <xdr:rowOff>352386</xdr:rowOff>
    </xdr:to>
    <xdr:pic>
      <xdr:nvPicPr>
        <xdr:cNvPr id="22" name="Picture 21"/>
        <xdr:cNvPicPr>
          <a:picLocks noChangeAspect="1"/>
        </xdr:cNvPicPr>
      </xdr:nvPicPr>
      <xdr:blipFill>
        <a:blip xmlns:r="http://schemas.openxmlformats.org/officeDocument/2006/relationships" r:embed="rId7"/>
        <a:stretch>
          <a:fillRect/>
        </a:stretch>
      </xdr:blipFill>
      <xdr:spPr>
        <a:xfrm>
          <a:off x="4667250" y="9896475"/>
          <a:ext cx="1152381" cy="314286"/>
        </a:xfrm>
        <a:prstGeom prst="rect">
          <a:avLst/>
        </a:prstGeom>
      </xdr:spPr>
    </xdr:pic>
    <xdr:clientData/>
  </xdr:twoCellAnchor>
  <xdr:twoCellAnchor editAs="oneCell">
    <xdr:from>
      <xdr:col>2</xdr:col>
      <xdr:colOff>28575</xdr:colOff>
      <xdr:row>36</xdr:row>
      <xdr:rowOff>47625</xdr:rowOff>
    </xdr:from>
    <xdr:to>
      <xdr:col>2</xdr:col>
      <xdr:colOff>590480</xdr:colOff>
      <xdr:row>36</xdr:row>
      <xdr:rowOff>342863</xdr:rowOff>
    </xdr:to>
    <xdr:pic>
      <xdr:nvPicPr>
        <xdr:cNvPr id="23" name="Picture 22"/>
        <xdr:cNvPicPr>
          <a:picLocks noChangeAspect="1"/>
        </xdr:cNvPicPr>
      </xdr:nvPicPr>
      <xdr:blipFill>
        <a:blip xmlns:r="http://schemas.openxmlformats.org/officeDocument/2006/relationships" r:embed="rId8"/>
        <a:stretch>
          <a:fillRect/>
        </a:stretch>
      </xdr:blipFill>
      <xdr:spPr>
        <a:xfrm>
          <a:off x="3619500" y="11877675"/>
          <a:ext cx="561905" cy="295238"/>
        </a:xfrm>
        <a:prstGeom prst="rect">
          <a:avLst/>
        </a:prstGeom>
      </xdr:spPr>
    </xdr:pic>
    <xdr:clientData/>
  </xdr:twoCellAnchor>
  <xdr:twoCellAnchor editAs="oneCell">
    <xdr:from>
      <xdr:col>3</xdr:col>
      <xdr:colOff>38100</xdr:colOff>
      <xdr:row>36</xdr:row>
      <xdr:rowOff>14681</xdr:rowOff>
    </xdr:from>
    <xdr:to>
      <xdr:col>3</xdr:col>
      <xdr:colOff>1171575</xdr:colOff>
      <xdr:row>36</xdr:row>
      <xdr:rowOff>323811</xdr:rowOff>
    </xdr:to>
    <xdr:pic>
      <xdr:nvPicPr>
        <xdr:cNvPr id="24" name="Picture 23"/>
        <xdr:cNvPicPr>
          <a:picLocks noChangeAspect="1"/>
        </xdr:cNvPicPr>
      </xdr:nvPicPr>
      <xdr:blipFill>
        <a:blip xmlns:r="http://schemas.openxmlformats.org/officeDocument/2006/relationships" r:embed="rId9"/>
        <a:stretch>
          <a:fillRect/>
        </a:stretch>
      </xdr:blipFill>
      <xdr:spPr>
        <a:xfrm>
          <a:off x="4676775" y="11844731"/>
          <a:ext cx="1133475" cy="309130"/>
        </a:xfrm>
        <a:prstGeom prst="rect">
          <a:avLst/>
        </a:prstGeom>
      </xdr:spPr>
    </xdr:pic>
    <xdr:clientData/>
  </xdr:twoCellAnchor>
  <xdr:twoCellAnchor editAs="oneCell">
    <xdr:from>
      <xdr:col>0</xdr:col>
      <xdr:colOff>85725</xdr:colOff>
      <xdr:row>37</xdr:row>
      <xdr:rowOff>38100</xdr:rowOff>
    </xdr:from>
    <xdr:to>
      <xdr:col>1</xdr:col>
      <xdr:colOff>3352800</xdr:colOff>
      <xdr:row>37</xdr:row>
      <xdr:rowOff>390481</xdr:rowOff>
    </xdr:to>
    <xdr:pic>
      <xdr:nvPicPr>
        <xdr:cNvPr id="25" name="Picture 24"/>
        <xdr:cNvPicPr>
          <a:picLocks noChangeAspect="1"/>
        </xdr:cNvPicPr>
      </xdr:nvPicPr>
      <xdr:blipFill>
        <a:blip xmlns:r="http://schemas.openxmlformats.org/officeDocument/2006/relationships" r:embed="rId10"/>
        <a:stretch>
          <a:fillRect/>
        </a:stretch>
      </xdr:blipFill>
      <xdr:spPr>
        <a:xfrm>
          <a:off x="85725" y="16240125"/>
          <a:ext cx="3667125" cy="352381"/>
        </a:xfrm>
        <a:prstGeom prst="rect">
          <a:avLst/>
        </a:prstGeom>
      </xdr:spPr>
    </xdr:pic>
    <xdr:clientData/>
  </xdr:twoCellAnchor>
  <xdr:twoCellAnchor editAs="oneCell">
    <xdr:from>
      <xdr:col>2</xdr:col>
      <xdr:colOff>85725</xdr:colOff>
      <xdr:row>44</xdr:row>
      <xdr:rowOff>38100</xdr:rowOff>
    </xdr:from>
    <xdr:to>
      <xdr:col>2</xdr:col>
      <xdr:colOff>628582</xdr:colOff>
      <xdr:row>44</xdr:row>
      <xdr:rowOff>333338</xdr:rowOff>
    </xdr:to>
    <xdr:pic>
      <xdr:nvPicPr>
        <xdr:cNvPr id="26" name="Picture 25"/>
        <xdr:cNvPicPr>
          <a:picLocks noChangeAspect="1"/>
        </xdr:cNvPicPr>
      </xdr:nvPicPr>
      <xdr:blipFill>
        <a:blip xmlns:r="http://schemas.openxmlformats.org/officeDocument/2006/relationships" r:embed="rId11"/>
        <a:stretch>
          <a:fillRect/>
        </a:stretch>
      </xdr:blipFill>
      <xdr:spPr>
        <a:xfrm>
          <a:off x="4438650" y="19326225"/>
          <a:ext cx="542857" cy="295238"/>
        </a:xfrm>
        <a:prstGeom prst="rect">
          <a:avLst/>
        </a:prstGeom>
      </xdr:spPr>
    </xdr:pic>
    <xdr:clientData/>
  </xdr:twoCellAnchor>
  <xdr:twoCellAnchor editAs="oneCell">
    <xdr:from>
      <xdr:col>3</xdr:col>
      <xdr:colOff>47625</xdr:colOff>
      <xdr:row>44</xdr:row>
      <xdr:rowOff>19050</xdr:rowOff>
    </xdr:from>
    <xdr:to>
      <xdr:col>3</xdr:col>
      <xdr:colOff>1190482</xdr:colOff>
      <xdr:row>44</xdr:row>
      <xdr:rowOff>352383</xdr:rowOff>
    </xdr:to>
    <xdr:pic>
      <xdr:nvPicPr>
        <xdr:cNvPr id="27" name="Picture 26"/>
        <xdr:cNvPicPr>
          <a:picLocks noChangeAspect="1"/>
        </xdr:cNvPicPr>
      </xdr:nvPicPr>
      <xdr:blipFill>
        <a:blip xmlns:r="http://schemas.openxmlformats.org/officeDocument/2006/relationships" r:embed="rId12"/>
        <a:stretch>
          <a:fillRect/>
        </a:stretch>
      </xdr:blipFill>
      <xdr:spPr>
        <a:xfrm>
          <a:off x="5495925" y="19307175"/>
          <a:ext cx="1142857" cy="333333"/>
        </a:xfrm>
        <a:prstGeom prst="rect">
          <a:avLst/>
        </a:prstGeom>
      </xdr:spPr>
    </xdr:pic>
    <xdr:clientData/>
  </xdr:twoCellAnchor>
  <xdr:twoCellAnchor editAs="oneCell">
    <xdr:from>
      <xdr:col>0</xdr:col>
      <xdr:colOff>95250</xdr:colOff>
      <xdr:row>45</xdr:row>
      <xdr:rowOff>66675</xdr:rowOff>
    </xdr:from>
    <xdr:to>
      <xdr:col>1</xdr:col>
      <xdr:colOff>3285676</xdr:colOff>
      <xdr:row>45</xdr:row>
      <xdr:rowOff>371437</xdr:rowOff>
    </xdr:to>
    <xdr:pic>
      <xdr:nvPicPr>
        <xdr:cNvPr id="28" name="Picture 27"/>
        <xdr:cNvPicPr>
          <a:picLocks noChangeAspect="1"/>
        </xdr:cNvPicPr>
      </xdr:nvPicPr>
      <xdr:blipFill>
        <a:blip xmlns:r="http://schemas.openxmlformats.org/officeDocument/2006/relationships" r:embed="rId13"/>
        <a:stretch>
          <a:fillRect/>
        </a:stretch>
      </xdr:blipFill>
      <xdr:spPr>
        <a:xfrm>
          <a:off x="95250" y="19145250"/>
          <a:ext cx="3590476" cy="304762"/>
        </a:xfrm>
        <a:prstGeom prst="rect">
          <a:avLst/>
        </a:prstGeom>
      </xdr:spPr>
    </xdr:pic>
    <xdr:clientData/>
  </xdr:twoCellAnchor>
  <xdr:twoCellAnchor editAs="oneCell">
    <xdr:from>
      <xdr:col>3</xdr:col>
      <xdr:colOff>28575</xdr:colOff>
      <xdr:row>50</xdr:row>
      <xdr:rowOff>38100</xdr:rowOff>
    </xdr:from>
    <xdr:to>
      <xdr:col>3</xdr:col>
      <xdr:colOff>1161908</xdr:colOff>
      <xdr:row>50</xdr:row>
      <xdr:rowOff>323814</xdr:rowOff>
    </xdr:to>
    <xdr:pic>
      <xdr:nvPicPr>
        <xdr:cNvPr id="29" name="Picture 28"/>
        <xdr:cNvPicPr>
          <a:picLocks noChangeAspect="1"/>
        </xdr:cNvPicPr>
      </xdr:nvPicPr>
      <xdr:blipFill>
        <a:blip xmlns:r="http://schemas.openxmlformats.org/officeDocument/2006/relationships" r:embed="rId14"/>
        <a:stretch>
          <a:fillRect/>
        </a:stretch>
      </xdr:blipFill>
      <xdr:spPr>
        <a:xfrm>
          <a:off x="5476875" y="21412200"/>
          <a:ext cx="1133333" cy="285714"/>
        </a:xfrm>
        <a:prstGeom prst="rect">
          <a:avLst/>
        </a:prstGeom>
      </xdr:spPr>
    </xdr:pic>
    <xdr:clientData/>
  </xdr:twoCellAnchor>
  <xdr:twoCellAnchor editAs="oneCell">
    <xdr:from>
      <xdr:col>2</xdr:col>
      <xdr:colOff>57150</xdr:colOff>
      <xdr:row>50</xdr:row>
      <xdr:rowOff>38100</xdr:rowOff>
    </xdr:from>
    <xdr:to>
      <xdr:col>2</xdr:col>
      <xdr:colOff>609531</xdr:colOff>
      <xdr:row>50</xdr:row>
      <xdr:rowOff>333338</xdr:rowOff>
    </xdr:to>
    <xdr:pic>
      <xdr:nvPicPr>
        <xdr:cNvPr id="30" name="Picture 29"/>
        <xdr:cNvPicPr>
          <a:picLocks noChangeAspect="1"/>
        </xdr:cNvPicPr>
      </xdr:nvPicPr>
      <xdr:blipFill>
        <a:blip xmlns:r="http://schemas.openxmlformats.org/officeDocument/2006/relationships" r:embed="rId15"/>
        <a:stretch>
          <a:fillRect/>
        </a:stretch>
      </xdr:blipFill>
      <xdr:spPr>
        <a:xfrm>
          <a:off x="4410075" y="21412200"/>
          <a:ext cx="552381" cy="295238"/>
        </a:xfrm>
        <a:prstGeom prst="rect">
          <a:avLst/>
        </a:prstGeom>
      </xdr:spPr>
    </xdr:pic>
    <xdr:clientData/>
  </xdr:twoCellAnchor>
  <xdr:twoCellAnchor editAs="oneCell">
    <xdr:from>
      <xdr:col>0</xdr:col>
      <xdr:colOff>190500</xdr:colOff>
      <xdr:row>51</xdr:row>
      <xdr:rowOff>76200</xdr:rowOff>
    </xdr:from>
    <xdr:to>
      <xdr:col>1</xdr:col>
      <xdr:colOff>3390450</xdr:colOff>
      <xdr:row>51</xdr:row>
      <xdr:rowOff>390486</xdr:rowOff>
    </xdr:to>
    <xdr:pic>
      <xdr:nvPicPr>
        <xdr:cNvPr id="31" name="Picture 30"/>
        <xdr:cNvPicPr>
          <a:picLocks noChangeAspect="1"/>
        </xdr:cNvPicPr>
      </xdr:nvPicPr>
      <xdr:blipFill>
        <a:blip xmlns:r="http://schemas.openxmlformats.org/officeDocument/2006/relationships" r:embed="rId16"/>
        <a:stretch>
          <a:fillRect/>
        </a:stretch>
      </xdr:blipFill>
      <xdr:spPr>
        <a:xfrm>
          <a:off x="190500" y="21326475"/>
          <a:ext cx="3600000" cy="314286"/>
        </a:xfrm>
        <a:prstGeom prst="rect">
          <a:avLst/>
        </a:prstGeom>
      </xdr:spPr>
    </xdr:pic>
    <xdr:clientData/>
  </xdr:twoCellAnchor>
  <xdr:twoCellAnchor editAs="oneCell">
    <xdr:from>
      <xdr:col>3</xdr:col>
      <xdr:colOff>38100</xdr:colOff>
      <xdr:row>56</xdr:row>
      <xdr:rowOff>57150</xdr:rowOff>
    </xdr:from>
    <xdr:to>
      <xdr:col>3</xdr:col>
      <xdr:colOff>1209529</xdr:colOff>
      <xdr:row>56</xdr:row>
      <xdr:rowOff>352388</xdr:rowOff>
    </xdr:to>
    <xdr:pic>
      <xdr:nvPicPr>
        <xdr:cNvPr id="32" name="Picture 31"/>
        <xdr:cNvPicPr>
          <a:picLocks noChangeAspect="1"/>
        </xdr:cNvPicPr>
      </xdr:nvPicPr>
      <xdr:blipFill>
        <a:blip xmlns:r="http://schemas.openxmlformats.org/officeDocument/2006/relationships" r:embed="rId17"/>
        <a:stretch>
          <a:fillRect/>
        </a:stretch>
      </xdr:blipFill>
      <xdr:spPr>
        <a:xfrm>
          <a:off x="4676775" y="17306925"/>
          <a:ext cx="1171429" cy="295238"/>
        </a:xfrm>
        <a:prstGeom prst="rect">
          <a:avLst/>
        </a:prstGeom>
      </xdr:spPr>
    </xdr:pic>
    <xdr:clientData/>
  </xdr:twoCellAnchor>
  <xdr:twoCellAnchor editAs="oneCell">
    <xdr:from>
      <xdr:col>2</xdr:col>
      <xdr:colOff>19050</xdr:colOff>
      <xdr:row>56</xdr:row>
      <xdr:rowOff>47625</xdr:rowOff>
    </xdr:from>
    <xdr:to>
      <xdr:col>2</xdr:col>
      <xdr:colOff>561907</xdr:colOff>
      <xdr:row>56</xdr:row>
      <xdr:rowOff>361911</xdr:rowOff>
    </xdr:to>
    <xdr:pic>
      <xdr:nvPicPr>
        <xdr:cNvPr id="33" name="Picture 32"/>
        <xdr:cNvPicPr>
          <a:picLocks noChangeAspect="1"/>
        </xdr:cNvPicPr>
      </xdr:nvPicPr>
      <xdr:blipFill>
        <a:blip xmlns:r="http://schemas.openxmlformats.org/officeDocument/2006/relationships" r:embed="rId18"/>
        <a:stretch>
          <a:fillRect/>
        </a:stretch>
      </xdr:blipFill>
      <xdr:spPr>
        <a:xfrm>
          <a:off x="3609975" y="17297400"/>
          <a:ext cx="542857" cy="314286"/>
        </a:xfrm>
        <a:prstGeom prst="rect">
          <a:avLst/>
        </a:prstGeom>
      </xdr:spPr>
    </xdr:pic>
    <xdr:clientData/>
  </xdr:twoCellAnchor>
  <xdr:twoCellAnchor editAs="oneCell">
    <xdr:from>
      <xdr:col>0</xdr:col>
      <xdr:colOff>66675</xdr:colOff>
      <xdr:row>57</xdr:row>
      <xdr:rowOff>66675</xdr:rowOff>
    </xdr:from>
    <xdr:to>
      <xdr:col>1</xdr:col>
      <xdr:colOff>3266625</xdr:colOff>
      <xdr:row>57</xdr:row>
      <xdr:rowOff>390485</xdr:rowOff>
    </xdr:to>
    <xdr:pic>
      <xdr:nvPicPr>
        <xdr:cNvPr id="34" name="Picture 33"/>
        <xdr:cNvPicPr>
          <a:picLocks noChangeAspect="1"/>
        </xdr:cNvPicPr>
      </xdr:nvPicPr>
      <xdr:blipFill>
        <a:blip xmlns:r="http://schemas.openxmlformats.org/officeDocument/2006/relationships" r:embed="rId19"/>
        <a:stretch>
          <a:fillRect/>
        </a:stretch>
      </xdr:blipFill>
      <xdr:spPr>
        <a:xfrm>
          <a:off x="66675" y="23583900"/>
          <a:ext cx="3600000" cy="323810"/>
        </a:xfrm>
        <a:prstGeom prst="rect">
          <a:avLst/>
        </a:prstGeom>
      </xdr:spPr>
    </xdr:pic>
    <xdr:clientData/>
  </xdr:twoCellAnchor>
  <xdr:twoCellAnchor editAs="oneCell">
    <xdr:from>
      <xdr:col>3</xdr:col>
      <xdr:colOff>38100</xdr:colOff>
      <xdr:row>62</xdr:row>
      <xdr:rowOff>47625</xdr:rowOff>
    </xdr:from>
    <xdr:to>
      <xdr:col>3</xdr:col>
      <xdr:colOff>1180957</xdr:colOff>
      <xdr:row>62</xdr:row>
      <xdr:rowOff>352387</xdr:rowOff>
    </xdr:to>
    <xdr:pic>
      <xdr:nvPicPr>
        <xdr:cNvPr id="35" name="Picture 34"/>
        <xdr:cNvPicPr>
          <a:picLocks noChangeAspect="1"/>
        </xdr:cNvPicPr>
      </xdr:nvPicPr>
      <xdr:blipFill>
        <a:blip xmlns:r="http://schemas.openxmlformats.org/officeDocument/2006/relationships" r:embed="rId20"/>
        <a:stretch>
          <a:fillRect/>
        </a:stretch>
      </xdr:blipFill>
      <xdr:spPr>
        <a:xfrm>
          <a:off x="4676775" y="18897600"/>
          <a:ext cx="1142857" cy="304762"/>
        </a:xfrm>
        <a:prstGeom prst="rect">
          <a:avLst/>
        </a:prstGeom>
      </xdr:spPr>
    </xdr:pic>
    <xdr:clientData/>
  </xdr:twoCellAnchor>
  <xdr:twoCellAnchor editAs="oneCell">
    <xdr:from>
      <xdr:col>2</xdr:col>
      <xdr:colOff>9525</xdr:colOff>
      <xdr:row>62</xdr:row>
      <xdr:rowOff>57150</xdr:rowOff>
    </xdr:from>
    <xdr:to>
      <xdr:col>2</xdr:col>
      <xdr:colOff>561906</xdr:colOff>
      <xdr:row>62</xdr:row>
      <xdr:rowOff>352388</xdr:rowOff>
    </xdr:to>
    <xdr:pic>
      <xdr:nvPicPr>
        <xdr:cNvPr id="36" name="Picture 35"/>
        <xdr:cNvPicPr>
          <a:picLocks noChangeAspect="1"/>
        </xdr:cNvPicPr>
      </xdr:nvPicPr>
      <xdr:blipFill>
        <a:blip xmlns:r="http://schemas.openxmlformats.org/officeDocument/2006/relationships" r:embed="rId21"/>
        <a:stretch>
          <a:fillRect/>
        </a:stretch>
      </xdr:blipFill>
      <xdr:spPr>
        <a:xfrm>
          <a:off x="3600450" y="18907125"/>
          <a:ext cx="552381" cy="295238"/>
        </a:xfrm>
        <a:prstGeom prst="rect">
          <a:avLst/>
        </a:prstGeom>
      </xdr:spPr>
    </xdr:pic>
    <xdr:clientData/>
  </xdr:twoCellAnchor>
  <xdr:twoCellAnchor editAs="oneCell">
    <xdr:from>
      <xdr:col>3</xdr:col>
      <xdr:colOff>38100</xdr:colOff>
      <xdr:row>66</xdr:row>
      <xdr:rowOff>57150</xdr:rowOff>
    </xdr:from>
    <xdr:to>
      <xdr:col>3</xdr:col>
      <xdr:colOff>1171433</xdr:colOff>
      <xdr:row>66</xdr:row>
      <xdr:rowOff>333340</xdr:rowOff>
    </xdr:to>
    <xdr:pic>
      <xdr:nvPicPr>
        <xdr:cNvPr id="38" name="Picture 37"/>
        <xdr:cNvPicPr>
          <a:picLocks noChangeAspect="1"/>
        </xdr:cNvPicPr>
      </xdr:nvPicPr>
      <xdr:blipFill>
        <a:blip xmlns:r="http://schemas.openxmlformats.org/officeDocument/2006/relationships" r:embed="rId22"/>
        <a:stretch>
          <a:fillRect/>
        </a:stretch>
      </xdr:blipFill>
      <xdr:spPr>
        <a:xfrm>
          <a:off x="4676775" y="20126325"/>
          <a:ext cx="1133333" cy="276190"/>
        </a:xfrm>
        <a:prstGeom prst="rect">
          <a:avLst/>
        </a:prstGeom>
      </xdr:spPr>
    </xdr:pic>
    <xdr:clientData/>
  </xdr:twoCellAnchor>
  <xdr:twoCellAnchor editAs="oneCell">
    <xdr:from>
      <xdr:col>2</xdr:col>
      <xdr:colOff>28575</xdr:colOff>
      <xdr:row>66</xdr:row>
      <xdr:rowOff>47625</xdr:rowOff>
    </xdr:from>
    <xdr:to>
      <xdr:col>2</xdr:col>
      <xdr:colOff>571432</xdr:colOff>
      <xdr:row>66</xdr:row>
      <xdr:rowOff>342863</xdr:rowOff>
    </xdr:to>
    <xdr:pic>
      <xdr:nvPicPr>
        <xdr:cNvPr id="39" name="Picture 38"/>
        <xdr:cNvPicPr>
          <a:picLocks noChangeAspect="1"/>
        </xdr:cNvPicPr>
      </xdr:nvPicPr>
      <xdr:blipFill>
        <a:blip xmlns:r="http://schemas.openxmlformats.org/officeDocument/2006/relationships" r:embed="rId23"/>
        <a:stretch>
          <a:fillRect/>
        </a:stretch>
      </xdr:blipFill>
      <xdr:spPr>
        <a:xfrm>
          <a:off x="3619500" y="20116800"/>
          <a:ext cx="542857" cy="295238"/>
        </a:xfrm>
        <a:prstGeom prst="rect">
          <a:avLst/>
        </a:prstGeom>
      </xdr:spPr>
    </xdr:pic>
    <xdr:clientData/>
  </xdr:twoCellAnchor>
  <xdr:twoCellAnchor editAs="oneCell">
    <xdr:from>
      <xdr:col>0</xdr:col>
      <xdr:colOff>85725</xdr:colOff>
      <xdr:row>67</xdr:row>
      <xdr:rowOff>66675</xdr:rowOff>
    </xdr:from>
    <xdr:to>
      <xdr:col>1</xdr:col>
      <xdr:colOff>3314246</xdr:colOff>
      <xdr:row>67</xdr:row>
      <xdr:rowOff>380961</xdr:rowOff>
    </xdr:to>
    <xdr:pic>
      <xdr:nvPicPr>
        <xdr:cNvPr id="40" name="Picture 39"/>
        <xdr:cNvPicPr>
          <a:picLocks noChangeAspect="1"/>
        </xdr:cNvPicPr>
      </xdr:nvPicPr>
      <xdr:blipFill>
        <a:blip xmlns:r="http://schemas.openxmlformats.org/officeDocument/2006/relationships" r:embed="rId24"/>
        <a:stretch>
          <a:fillRect/>
        </a:stretch>
      </xdr:blipFill>
      <xdr:spPr>
        <a:xfrm>
          <a:off x="85725" y="27336750"/>
          <a:ext cx="3628571" cy="314286"/>
        </a:xfrm>
        <a:prstGeom prst="rect">
          <a:avLst/>
        </a:prstGeom>
      </xdr:spPr>
    </xdr:pic>
    <xdr:clientData/>
  </xdr:twoCellAnchor>
  <xdr:twoCellAnchor editAs="oneCell">
    <xdr:from>
      <xdr:col>1</xdr:col>
      <xdr:colOff>2581275</xdr:colOff>
      <xdr:row>70</xdr:row>
      <xdr:rowOff>95250</xdr:rowOff>
    </xdr:from>
    <xdr:to>
      <xdr:col>1</xdr:col>
      <xdr:colOff>3238418</xdr:colOff>
      <xdr:row>70</xdr:row>
      <xdr:rowOff>352393</xdr:rowOff>
    </xdr:to>
    <xdr:pic>
      <xdr:nvPicPr>
        <xdr:cNvPr id="45" name="Picture 44"/>
        <xdr:cNvPicPr>
          <a:picLocks noChangeAspect="1"/>
        </xdr:cNvPicPr>
      </xdr:nvPicPr>
      <xdr:blipFill>
        <a:blip xmlns:r="http://schemas.openxmlformats.org/officeDocument/2006/relationships" r:embed="rId25"/>
        <a:stretch>
          <a:fillRect/>
        </a:stretch>
      </xdr:blipFill>
      <xdr:spPr>
        <a:xfrm>
          <a:off x="2981325" y="29232225"/>
          <a:ext cx="657143" cy="257143"/>
        </a:xfrm>
        <a:prstGeom prst="rect">
          <a:avLst/>
        </a:prstGeom>
      </xdr:spPr>
    </xdr:pic>
    <xdr:clientData/>
  </xdr:twoCellAnchor>
  <xdr:twoCellAnchor editAs="oneCell">
    <xdr:from>
      <xdr:col>1</xdr:col>
      <xdr:colOff>2686050</xdr:colOff>
      <xdr:row>16</xdr:row>
      <xdr:rowOff>85725</xdr:rowOff>
    </xdr:from>
    <xdr:to>
      <xdr:col>1</xdr:col>
      <xdr:colOff>3343193</xdr:colOff>
      <xdr:row>16</xdr:row>
      <xdr:rowOff>342868</xdr:rowOff>
    </xdr:to>
    <xdr:pic>
      <xdr:nvPicPr>
        <xdr:cNvPr id="46" name="Picture 45"/>
        <xdr:cNvPicPr>
          <a:picLocks noChangeAspect="1"/>
        </xdr:cNvPicPr>
      </xdr:nvPicPr>
      <xdr:blipFill>
        <a:blip xmlns:r="http://schemas.openxmlformats.org/officeDocument/2006/relationships" r:embed="rId25"/>
        <a:stretch>
          <a:fillRect/>
        </a:stretch>
      </xdr:blipFill>
      <xdr:spPr>
        <a:xfrm>
          <a:off x="3086100" y="9210675"/>
          <a:ext cx="657143" cy="257143"/>
        </a:xfrm>
        <a:prstGeom prst="rect">
          <a:avLst/>
        </a:prstGeom>
      </xdr:spPr>
    </xdr:pic>
    <xdr:clientData/>
  </xdr:twoCellAnchor>
  <xdr:twoCellAnchor editAs="oneCell">
    <xdr:from>
      <xdr:col>1</xdr:col>
      <xdr:colOff>2686050</xdr:colOff>
      <xdr:row>16</xdr:row>
      <xdr:rowOff>85725</xdr:rowOff>
    </xdr:from>
    <xdr:to>
      <xdr:col>1</xdr:col>
      <xdr:colOff>3343193</xdr:colOff>
      <xdr:row>16</xdr:row>
      <xdr:rowOff>342868</xdr:rowOff>
    </xdr:to>
    <xdr:pic>
      <xdr:nvPicPr>
        <xdr:cNvPr id="47" name="Picture 46"/>
        <xdr:cNvPicPr>
          <a:picLocks noChangeAspect="1"/>
        </xdr:cNvPicPr>
      </xdr:nvPicPr>
      <xdr:blipFill>
        <a:blip xmlns:r="http://schemas.openxmlformats.org/officeDocument/2006/relationships" r:embed="rId25"/>
        <a:stretch>
          <a:fillRect/>
        </a:stretch>
      </xdr:blipFill>
      <xdr:spPr>
        <a:xfrm>
          <a:off x="3086100" y="8982075"/>
          <a:ext cx="657143" cy="257143"/>
        </a:xfrm>
        <a:prstGeom prst="rect">
          <a:avLst/>
        </a:prstGeom>
      </xdr:spPr>
    </xdr:pic>
    <xdr:clientData/>
  </xdr:twoCellAnchor>
  <xdr:twoCellAnchor editAs="oneCell">
    <xdr:from>
      <xdr:col>0</xdr:col>
      <xdr:colOff>161925</xdr:colOff>
      <xdr:row>69</xdr:row>
      <xdr:rowOff>76200</xdr:rowOff>
    </xdr:from>
    <xdr:to>
      <xdr:col>1</xdr:col>
      <xdr:colOff>3221898</xdr:colOff>
      <xdr:row>69</xdr:row>
      <xdr:rowOff>819151</xdr:rowOff>
    </xdr:to>
    <xdr:pic>
      <xdr:nvPicPr>
        <xdr:cNvPr id="48" name="Picture 47"/>
        <xdr:cNvPicPr>
          <a:picLocks noChangeAspect="1"/>
        </xdr:cNvPicPr>
      </xdr:nvPicPr>
      <xdr:blipFill>
        <a:blip xmlns:r="http://schemas.openxmlformats.org/officeDocument/2006/relationships" r:embed="rId4"/>
        <a:stretch>
          <a:fillRect/>
        </a:stretch>
      </xdr:blipFill>
      <xdr:spPr>
        <a:xfrm>
          <a:off x="161925" y="28136850"/>
          <a:ext cx="3460023" cy="7429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33336</xdr:colOff>
      <xdr:row>73</xdr:row>
      <xdr:rowOff>28575</xdr:rowOff>
    </xdr:from>
    <xdr:to>
      <xdr:col>19</xdr:col>
      <xdr:colOff>838199</xdr:colOff>
      <xdr:row>87</xdr:row>
      <xdr:rowOff>104775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42862</xdr:colOff>
      <xdr:row>51</xdr:row>
      <xdr:rowOff>19049</xdr:rowOff>
    </xdr:from>
    <xdr:to>
      <xdr:col>19</xdr:col>
      <xdr:colOff>838200</xdr:colOff>
      <xdr:row>70</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14286</xdr:colOff>
      <xdr:row>31</xdr:row>
      <xdr:rowOff>66674</xdr:rowOff>
    </xdr:from>
    <xdr:to>
      <xdr:col>19</xdr:col>
      <xdr:colOff>809625</xdr:colOff>
      <xdr:row>48</xdr:row>
      <xdr:rowOff>123825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57</xdr:row>
      <xdr:rowOff>57150</xdr:rowOff>
    </xdr:from>
    <xdr:to>
      <xdr:col>1</xdr:col>
      <xdr:colOff>3342825</xdr:colOff>
      <xdr:row>57</xdr:row>
      <xdr:rowOff>380960</xdr:rowOff>
    </xdr:to>
    <xdr:pic>
      <xdr:nvPicPr>
        <xdr:cNvPr id="2" name="Picture 1"/>
        <xdr:cNvPicPr>
          <a:picLocks noChangeAspect="1"/>
        </xdr:cNvPicPr>
      </xdr:nvPicPr>
      <xdr:blipFill>
        <a:blip xmlns:r="http://schemas.openxmlformats.org/officeDocument/2006/relationships" r:embed="rId1"/>
        <a:stretch>
          <a:fillRect/>
        </a:stretch>
      </xdr:blipFill>
      <xdr:spPr>
        <a:xfrm>
          <a:off x="85725" y="25765125"/>
          <a:ext cx="3600000" cy="323810"/>
        </a:xfrm>
        <a:prstGeom prst="rect">
          <a:avLst/>
        </a:prstGeom>
      </xdr:spPr>
    </xdr:pic>
    <xdr:clientData/>
  </xdr:twoCellAnchor>
  <xdr:twoCellAnchor editAs="oneCell">
    <xdr:from>
      <xdr:col>2</xdr:col>
      <xdr:colOff>38100</xdr:colOff>
      <xdr:row>12</xdr:row>
      <xdr:rowOff>152399</xdr:rowOff>
    </xdr:from>
    <xdr:to>
      <xdr:col>2</xdr:col>
      <xdr:colOff>647700</xdr:colOff>
      <xdr:row>12</xdr:row>
      <xdr:rowOff>721894</xdr:rowOff>
    </xdr:to>
    <xdr:pic>
      <xdr:nvPicPr>
        <xdr:cNvPr id="3" name="Picture 2"/>
        <xdr:cNvPicPr>
          <a:picLocks noChangeAspect="1"/>
        </xdr:cNvPicPr>
      </xdr:nvPicPr>
      <xdr:blipFill>
        <a:blip xmlns:r="http://schemas.openxmlformats.org/officeDocument/2006/relationships" r:embed="rId2"/>
        <a:stretch>
          <a:fillRect/>
        </a:stretch>
      </xdr:blipFill>
      <xdr:spPr>
        <a:xfrm>
          <a:off x="3629025" y="6543674"/>
          <a:ext cx="609600" cy="569495"/>
        </a:xfrm>
        <a:prstGeom prst="rect">
          <a:avLst/>
        </a:prstGeom>
      </xdr:spPr>
    </xdr:pic>
    <xdr:clientData/>
  </xdr:twoCellAnchor>
  <xdr:twoCellAnchor editAs="oneCell">
    <xdr:from>
      <xdr:col>3</xdr:col>
      <xdr:colOff>76199</xdr:colOff>
      <xdr:row>12</xdr:row>
      <xdr:rowOff>160815</xdr:rowOff>
    </xdr:from>
    <xdr:to>
      <xdr:col>3</xdr:col>
      <xdr:colOff>819150</xdr:colOff>
      <xdr:row>12</xdr:row>
      <xdr:rowOff>736940</xdr:rowOff>
    </xdr:to>
    <xdr:pic>
      <xdr:nvPicPr>
        <xdr:cNvPr id="4" name="Picture 3"/>
        <xdr:cNvPicPr>
          <a:picLocks noChangeAspect="1"/>
        </xdr:cNvPicPr>
      </xdr:nvPicPr>
      <xdr:blipFill>
        <a:blip xmlns:r="http://schemas.openxmlformats.org/officeDocument/2006/relationships" r:embed="rId3"/>
        <a:stretch>
          <a:fillRect/>
        </a:stretch>
      </xdr:blipFill>
      <xdr:spPr>
        <a:xfrm>
          <a:off x="4714874" y="4818540"/>
          <a:ext cx="742951" cy="576125"/>
        </a:xfrm>
        <a:prstGeom prst="rect">
          <a:avLst/>
        </a:prstGeom>
      </xdr:spPr>
    </xdr:pic>
    <xdr:clientData/>
  </xdr:twoCellAnchor>
  <xdr:twoCellAnchor editAs="oneCell">
    <xdr:from>
      <xdr:col>1</xdr:col>
      <xdr:colOff>447675</xdr:colOff>
      <xdr:row>14</xdr:row>
      <xdr:rowOff>142874</xdr:rowOff>
    </xdr:from>
    <xdr:to>
      <xdr:col>1</xdr:col>
      <xdr:colOff>3552824</xdr:colOff>
      <xdr:row>14</xdr:row>
      <xdr:rowOff>809625</xdr:rowOff>
    </xdr:to>
    <xdr:pic>
      <xdr:nvPicPr>
        <xdr:cNvPr id="5" name="Picture 4"/>
        <xdr:cNvPicPr>
          <a:picLocks noChangeAspect="1"/>
        </xdr:cNvPicPr>
      </xdr:nvPicPr>
      <xdr:blipFill>
        <a:blip xmlns:r="http://schemas.openxmlformats.org/officeDocument/2006/relationships" r:embed="rId4"/>
        <a:stretch>
          <a:fillRect/>
        </a:stretch>
      </xdr:blipFill>
      <xdr:spPr>
        <a:xfrm>
          <a:off x="790575" y="8172449"/>
          <a:ext cx="3105149" cy="666751"/>
        </a:xfrm>
        <a:prstGeom prst="rect">
          <a:avLst/>
        </a:prstGeom>
      </xdr:spPr>
    </xdr:pic>
    <xdr:clientData/>
  </xdr:twoCellAnchor>
  <xdr:twoCellAnchor editAs="oneCell">
    <xdr:from>
      <xdr:col>1</xdr:col>
      <xdr:colOff>2686050</xdr:colOff>
      <xdr:row>16</xdr:row>
      <xdr:rowOff>85725</xdr:rowOff>
    </xdr:from>
    <xdr:to>
      <xdr:col>1</xdr:col>
      <xdr:colOff>3343193</xdr:colOff>
      <xdr:row>16</xdr:row>
      <xdr:rowOff>342868</xdr:rowOff>
    </xdr:to>
    <xdr:pic>
      <xdr:nvPicPr>
        <xdr:cNvPr id="6" name="Picture 5"/>
        <xdr:cNvPicPr>
          <a:picLocks noChangeAspect="1"/>
        </xdr:cNvPicPr>
      </xdr:nvPicPr>
      <xdr:blipFill>
        <a:blip xmlns:r="http://schemas.openxmlformats.org/officeDocument/2006/relationships" r:embed="rId5"/>
        <a:stretch>
          <a:fillRect/>
        </a:stretch>
      </xdr:blipFill>
      <xdr:spPr>
        <a:xfrm>
          <a:off x="3028950" y="7019925"/>
          <a:ext cx="657143" cy="257143"/>
        </a:xfrm>
        <a:prstGeom prst="rect">
          <a:avLst/>
        </a:prstGeom>
      </xdr:spPr>
    </xdr:pic>
    <xdr:clientData/>
  </xdr:twoCellAnchor>
  <xdr:twoCellAnchor editAs="oneCell">
    <xdr:from>
      <xdr:col>0</xdr:col>
      <xdr:colOff>104775</xdr:colOff>
      <xdr:row>28</xdr:row>
      <xdr:rowOff>38100</xdr:rowOff>
    </xdr:from>
    <xdr:to>
      <xdr:col>1</xdr:col>
      <xdr:colOff>3342827</xdr:colOff>
      <xdr:row>28</xdr:row>
      <xdr:rowOff>361910</xdr:rowOff>
    </xdr:to>
    <xdr:pic>
      <xdr:nvPicPr>
        <xdr:cNvPr id="7" name="Picture 6"/>
        <xdr:cNvPicPr>
          <a:picLocks noChangeAspect="1"/>
        </xdr:cNvPicPr>
      </xdr:nvPicPr>
      <xdr:blipFill>
        <a:blip xmlns:r="http://schemas.openxmlformats.org/officeDocument/2006/relationships" r:embed="rId6"/>
        <a:stretch>
          <a:fillRect/>
        </a:stretch>
      </xdr:blipFill>
      <xdr:spPr>
        <a:xfrm>
          <a:off x="104775" y="13592175"/>
          <a:ext cx="3580952" cy="323810"/>
        </a:xfrm>
        <a:prstGeom prst="rect">
          <a:avLst/>
        </a:prstGeom>
      </xdr:spPr>
    </xdr:pic>
    <xdr:clientData/>
  </xdr:twoCellAnchor>
  <xdr:twoCellAnchor editAs="oneCell">
    <xdr:from>
      <xdr:col>2</xdr:col>
      <xdr:colOff>57150</xdr:colOff>
      <xdr:row>27</xdr:row>
      <xdr:rowOff>28575</xdr:rowOff>
    </xdr:from>
    <xdr:to>
      <xdr:col>2</xdr:col>
      <xdr:colOff>628579</xdr:colOff>
      <xdr:row>27</xdr:row>
      <xdr:rowOff>342861</xdr:rowOff>
    </xdr:to>
    <xdr:pic>
      <xdr:nvPicPr>
        <xdr:cNvPr id="8" name="Picture 7"/>
        <xdr:cNvPicPr>
          <a:picLocks noChangeAspect="1"/>
        </xdr:cNvPicPr>
      </xdr:nvPicPr>
      <xdr:blipFill>
        <a:blip xmlns:r="http://schemas.openxmlformats.org/officeDocument/2006/relationships" r:embed="rId7"/>
        <a:stretch>
          <a:fillRect/>
        </a:stretch>
      </xdr:blipFill>
      <xdr:spPr>
        <a:xfrm>
          <a:off x="3648075" y="10810875"/>
          <a:ext cx="571429" cy="314286"/>
        </a:xfrm>
        <a:prstGeom prst="rect">
          <a:avLst/>
        </a:prstGeom>
      </xdr:spPr>
    </xdr:pic>
    <xdr:clientData/>
  </xdr:twoCellAnchor>
  <xdr:twoCellAnchor editAs="oneCell">
    <xdr:from>
      <xdr:col>3</xdr:col>
      <xdr:colOff>28575</xdr:colOff>
      <xdr:row>27</xdr:row>
      <xdr:rowOff>38100</xdr:rowOff>
    </xdr:from>
    <xdr:to>
      <xdr:col>3</xdr:col>
      <xdr:colOff>1180956</xdr:colOff>
      <xdr:row>27</xdr:row>
      <xdr:rowOff>352386</xdr:rowOff>
    </xdr:to>
    <xdr:pic>
      <xdr:nvPicPr>
        <xdr:cNvPr id="9" name="Picture 8"/>
        <xdr:cNvPicPr>
          <a:picLocks noChangeAspect="1"/>
        </xdr:cNvPicPr>
      </xdr:nvPicPr>
      <xdr:blipFill>
        <a:blip xmlns:r="http://schemas.openxmlformats.org/officeDocument/2006/relationships" r:embed="rId8"/>
        <a:stretch>
          <a:fillRect/>
        </a:stretch>
      </xdr:blipFill>
      <xdr:spPr>
        <a:xfrm>
          <a:off x="4667250" y="10820400"/>
          <a:ext cx="1152381" cy="314286"/>
        </a:xfrm>
        <a:prstGeom prst="rect">
          <a:avLst/>
        </a:prstGeom>
      </xdr:spPr>
    </xdr:pic>
    <xdr:clientData/>
  </xdr:twoCellAnchor>
  <xdr:twoCellAnchor editAs="oneCell">
    <xdr:from>
      <xdr:col>2</xdr:col>
      <xdr:colOff>28575</xdr:colOff>
      <xdr:row>33</xdr:row>
      <xdr:rowOff>47625</xdr:rowOff>
    </xdr:from>
    <xdr:to>
      <xdr:col>2</xdr:col>
      <xdr:colOff>590480</xdr:colOff>
      <xdr:row>33</xdr:row>
      <xdr:rowOff>342863</xdr:rowOff>
    </xdr:to>
    <xdr:pic>
      <xdr:nvPicPr>
        <xdr:cNvPr id="10" name="Picture 9"/>
        <xdr:cNvPicPr>
          <a:picLocks noChangeAspect="1"/>
        </xdr:cNvPicPr>
      </xdr:nvPicPr>
      <xdr:blipFill>
        <a:blip xmlns:r="http://schemas.openxmlformats.org/officeDocument/2006/relationships" r:embed="rId9"/>
        <a:stretch>
          <a:fillRect/>
        </a:stretch>
      </xdr:blipFill>
      <xdr:spPr>
        <a:xfrm>
          <a:off x="3619500" y="13487400"/>
          <a:ext cx="561905" cy="295238"/>
        </a:xfrm>
        <a:prstGeom prst="rect">
          <a:avLst/>
        </a:prstGeom>
      </xdr:spPr>
    </xdr:pic>
    <xdr:clientData/>
  </xdr:twoCellAnchor>
  <xdr:twoCellAnchor editAs="oneCell">
    <xdr:from>
      <xdr:col>3</xdr:col>
      <xdr:colOff>38100</xdr:colOff>
      <xdr:row>33</xdr:row>
      <xdr:rowOff>14681</xdr:rowOff>
    </xdr:from>
    <xdr:to>
      <xdr:col>3</xdr:col>
      <xdr:colOff>1171575</xdr:colOff>
      <xdr:row>33</xdr:row>
      <xdr:rowOff>323811</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4676775" y="13454456"/>
          <a:ext cx="1133475" cy="309130"/>
        </a:xfrm>
        <a:prstGeom prst="rect">
          <a:avLst/>
        </a:prstGeom>
      </xdr:spPr>
    </xdr:pic>
    <xdr:clientData/>
  </xdr:twoCellAnchor>
  <xdr:twoCellAnchor editAs="oneCell">
    <xdr:from>
      <xdr:col>0</xdr:col>
      <xdr:colOff>57150</xdr:colOff>
      <xdr:row>34</xdr:row>
      <xdr:rowOff>47625</xdr:rowOff>
    </xdr:from>
    <xdr:to>
      <xdr:col>1</xdr:col>
      <xdr:colOff>3381375</xdr:colOff>
      <xdr:row>34</xdr:row>
      <xdr:rowOff>400006</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57150" y="16116300"/>
          <a:ext cx="3667125" cy="352381"/>
        </a:xfrm>
        <a:prstGeom prst="rect">
          <a:avLst/>
        </a:prstGeom>
      </xdr:spPr>
    </xdr:pic>
    <xdr:clientData/>
  </xdr:twoCellAnchor>
  <xdr:twoCellAnchor editAs="oneCell">
    <xdr:from>
      <xdr:col>2</xdr:col>
      <xdr:colOff>85725</xdr:colOff>
      <xdr:row>38</xdr:row>
      <xdr:rowOff>47625</xdr:rowOff>
    </xdr:from>
    <xdr:to>
      <xdr:col>2</xdr:col>
      <xdr:colOff>628582</xdr:colOff>
      <xdr:row>38</xdr:row>
      <xdr:rowOff>342863</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3676650" y="16221075"/>
          <a:ext cx="542857" cy="295238"/>
        </a:xfrm>
        <a:prstGeom prst="rect">
          <a:avLst/>
        </a:prstGeom>
      </xdr:spPr>
    </xdr:pic>
    <xdr:clientData/>
  </xdr:twoCellAnchor>
  <xdr:twoCellAnchor editAs="oneCell">
    <xdr:from>
      <xdr:col>3</xdr:col>
      <xdr:colOff>47625</xdr:colOff>
      <xdr:row>38</xdr:row>
      <xdr:rowOff>28575</xdr:rowOff>
    </xdr:from>
    <xdr:to>
      <xdr:col>3</xdr:col>
      <xdr:colOff>1190482</xdr:colOff>
      <xdr:row>38</xdr:row>
      <xdr:rowOff>361908</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4686300" y="16202025"/>
          <a:ext cx="1142857" cy="333333"/>
        </a:xfrm>
        <a:prstGeom prst="rect">
          <a:avLst/>
        </a:prstGeom>
      </xdr:spPr>
    </xdr:pic>
    <xdr:clientData/>
  </xdr:twoCellAnchor>
  <xdr:twoCellAnchor editAs="oneCell">
    <xdr:from>
      <xdr:col>0</xdr:col>
      <xdr:colOff>152400</xdr:colOff>
      <xdr:row>39</xdr:row>
      <xdr:rowOff>57150</xdr:rowOff>
    </xdr:from>
    <xdr:to>
      <xdr:col>1</xdr:col>
      <xdr:colOff>3399976</xdr:colOff>
      <xdr:row>39</xdr:row>
      <xdr:rowOff>361912</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152400" y="18221325"/>
          <a:ext cx="3590476" cy="304762"/>
        </a:xfrm>
        <a:prstGeom prst="rect">
          <a:avLst/>
        </a:prstGeom>
      </xdr:spPr>
    </xdr:pic>
    <xdr:clientData/>
  </xdr:twoCellAnchor>
  <xdr:twoCellAnchor editAs="oneCell">
    <xdr:from>
      <xdr:col>3</xdr:col>
      <xdr:colOff>28575</xdr:colOff>
      <xdr:row>44</xdr:row>
      <xdr:rowOff>57150</xdr:rowOff>
    </xdr:from>
    <xdr:to>
      <xdr:col>3</xdr:col>
      <xdr:colOff>1161908</xdr:colOff>
      <xdr:row>44</xdr:row>
      <xdr:rowOff>342864</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4667250" y="18392775"/>
          <a:ext cx="1133333" cy="285714"/>
        </a:xfrm>
        <a:prstGeom prst="rect">
          <a:avLst/>
        </a:prstGeom>
      </xdr:spPr>
    </xdr:pic>
    <xdr:clientData/>
  </xdr:twoCellAnchor>
  <xdr:twoCellAnchor editAs="oneCell">
    <xdr:from>
      <xdr:col>2</xdr:col>
      <xdr:colOff>57150</xdr:colOff>
      <xdr:row>44</xdr:row>
      <xdr:rowOff>66675</xdr:rowOff>
    </xdr:from>
    <xdr:to>
      <xdr:col>2</xdr:col>
      <xdr:colOff>609531</xdr:colOff>
      <xdr:row>44</xdr:row>
      <xdr:rowOff>361913</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3648075" y="18402300"/>
          <a:ext cx="552381" cy="295238"/>
        </a:xfrm>
        <a:prstGeom prst="rect">
          <a:avLst/>
        </a:prstGeom>
      </xdr:spPr>
    </xdr:pic>
    <xdr:clientData/>
  </xdr:twoCellAnchor>
  <xdr:twoCellAnchor editAs="oneCell">
    <xdr:from>
      <xdr:col>0</xdr:col>
      <xdr:colOff>104775</xdr:colOff>
      <xdr:row>45</xdr:row>
      <xdr:rowOff>38100</xdr:rowOff>
    </xdr:from>
    <xdr:to>
      <xdr:col>1</xdr:col>
      <xdr:colOff>3361875</xdr:colOff>
      <xdr:row>45</xdr:row>
      <xdr:rowOff>352386</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104775" y="20716875"/>
          <a:ext cx="3600000" cy="314286"/>
        </a:xfrm>
        <a:prstGeom prst="rect">
          <a:avLst/>
        </a:prstGeom>
      </xdr:spPr>
    </xdr:pic>
    <xdr:clientData/>
  </xdr:twoCellAnchor>
  <xdr:twoCellAnchor editAs="oneCell">
    <xdr:from>
      <xdr:col>3</xdr:col>
      <xdr:colOff>38100</xdr:colOff>
      <xdr:row>48</xdr:row>
      <xdr:rowOff>57150</xdr:rowOff>
    </xdr:from>
    <xdr:to>
      <xdr:col>3</xdr:col>
      <xdr:colOff>1209529</xdr:colOff>
      <xdr:row>48</xdr:row>
      <xdr:rowOff>352388</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4676775" y="20516850"/>
          <a:ext cx="1171429" cy="295238"/>
        </a:xfrm>
        <a:prstGeom prst="rect">
          <a:avLst/>
        </a:prstGeom>
      </xdr:spPr>
    </xdr:pic>
    <xdr:clientData/>
  </xdr:twoCellAnchor>
  <xdr:twoCellAnchor editAs="oneCell">
    <xdr:from>
      <xdr:col>2</xdr:col>
      <xdr:colOff>19050</xdr:colOff>
      <xdr:row>48</xdr:row>
      <xdr:rowOff>47625</xdr:rowOff>
    </xdr:from>
    <xdr:to>
      <xdr:col>2</xdr:col>
      <xdr:colOff>561907</xdr:colOff>
      <xdr:row>48</xdr:row>
      <xdr:rowOff>361911</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3609975" y="20507325"/>
          <a:ext cx="542857" cy="314286"/>
        </a:xfrm>
        <a:prstGeom prst="rect">
          <a:avLst/>
        </a:prstGeom>
      </xdr:spPr>
    </xdr:pic>
    <xdr:clientData/>
  </xdr:twoCellAnchor>
  <xdr:twoCellAnchor editAs="oneCell">
    <xdr:from>
      <xdr:col>0</xdr:col>
      <xdr:colOff>104775</xdr:colOff>
      <xdr:row>49</xdr:row>
      <xdr:rowOff>47625</xdr:rowOff>
    </xdr:from>
    <xdr:to>
      <xdr:col>1</xdr:col>
      <xdr:colOff>3361875</xdr:colOff>
      <xdr:row>49</xdr:row>
      <xdr:rowOff>371435</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104775" y="22402800"/>
          <a:ext cx="3600000" cy="323810"/>
        </a:xfrm>
        <a:prstGeom prst="rect">
          <a:avLst/>
        </a:prstGeom>
      </xdr:spPr>
    </xdr:pic>
    <xdr:clientData/>
  </xdr:twoCellAnchor>
  <xdr:twoCellAnchor editAs="oneCell">
    <xdr:from>
      <xdr:col>3</xdr:col>
      <xdr:colOff>38100</xdr:colOff>
      <xdr:row>56</xdr:row>
      <xdr:rowOff>47625</xdr:rowOff>
    </xdr:from>
    <xdr:to>
      <xdr:col>3</xdr:col>
      <xdr:colOff>1180957</xdr:colOff>
      <xdr:row>56</xdr:row>
      <xdr:rowOff>352387</xdr:rowOff>
    </xdr:to>
    <xdr:pic>
      <xdr:nvPicPr>
        <xdr:cNvPr id="22" name="Picture 21"/>
        <xdr:cNvPicPr>
          <a:picLocks noChangeAspect="1"/>
        </xdr:cNvPicPr>
      </xdr:nvPicPr>
      <xdr:blipFill>
        <a:blip xmlns:r="http://schemas.openxmlformats.org/officeDocument/2006/relationships" r:embed="rId21"/>
        <a:stretch>
          <a:fillRect/>
        </a:stretch>
      </xdr:blipFill>
      <xdr:spPr>
        <a:xfrm>
          <a:off x="4676775" y="22564725"/>
          <a:ext cx="1142857" cy="304762"/>
        </a:xfrm>
        <a:prstGeom prst="rect">
          <a:avLst/>
        </a:prstGeom>
      </xdr:spPr>
    </xdr:pic>
    <xdr:clientData/>
  </xdr:twoCellAnchor>
  <xdr:twoCellAnchor editAs="oneCell">
    <xdr:from>
      <xdr:col>2</xdr:col>
      <xdr:colOff>9525</xdr:colOff>
      <xdr:row>56</xdr:row>
      <xdr:rowOff>57150</xdr:rowOff>
    </xdr:from>
    <xdr:to>
      <xdr:col>2</xdr:col>
      <xdr:colOff>561906</xdr:colOff>
      <xdr:row>56</xdr:row>
      <xdr:rowOff>352388</xdr:rowOff>
    </xdr:to>
    <xdr:pic>
      <xdr:nvPicPr>
        <xdr:cNvPr id="23" name="Picture 22"/>
        <xdr:cNvPicPr>
          <a:picLocks noChangeAspect="1"/>
        </xdr:cNvPicPr>
      </xdr:nvPicPr>
      <xdr:blipFill>
        <a:blip xmlns:r="http://schemas.openxmlformats.org/officeDocument/2006/relationships" r:embed="rId22"/>
        <a:stretch>
          <a:fillRect/>
        </a:stretch>
      </xdr:blipFill>
      <xdr:spPr>
        <a:xfrm>
          <a:off x="3600450" y="22574250"/>
          <a:ext cx="552381" cy="295238"/>
        </a:xfrm>
        <a:prstGeom prst="rect">
          <a:avLst/>
        </a:prstGeom>
      </xdr:spPr>
    </xdr:pic>
    <xdr:clientData/>
  </xdr:twoCellAnchor>
  <xdr:twoCellAnchor editAs="oneCell">
    <xdr:from>
      <xdr:col>3</xdr:col>
      <xdr:colOff>38100</xdr:colOff>
      <xdr:row>62</xdr:row>
      <xdr:rowOff>57150</xdr:rowOff>
    </xdr:from>
    <xdr:to>
      <xdr:col>3</xdr:col>
      <xdr:colOff>1171433</xdr:colOff>
      <xdr:row>62</xdr:row>
      <xdr:rowOff>333340</xdr:rowOff>
    </xdr:to>
    <xdr:pic>
      <xdr:nvPicPr>
        <xdr:cNvPr id="24" name="Picture 23"/>
        <xdr:cNvPicPr>
          <a:picLocks noChangeAspect="1"/>
        </xdr:cNvPicPr>
      </xdr:nvPicPr>
      <xdr:blipFill>
        <a:blip xmlns:r="http://schemas.openxmlformats.org/officeDocument/2006/relationships" r:embed="rId23"/>
        <a:stretch>
          <a:fillRect/>
        </a:stretch>
      </xdr:blipFill>
      <xdr:spPr>
        <a:xfrm>
          <a:off x="4676775" y="24022050"/>
          <a:ext cx="1133333" cy="276190"/>
        </a:xfrm>
        <a:prstGeom prst="rect">
          <a:avLst/>
        </a:prstGeom>
      </xdr:spPr>
    </xdr:pic>
    <xdr:clientData/>
  </xdr:twoCellAnchor>
  <xdr:twoCellAnchor editAs="oneCell">
    <xdr:from>
      <xdr:col>2</xdr:col>
      <xdr:colOff>28575</xdr:colOff>
      <xdr:row>62</xdr:row>
      <xdr:rowOff>47625</xdr:rowOff>
    </xdr:from>
    <xdr:to>
      <xdr:col>2</xdr:col>
      <xdr:colOff>571432</xdr:colOff>
      <xdr:row>62</xdr:row>
      <xdr:rowOff>342863</xdr:rowOff>
    </xdr:to>
    <xdr:pic>
      <xdr:nvPicPr>
        <xdr:cNvPr id="25" name="Picture 24"/>
        <xdr:cNvPicPr>
          <a:picLocks noChangeAspect="1"/>
        </xdr:cNvPicPr>
      </xdr:nvPicPr>
      <xdr:blipFill>
        <a:blip xmlns:r="http://schemas.openxmlformats.org/officeDocument/2006/relationships" r:embed="rId24"/>
        <a:stretch>
          <a:fillRect/>
        </a:stretch>
      </xdr:blipFill>
      <xdr:spPr>
        <a:xfrm>
          <a:off x="3619500" y="24012525"/>
          <a:ext cx="542857" cy="295238"/>
        </a:xfrm>
        <a:prstGeom prst="rect">
          <a:avLst/>
        </a:prstGeom>
      </xdr:spPr>
    </xdr:pic>
    <xdr:clientData/>
  </xdr:twoCellAnchor>
  <xdr:twoCellAnchor editAs="oneCell">
    <xdr:from>
      <xdr:col>0</xdr:col>
      <xdr:colOff>47625</xdr:colOff>
      <xdr:row>63</xdr:row>
      <xdr:rowOff>76200</xdr:rowOff>
    </xdr:from>
    <xdr:to>
      <xdr:col>1</xdr:col>
      <xdr:colOff>3333296</xdr:colOff>
      <xdr:row>63</xdr:row>
      <xdr:rowOff>390486</xdr:rowOff>
    </xdr:to>
    <xdr:pic>
      <xdr:nvPicPr>
        <xdr:cNvPr id="26" name="Picture 25"/>
        <xdr:cNvPicPr>
          <a:picLocks noChangeAspect="1"/>
        </xdr:cNvPicPr>
      </xdr:nvPicPr>
      <xdr:blipFill>
        <a:blip xmlns:r="http://schemas.openxmlformats.org/officeDocument/2006/relationships" r:embed="rId25"/>
        <a:stretch>
          <a:fillRect/>
        </a:stretch>
      </xdr:blipFill>
      <xdr:spPr>
        <a:xfrm>
          <a:off x="47625" y="28298775"/>
          <a:ext cx="3628571" cy="314286"/>
        </a:xfrm>
        <a:prstGeom prst="rect">
          <a:avLst/>
        </a:prstGeom>
      </xdr:spPr>
    </xdr:pic>
    <xdr:clientData/>
  </xdr:twoCellAnchor>
  <xdr:twoCellAnchor editAs="oneCell">
    <xdr:from>
      <xdr:col>1</xdr:col>
      <xdr:colOff>2790825</xdr:colOff>
      <xdr:row>66</xdr:row>
      <xdr:rowOff>142875</xdr:rowOff>
    </xdr:from>
    <xdr:to>
      <xdr:col>1</xdr:col>
      <xdr:colOff>3447968</xdr:colOff>
      <xdr:row>66</xdr:row>
      <xdr:rowOff>400018</xdr:rowOff>
    </xdr:to>
    <xdr:pic>
      <xdr:nvPicPr>
        <xdr:cNvPr id="32" name="Picture 31"/>
        <xdr:cNvPicPr>
          <a:picLocks noChangeAspect="1"/>
        </xdr:cNvPicPr>
      </xdr:nvPicPr>
      <xdr:blipFill>
        <a:blip xmlns:r="http://schemas.openxmlformats.org/officeDocument/2006/relationships" r:embed="rId5"/>
        <a:stretch>
          <a:fillRect/>
        </a:stretch>
      </xdr:blipFill>
      <xdr:spPr>
        <a:xfrm>
          <a:off x="3133725" y="30527625"/>
          <a:ext cx="657143" cy="257143"/>
        </a:xfrm>
        <a:prstGeom prst="rect">
          <a:avLst/>
        </a:prstGeom>
      </xdr:spPr>
    </xdr:pic>
    <xdr:clientData/>
  </xdr:twoCellAnchor>
  <xdr:twoCellAnchor editAs="oneCell">
    <xdr:from>
      <xdr:col>1</xdr:col>
      <xdr:colOff>38100</xdr:colOff>
      <xdr:row>65</xdr:row>
      <xdr:rowOff>57150</xdr:rowOff>
    </xdr:from>
    <xdr:to>
      <xdr:col>1</xdr:col>
      <xdr:colOff>3498123</xdr:colOff>
      <xdr:row>65</xdr:row>
      <xdr:rowOff>800101</xdr:rowOff>
    </xdr:to>
    <xdr:pic>
      <xdr:nvPicPr>
        <xdr:cNvPr id="33" name="Picture 32"/>
        <xdr:cNvPicPr>
          <a:picLocks noChangeAspect="1"/>
        </xdr:cNvPicPr>
      </xdr:nvPicPr>
      <xdr:blipFill>
        <a:blip xmlns:r="http://schemas.openxmlformats.org/officeDocument/2006/relationships" r:embed="rId4"/>
        <a:stretch>
          <a:fillRect/>
        </a:stretch>
      </xdr:blipFill>
      <xdr:spPr>
        <a:xfrm>
          <a:off x="381000" y="29537025"/>
          <a:ext cx="3460023" cy="7429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GRADING%20FORMAT%20NEW%20FOR%20AFFILIATED%2008-09-2022%20(2)%20(version%202).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GRADING%20FORMAT%20NEW%20FOR%20AFFILIATED%2009-09-2022%20(2)%20(Recover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GRADING%20FORMAT%20NEW%20FOR%20AFFILIATED%2009-09-2022%20(2)%20(Recovered).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uthor" refreshedDate="44813.580819907409" createdVersion="6" refreshedVersion="6" minRefreshableVersion="3" recordCount="21">
  <cacheSource type="worksheet">
    <worksheetSource ref="A2:M23" sheet="Ql (21m)" r:id="rId2"/>
  </cacheSource>
  <cacheFields count="13">
    <cacheField name="S._x000a_No" numFmtId="0">
      <sharedItems containsSemiMixedTypes="0" containsString="0" containsNumber="1" containsInteger="1" minValue="1" maxValue="21"/>
    </cacheField>
    <cacheField name="Criteria_x000a_©" numFmtId="0">
      <sharedItems count="7">
        <s v="1. Curricular Aspects"/>
        <s v="2. Teaching-Learning and Evaluation"/>
        <s v="3. Research, Innovations and Extension"/>
        <s v="4. Infrastructure and Learning Resources"/>
        <s v="5. Student Support and Progression"/>
        <s v="6. Governance, Leadership and Management"/>
        <s v="7. Institutional Values and Best Practices"/>
      </sharedItems>
    </cacheField>
    <cacheField name="Key_x000a_Indicator_x000a_ (KI)" numFmtId="0">
      <sharedItems count="19">
        <s v="1.1 Curriculum Planning and Implementation"/>
        <s v="1.3 Curriculum Enrichment"/>
        <s v="2.3 Teaching Learning Process"/>
        <s v="2.5 Evaluation Process and Reforms"/>
        <s v="2.6 Student Performance and Learning Outcomes"/>
        <s v="3.2 Innovation Ecosystem"/>
        <s v="3.4 Extension Activities"/>
        <s v="4.1 Physical Facilities"/>
        <s v="4.2 Library as a Learning Resource"/>
        <s v="4.3 IT Infrastructure"/>
        <s v="5.4 Alumni Engagement"/>
        <s v="6.1 Institutional Vision and Leadership"/>
        <s v="6.2 Strategy Development and Deployment"/>
        <s v="6.3 Faculty Empowerment Strategies"/>
        <s v="6.4 Financial Management and Resource Mobilization"/>
        <s v="6.5 Internal Quality Assurance System (IQAS)"/>
        <s v="7.1 Institutional Values and Social Responsibilities"/>
        <s v="7.2 Best Practices"/>
        <s v="7.3 Institutional Distinctiveness"/>
      </sharedItems>
    </cacheField>
    <cacheField name="Metric_x000a_(M)_x000a_Type" numFmtId="0">
      <sharedItems/>
    </cacheField>
    <cacheField name="Metric_x000a_(M)_x000a_Num" numFmtId="0">
      <sharedItems count="21">
        <s v="1.1.1"/>
        <s v="1.3.1"/>
        <s v="2.3.1"/>
        <s v="2.5.1"/>
        <s v="2.6.1"/>
        <s v="3.2.1"/>
        <s v="3.4.1"/>
        <s v="3.4.2"/>
        <s v="4.1.1"/>
        <s v="4.2.1"/>
        <s v="4.3.1"/>
        <s v="5.4.1"/>
        <s v="6.1.1"/>
        <s v="6.2.1"/>
        <s v="6.3.1"/>
        <s v="6.4.1"/>
        <s v="6.5.1"/>
        <s v="7.1.1"/>
        <s v="7.1.4"/>
        <s v="7.2.1"/>
        <s v="7.3.1"/>
      </sharedItems>
    </cacheField>
    <cacheField name="Metric (M) Description" numFmtId="0">
      <sharedItems longText="1"/>
    </cacheField>
    <cacheField name="M_x000a_Wt" numFmtId="0">
      <sharedItems containsSemiMixedTypes="0" containsString="0" containsNumber="1" containsInteger="1" minValue="6" maxValue="45"/>
    </cacheField>
    <cacheField name="KI_x000a_Wt" numFmtId="0">
      <sharedItems containsString="0" containsBlank="1" containsNumber="1" containsInteger="1" minValue="6" maxValue="45"/>
    </cacheField>
    <cacheField name="©_x000a_Wt" numFmtId="0">
      <sharedItems containsString="0" containsBlank="1" containsNumber="1" containsInteger="1" minValue="10" maxValue="125"/>
    </cacheField>
    <cacheField name="Response" numFmtId="1">
      <sharedItems containsNonDate="0" containsString="0" containsBlank="1"/>
    </cacheField>
    <cacheField name="Metric_x000a_Grade_x000a_scale_x000a_(0-4)" numFmtId="0">
      <sharedItems containsSemiMixedTypes="0" containsString="0" containsNumber="1" containsInteger="1" minValue="0" maxValue="0"/>
    </cacheField>
    <cacheField name="M_x000a_wise weighted Grade points" numFmtId="0">
      <sharedItems containsSemiMixedTypes="0" containsString="0" containsNumber="1" containsInteger="1" minValue="0" maxValue="0"/>
    </cacheField>
    <cacheField name="KIwise_x000a_weighted_x000a_Grade_x000a_points"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4813.593114583331" createdVersion="6" refreshedVersion="6" minRefreshableVersion="3" recordCount="34">
  <cacheSource type="worksheet">
    <worksheetSource ref="A2:P36" sheet="Qn (34m)" r:id="rId2"/>
  </cacheSource>
  <cacheFields count="16">
    <cacheField name="S._x000a_No" numFmtId="0">
      <sharedItems containsSemiMixedTypes="0" containsString="0" containsNumber="1" containsInteger="1" minValue="1" maxValue="34"/>
    </cacheField>
    <cacheField name="Criteria_x000a_©" numFmtId="0">
      <sharedItems count="7">
        <s v="1. Curricular Aspects"/>
        <s v="2. Teaching-Learning and Evaluation"/>
        <s v="3. Research, Innovations and Extension"/>
        <s v="4. Infrastructure and Learning Resources"/>
        <s v="5. Student Support and Progression"/>
        <s v="6. Governance, Leadership and Management"/>
        <s v="7. Institutional Values and Best Practices"/>
      </sharedItems>
    </cacheField>
    <cacheField name="Key_x000a_Indicator_x000a_ (KI)" numFmtId="0">
      <sharedItems count="23">
        <s v="1.2 Academic Flexibility"/>
        <s v="1.3 Curriculum Enrichment"/>
        <s v="1.4 Feedback System"/>
        <s v="2.1 Student Enrolment and Profile"/>
        <s v="2.2 Student Teacher Ratio"/>
        <s v="2.4 Teacher Profile and Quality"/>
        <s v="2.6 Student Performance and Learning Outcomes"/>
        <s v="2.7 Student Satisfaction Survey"/>
        <s v="3.1 Resource Mobilization for Research"/>
        <s v="3.2 Innovation Ecosystem"/>
        <s v="3.3 Research Publications and Awards"/>
        <s v="3.4 Extension Activities"/>
        <s v="3.5 Collaboration"/>
        <s v="4.1 Physical Facilities"/>
        <s v="4.3 IT Infrastructure"/>
        <s v="4.4 Maintenance of Campus Infrastructure"/>
        <s v="5.1 Student Support"/>
        <s v="5.2 Student Progression"/>
        <s v="5.3 Student Participation and Activities"/>
        <s v="6.2 Strategy Development and Deployment"/>
        <s v="6.3 Faculty Empowerment Strategies"/>
        <s v="6.5 Internal Quality Assurance System (IQAS)"/>
        <s v="7.1 Institutional Values and Social Responsibilities"/>
      </sharedItems>
    </cacheField>
    <cacheField name="Metric_x000a_(M)_x000a_Type" numFmtId="0">
      <sharedItems/>
    </cacheField>
    <cacheField name="Metric_x000a_(M)_x000a_Num" numFmtId="0">
      <sharedItems count="34">
        <s v="1.2.1"/>
        <s v="1.2.2"/>
        <s v="1.3.2"/>
        <s v="1.4.1"/>
        <s v="2.1.1"/>
        <s v="2.1.2"/>
        <s v="2.2.1"/>
        <s v="2.4.1"/>
        <s v="2.4.2"/>
        <s v="2.6.2"/>
        <s v="2.7.1"/>
        <s v="3.1.1"/>
        <s v="3.2.2"/>
        <s v="3.3.1"/>
        <s v="3.3.2"/>
        <s v="3.4.3"/>
        <s v="3.5.1"/>
        <s v="4.1.2"/>
        <s v="4.3.2"/>
        <s v="4.4.1"/>
        <s v="5.1.1"/>
        <s v="5.1.2"/>
        <s v="5.1.3"/>
        <s v="5.1.4"/>
        <s v="5.2.1"/>
        <s v="5.2.2"/>
        <s v="5.3.1"/>
        <s v="5.3.2"/>
        <s v="6.2.2"/>
        <s v="6.3.2"/>
        <s v="6.3.3"/>
        <s v="6.5.2"/>
        <s v="7.1.2"/>
        <s v="7.1.3"/>
      </sharedItems>
    </cacheField>
    <cacheField name="Metric (M) Description" numFmtId="0">
      <sharedItems longText="1"/>
    </cacheField>
    <cacheField name="M_x000a_Wt" numFmtId="0">
      <sharedItems containsSemiMixedTypes="0" containsString="0" containsNumber="1" containsInteger="1" minValue="4" maxValue="60"/>
    </cacheField>
    <cacheField name="KI_x000a_Wt" numFmtId="0">
      <sharedItems containsString="0" containsBlank="1" containsNumber="1" containsInteger="1" minValue="4" maxValue="60"/>
    </cacheField>
    <cacheField name="©_x000a_Wt" numFmtId="0">
      <sharedItems containsString="0" containsBlank="1" containsNumber="1" containsInteger="1" minValue="30" maxValue="225"/>
    </cacheField>
    <cacheField name="Response" numFmtId="2">
      <sharedItems containsBlank="1" containsMixedTypes="1" containsNumber="1" minValue="0" maxValue="138.1"/>
    </cacheField>
    <cacheField name="Metric_x000a_Grade_x000a_scale_x000a_(0-4)" numFmtId="0">
      <sharedItems containsSemiMixedTypes="0" containsString="0" containsNumber="1" containsInteger="1" minValue="0" maxValue="4"/>
    </cacheField>
    <cacheField name="M_x000a_wise weighted Grade points" numFmtId="0">
      <sharedItems containsSemiMixedTypes="0" containsString="0" containsNumber="1" containsInteger="1" minValue="0" maxValue="120"/>
    </cacheField>
    <cacheField name="KIwise_x000a_weighted_x000a_Grade_x000a_points" numFmtId="0">
      <sharedItems containsString="0" containsBlank="1" containsNumber="1" containsInteger="1" minValue="0" maxValue="140"/>
    </cacheField>
    <cacheField name="KIwise_x000a_weighted_x000a_Grade_x000a_points_x000a_Average" numFmtId="2">
      <sharedItems containsString="0" containsBlank="1" containsNumber="1" minValue="0" maxValue="4"/>
    </cacheField>
    <cacheField name="©Wise_x000a_Weighted _x000a_Average" numFmtId="0">
      <sharedItems containsString="0" containsBlank="1" containsNumber="1" containsInteger="1" minValue="27" maxValue="395"/>
    </cacheField>
    <cacheField name="©Wise_x000a_Weighted_x000a_Grade_x000a_Point_x000a_Average" numFmtId="2">
      <sharedItems containsString="0" containsBlank="1" containsNumber="1" minValue="0.58695652173913049" maxValue="3.666666666666666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4813.606073842595" createdVersion="6" refreshedVersion="6" minRefreshableVersion="3" recordCount="55">
  <cacheSource type="worksheet">
    <worksheetSource ref="A2:P57" sheet="Affiliated(55m)" r:id="rId2"/>
  </cacheSource>
  <cacheFields count="16">
    <cacheField name="S._x000a_No" numFmtId="0">
      <sharedItems containsSemiMixedTypes="0" containsString="0" containsNumber="1" containsInteger="1" minValue="1" maxValue="55"/>
    </cacheField>
    <cacheField name="Criteria_x000a_©" numFmtId="0">
      <sharedItems count="7">
        <s v="1. Curricular Aspects"/>
        <s v="2. Teaching-Learning and Evaluation"/>
        <s v="3. Research, Innovations and Extension"/>
        <s v="4. Infrastructure and Learning Resources"/>
        <s v="5. Student Support and Progression"/>
        <s v="6. Governance, Leadership and Management"/>
        <s v="7. Institutional Values and Best Practices"/>
      </sharedItems>
    </cacheField>
    <cacheField name="Key_x000a_Indicator_x000a_ (KI)" numFmtId="0">
      <sharedItems count="32">
        <s v="1.1 Curriculum Planning and Implementation"/>
        <s v="1.2 Academic Flexibility"/>
        <s v="1.3 Curriculum Enrichment"/>
        <s v="1.4 Feedback System"/>
        <s v="2.1 Student Enrolment and Profile"/>
        <s v="2.2 Student Teacher Ratio"/>
        <s v="2.3 Teaching Learning Process"/>
        <s v="2.4 Teacher Profile and Quality"/>
        <s v="2.5 Evaluation Process and Reforms"/>
        <s v="2.6 Student Performance and Learning Outcomes"/>
        <s v="2.7 Student Satisfaction Survey"/>
        <s v="3.1 Resource Mobilization for Research"/>
        <s v="3.2 Innovation Ecosystem"/>
        <s v="3.3 Research Publications and Awards"/>
        <s v="3.4 Extension Activities"/>
        <s v="3.5 Collaboration"/>
        <s v="4.1 Physical Facilities"/>
        <s v="4.2 Library as a Learning Resource"/>
        <s v="4.3 IT Infrastructure"/>
        <s v="4.4 Maintenance of Campus Infrastructure"/>
        <s v="5.1 Student Support"/>
        <s v="5.2 Student Progression"/>
        <s v="5.3 Student Participation and Activities"/>
        <s v="5.4 Alumni Engagement"/>
        <s v="6.1 Institutional Vision and Leadership"/>
        <s v="6.2 Strategy Development and Deployment"/>
        <s v="6.3 Faculty Empowerment Strategies"/>
        <s v="6.4 Financial Management and Resource Mobilization"/>
        <s v="6.5 Internal Quality Assurance System (IQAS)"/>
        <s v="7.1 Institutional Values and Social Responsibilities"/>
        <s v="7.2 Best Practices"/>
        <s v="7.3 Institutional Distinctiveness"/>
      </sharedItems>
    </cacheField>
    <cacheField name="Metric_x000a_(M)_x000a_Type" numFmtId="0">
      <sharedItems count="2">
        <s v="QlM"/>
        <s v="QnM"/>
      </sharedItems>
    </cacheField>
    <cacheField name="Metric_x000a_(M)_x000a_Num" numFmtId="0">
      <sharedItems count="55">
        <s v="1.1.1"/>
        <s v="1.2.1"/>
        <s v="1.2.2"/>
        <s v="1.3.1"/>
        <s v="1.3.2"/>
        <s v="1.4.1"/>
        <s v="2.1.1"/>
        <s v="2.1.2"/>
        <s v="2.2.1"/>
        <s v="2.3.1"/>
        <s v="2.4.1"/>
        <s v="2.4.2"/>
        <s v="2.5.1"/>
        <s v="2.6.1"/>
        <s v="2.6.2"/>
        <s v="2.7.1"/>
        <s v="3.1.1"/>
        <s v="3.2.1"/>
        <s v="3.2.2"/>
        <s v="3.3.1"/>
        <s v="3.3.2"/>
        <s v="3.4.1"/>
        <s v="3.4.2"/>
        <s v="3.4.3"/>
        <s v="3.5.1"/>
        <s v="4.1.1"/>
        <s v="4.1.2"/>
        <s v="4.2.1"/>
        <s v="4.3.1"/>
        <s v="4.3.2"/>
        <s v="4.4.1"/>
        <s v="5.1.1"/>
        <s v="5.1.2"/>
        <s v="5.1.3"/>
        <s v="5.1.4"/>
        <s v="5.2.1"/>
        <s v="5.2.2"/>
        <s v="5.3.1"/>
        <s v="5.3.2"/>
        <s v="5.4.1"/>
        <s v="6.1.1"/>
        <s v="6.2.1"/>
        <s v="6.2.2"/>
        <s v="6.3.1"/>
        <s v="6.3.2"/>
        <s v="6.3.3"/>
        <s v="6.4.1"/>
        <s v="6.5.1"/>
        <s v="6.5.2"/>
        <s v="7.1.1"/>
        <s v="7.1.2"/>
        <s v="7.1.3"/>
        <s v="7.1.4"/>
        <s v="7.2.1"/>
        <s v="7.3.1"/>
      </sharedItems>
    </cacheField>
    <cacheField name="Metric (M) Description" numFmtId="0">
      <sharedItems longText="1"/>
    </cacheField>
    <cacheField name="M_x000a_Wt" numFmtId="0">
      <sharedItems containsSemiMixedTypes="0" containsString="0" containsNumber="1" containsInteger="1" minValue="4" maxValue="60"/>
    </cacheField>
    <cacheField name="KI_x000a_Wt" numFmtId="0">
      <sharedItems containsString="0" containsBlank="1" containsNumber="1" containsInteger="1" minValue="10" maxValue="90"/>
    </cacheField>
    <cacheField name="©_x000a_Wt" numFmtId="0">
      <sharedItems containsString="0" containsBlank="1" containsNumber="1" containsInteger="1" minValue="100" maxValue="350"/>
    </cacheField>
    <cacheField name="Institute_x000a_Name" numFmtId="0">
      <sharedItems containsBlank="1" containsMixedTypes="1" containsNumber="1" minValue="0" maxValue="100"/>
    </cacheField>
    <cacheField name="Metric_x000a_Grade_x000a_scale_x000a_(0-4)" numFmtId="0">
      <sharedItems containsSemiMixedTypes="0" containsString="0" containsNumber="1" containsInteger="1" minValue="0" maxValue="4"/>
    </cacheField>
    <cacheField name="M_x000a_wise weighted Grade points" numFmtId="0">
      <sharedItems containsSemiMixedTypes="0" containsString="0" containsNumber="1" containsInteger="1" minValue="0" maxValue="180"/>
    </cacheField>
    <cacheField name="KIwise_x000a_weighted_x000a_Grade_x000a_points" numFmtId="0">
      <sharedItems containsString="0" containsBlank="1" containsNumber="1" containsInteger="1" minValue="0" maxValue="180"/>
    </cacheField>
    <cacheField name="KIwise_x000a_weighted_x000a_Grade_x000a_points_x000a_Average" numFmtId="0">
      <sharedItems containsString="0" containsBlank="1" containsNumber="1" minValue="0" maxValue="4"/>
    </cacheField>
    <cacheField name="©Wise_x000a_Weighted _x000a_Average" numFmtId="0">
      <sharedItems containsString="0" containsBlank="1" containsNumber="1" containsInteger="1" minValue="60" maxValue="585"/>
    </cacheField>
    <cacheField name="©Wise_x000a_Weighted_x000a_Grade_x000a_Point_x000a_Average" numFmtId="0">
      <sharedItems containsString="0" containsBlank="1" containsNumber="1" minValue="0.6" maxValue="1.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
  <r>
    <n v="1"/>
    <x v="0"/>
    <x v="0"/>
    <s v="QlM"/>
    <x v="0"/>
    <s v="The Institution ensures effective curriculum planning and delivery through a well-planned and documented process including Academic calendar and conduct of continuous internal Assessment"/>
    <n v="20"/>
    <n v="20"/>
    <n v="30"/>
    <m/>
    <n v="0"/>
    <n v="0"/>
    <n v="0"/>
  </r>
  <r>
    <n v="2"/>
    <x v="0"/>
    <x v="1"/>
    <s v="QlM"/>
    <x v="1"/>
    <s v="Institution integrates crosscutting issues relevant to Professional Ethics, Gender, Human Values, Environment and Sustainability into the Curriculum"/>
    <n v="10"/>
    <n v="10"/>
    <m/>
    <m/>
    <n v="0"/>
    <n v="0"/>
    <n v="0"/>
  </r>
  <r>
    <n v="3"/>
    <x v="1"/>
    <x v="2"/>
    <s v="QlM"/>
    <x v="2"/>
    <s v="Student centric methods, such as experiential learning, participative learning and problem solving methodologies are used for enhancing learning experiences using ICT tools"/>
    <n v="40"/>
    <n v="40"/>
    <n v="125"/>
    <m/>
    <n v="0"/>
    <n v="0"/>
    <n v="0"/>
  </r>
  <r>
    <n v="4"/>
    <x v="1"/>
    <x v="3"/>
    <s v="QlM"/>
    <x v="3"/>
    <s v="Mechanism of internal/ external assessment is transparent and the grievance redressal system is time- bound and efficient"/>
    <n v="40"/>
    <n v="40"/>
    <m/>
    <m/>
    <n v="0"/>
    <n v="0"/>
    <n v="0"/>
  </r>
  <r>
    <n v="5"/>
    <x v="1"/>
    <x v="4"/>
    <s v="QlM"/>
    <x v="4"/>
    <s v="Programme Outcomes (POs) and Course Outcomes (COs) for all Programmes offered by the institution are stated and displayed on website and attainment of POs and COs are evaluated"/>
    <n v="45"/>
    <n v="45"/>
    <m/>
    <m/>
    <n v="0"/>
    <n v="0"/>
    <n v="0"/>
  </r>
  <r>
    <n v="6"/>
    <x v="2"/>
    <x v="5"/>
    <s v="QlM"/>
    <x v="5"/>
    <s v="Institution has created an ecosystem for innovations and has initiatives for creation and transfer of knowledge (patents filed, published, incubation centre facilities in the HEI to be considered)"/>
    <n v="10"/>
    <n v="10"/>
    <n v="30"/>
    <m/>
    <n v="0"/>
    <n v="0"/>
    <n v="0"/>
  </r>
  <r>
    <n v="7"/>
    <x v="2"/>
    <x v="6"/>
    <s v="QlM"/>
    <x v="6"/>
    <s v="Extension activities are carried out in the neighbourhood community, sensitizing students to social issues, for their holistic development, and impact thereof during the last five years."/>
    <n v="10"/>
    <n v="20"/>
    <m/>
    <m/>
    <n v="0"/>
    <n v="0"/>
    <n v="0"/>
  </r>
  <r>
    <n v="8"/>
    <x v="2"/>
    <x v="6"/>
    <s v="QlM"/>
    <x v="7"/>
    <s v="Awards and recognitions received for extension activities from government / government recognised bodies"/>
    <n v="10"/>
    <m/>
    <m/>
    <m/>
    <n v="0"/>
    <n v="0"/>
    <m/>
  </r>
  <r>
    <n v="9"/>
    <x v="3"/>
    <x v="7"/>
    <s v="QlM"/>
    <x v="8"/>
    <s v="Availability of adequate infrastructure and physical facilities viz., classrooms, laboratories, ICT facilities, cultural activities, gymnasium, yoga centre etc. in the institution"/>
    <n v="20"/>
    <n v="20"/>
    <n v="60"/>
    <m/>
    <n v="0"/>
    <n v="0"/>
    <n v="0"/>
  </r>
  <r>
    <n v="10"/>
    <x v="3"/>
    <x v="8"/>
    <s v="QlM"/>
    <x v="9"/>
    <s v="Library is automated using Integrated Library Management System (ILMS), subscription to e-resources, amount spent on purchase of books, journals and per day usage of library"/>
    <n v="20"/>
    <n v="20"/>
    <m/>
    <m/>
    <n v="0"/>
    <n v="0"/>
    <n v="0"/>
  </r>
  <r>
    <n v="11"/>
    <x v="3"/>
    <x v="9"/>
    <s v="QlM"/>
    <x v="10"/>
    <s v="Institution frequently updates its IT facilities and provides sufficient bandwidth for internet connection"/>
    <n v="20"/>
    <n v="20"/>
    <m/>
    <m/>
    <n v="0"/>
    <n v="0"/>
    <n v="0"/>
  </r>
  <r>
    <n v="12"/>
    <x v="4"/>
    <x v="10"/>
    <s v="QlM"/>
    <x v="11"/>
    <s v="There is a registered Alumni Association that contributes significantly to the development of the institution through financial and/or other support services"/>
    <n v="10"/>
    <n v="10"/>
    <n v="10"/>
    <m/>
    <n v="0"/>
    <n v="0"/>
    <n v="0"/>
  </r>
  <r>
    <n v="13"/>
    <x v="5"/>
    <x v="11"/>
    <s v="QlM"/>
    <x v="12"/>
    <s v="The governance and leadership is in accordance with vision and mission of the institution and it is visible in various institutional practices such as decentralization and participation in the institutional governance_x000a_"/>
    <n v="10"/>
    <n v="10"/>
    <n v="54"/>
    <m/>
    <n v="0"/>
    <n v="0"/>
    <n v="0"/>
  </r>
  <r>
    <n v="14"/>
    <x v="5"/>
    <x v="12"/>
    <s v="QlM"/>
    <x v="13"/>
    <s v="The functioning of the institutional bodies is effective and efficient as visible from policies, administrative setup, appointment and service rules, procedures, deployment of institutional Strategic/ perspective/development plan etc_x000a_"/>
    <n v="6"/>
    <n v="6"/>
    <m/>
    <m/>
    <n v="0"/>
    <n v="0"/>
    <n v="0"/>
  </r>
  <r>
    <n v="15"/>
    <x v="5"/>
    <x v="13"/>
    <s v="QlM"/>
    <x v="14"/>
    <s v="The institution has effective welfare measures and Performance Appraisal System for teaching and non-teaching staff"/>
    <n v="8"/>
    <n v="8"/>
    <m/>
    <m/>
    <n v="0"/>
    <n v="0"/>
    <n v="0"/>
  </r>
  <r>
    <n v="16"/>
    <x v="5"/>
    <x v="14"/>
    <s v="QlM"/>
    <x v="15"/>
    <s v="Institution has strategies for mobilization and optimal utilization of resources and funds from various sources (government/ non-government organizations) and it conducts financial audits regularly (internal and external)"/>
    <n v="15"/>
    <n v="15"/>
    <m/>
    <m/>
    <n v="0"/>
    <n v="0"/>
    <n v="0"/>
  </r>
  <r>
    <n v="17"/>
    <x v="5"/>
    <x v="15"/>
    <s v="QlM"/>
    <x v="16"/>
    <s v="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n v="15"/>
    <n v="15"/>
    <m/>
    <m/>
    <n v="0"/>
    <n v="0"/>
    <n v="0"/>
  </r>
  <r>
    <n v="18"/>
    <x v="6"/>
    <x v="16"/>
    <s v="QlM"/>
    <x v="17"/>
    <s v="Gender Equity and celebration of days of National/ International commemoration Measures initiated by the Institution for the promotion of gender equity and Institutional initiatives to celebrate / organize national and international commemorative days, events and festivals during the last five years (Within 500 words)"/>
    <n v="10"/>
    <n v="20"/>
    <n v="70"/>
    <m/>
    <n v="0"/>
    <n v="0"/>
    <n v="0"/>
  </r>
  <r>
    <n v="19"/>
    <x v="6"/>
    <x v="16"/>
    <s v="QlM"/>
    <x v="18"/>
    <s v="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n v="10"/>
    <m/>
    <m/>
    <m/>
    <n v="0"/>
    <n v="0"/>
    <m/>
  </r>
  <r>
    <n v="20"/>
    <x v="6"/>
    <x v="17"/>
    <s v="QlM"/>
    <x v="19"/>
    <s v="Describe two best practices successfully implemented by the Institution as per NAAC format provided in the Manual"/>
    <n v="30"/>
    <n v="30"/>
    <m/>
    <m/>
    <n v="0"/>
    <n v="0"/>
    <n v="0"/>
  </r>
  <r>
    <n v="21"/>
    <x v="6"/>
    <x v="18"/>
    <s v="QlM"/>
    <x v="20"/>
    <s v="Portray the performance of the Institution in one area distinctive to its priority and thrust within 1000 words"/>
    <n v="20"/>
    <n v="20"/>
    <m/>
    <m/>
    <n v="0"/>
    <n v="0"/>
    <n v="0"/>
  </r>
</pivotCacheRecords>
</file>

<file path=xl/pivotCache/pivotCacheRecords2.xml><?xml version="1.0" encoding="utf-8"?>
<pivotCacheRecords xmlns="http://schemas.openxmlformats.org/spreadsheetml/2006/main" xmlns:r="http://schemas.openxmlformats.org/officeDocument/2006/relationships" count="34">
  <r>
    <n v="1"/>
    <x v="0"/>
    <x v="0"/>
    <s v="QnM"/>
    <x v="0"/>
    <s v="Number of Add on /Certificate/ Value added programs offered during the last five years"/>
    <n v="15"/>
    <n v="30"/>
    <n v="70"/>
    <n v="0"/>
    <n v="0"/>
    <n v="0"/>
    <n v="0"/>
    <n v="0"/>
    <n v="80"/>
    <n v="1.1428571428571428"/>
  </r>
  <r>
    <n v="2"/>
    <x v="0"/>
    <x v="0"/>
    <s v="QnM"/>
    <x v="1"/>
    <s v="Average percentage of students enrolled in Certificate/ Add-on/ Value added programs as against the total number of students during the last five years"/>
    <n v="15"/>
    <m/>
    <m/>
    <n v="0"/>
    <n v="0"/>
    <n v="0"/>
    <m/>
    <m/>
    <m/>
    <m/>
  </r>
  <r>
    <n v="3"/>
    <x v="0"/>
    <x v="1"/>
    <s v="QnM"/>
    <x v="2"/>
    <s v="Percentage of students undertaking project work/field work/internships (Data for the latest completed academic year)"/>
    <n v="20"/>
    <n v="20"/>
    <m/>
    <n v="6.4"/>
    <n v="0"/>
    <n v="0"/>
    <n v="0"/>
    <n v="0"/>
    <m/>
    <m/>
  </r>
  <r>
    <n v="4"/>
    <x v="0"/>
    <x v="2"/>
    <s v="QnM"/>
    <x v="3"/>
    <s v="Institution obtains feedback on the academic performance and ambience of the institution from various stakeholders, such as Students, Teachers, Employers, Alumni etc. and action taken report on the feedback is made available on institutional website (Yes or No)"/>
    <n v="20"/>
    <n v="20"/>
    <m/>
    <s v="Yes"/>
    <n v="4"/>
    <n v="80"/>
    <n v="80"/>
    <n v="4"/>
    <m/>
    <m/>
  </r>
  <r>
    <n v="5"/>
    <x v="1"/>
    <x v="3"/>
    <s v="QnM"/>
    <x v="4"/>
    <s v="Enrolment percentage "/>
    <n v="20"/>
    <n v="40"/>
    <n v="225"/>
    <n v="83.46"/>
    <n v="4"/>
    <n v="80"/>
    <n v="100"/>
    <n v="2.5"/>
    <n v="395"/>
    <n v="1.7555555555555555"/>
  </r>
  <r>
    <n v="6"/>
    <x v="1"/>
    <x v="3"/>
    <s v="QnM"/>
    <x v="5"/>
    <s v="Percentage of seats filled against seats reserved for various categories (SC, ST, OBC, Divyangjan, etc. as per applicable reservation policy during the last five years ( exclusive of supernumerary seats)"/>
    <n v="20"/>
    <m/>
    <m/>
    <n v="36.909999999999997"/>
    <n v="1"/>
    <n v="20"/>
    <m/>
    <m/>
    <m/>
    <m/>
  </r>
  <r>
    <n v="7"/>
    <x v="1"/>
    <x v="4"/>
    <s v="QnM"/>
    <x v="6"/>
    <s v="Student- Full time teacher ratio (Data for the latest completed academic year)"/>
    <n v="40"/>
    <n v="40"/>
    <m/>
    <n v="64.44"/>
    <n v="3"/>
    <n v="120"/>
    <n v="120"/>
    <n v="3"/>
    <m/>
    <m/>
  </r>
  <r>
    <n v="8"/>
    <x v="1"/>
    <x v="5"/>
    <s v="QnM"/>
    <x v="7"/>
    <s v="Percentage of full time teachers against sanctioned posts during the last five years"/>
    <n v="15"/>
    <n v="40"/>
    <m/>
    <n v="86.67"/>
    <n v="4"/>
    <n v="60"/>
    <n v="85"/>
    <n v="2.125"/>
    <m/>
    <m/>
  </r>
  <r>
    <n v="9"/>
    <x v="1"/>
    <x v="5"/>
    <s v="QnM"/>
    <x v="8"/>
    <s v="Percentage of full time teachers with NET/SET/SLET/ Ph. D. / D.M. / M.Ch. / D.N.B Super speciality / D.Sc. / D.Litt. during the last five years (consider only highest degree for count)"/>
    <n v="25"/>
    <m/>
    <m/>
    <n v="32.97"/>
    <n v="1"/>
    <n v="25"/>
    <m/>
    <m/>
    <m/>
    <m/>
  </r>
  <r>
    <n v="10"/>
    <x v="1"/>
    <x v="6"/>
    <s v="QnM"/>
    <x v="9"/>
    <s v="Pass percentage of Students during last five years"/>
    <n v="45"/>
    <n v="45"/>
    <m/>
    <n v="50.32"/>
    <n v="2"/>
    <n v="90"/>
    <n v="90"/>
    <n v="2"/>
    <m/>
    <m/>
  </r>
  <r>
    <n v="11"/>
    <x v="1"/>
    <x v="7"/>
    <s v="QnM"/>
    <x v="10"/>
    <s v="Online student satisfaction survey regarding to teaching learning process. (Online survey to be conducted)"/>
    <n v="60"/>
    <n v="60"/>
    <m/>
    <m/>
    <n v="0"/>
    <n v="0"/>
    <n v="0"/>
    <n v="0"/>
    <m/>
    <m/>
  </r>
  <r>
    <n v="12"/>
    <x v="2"/>
    <x v="8"/>
    <s v="QnM"/>
    <x v="11"/>
    <s v="Grants received from Government and non-governmental agencies for research projects, endowments, Chairs in the institution during the last five years (INR in Lakhs)"/>
    <n v="10"/>
    <n v="10"/>
    <n v="80"/>
    <n v="0"/>
    <n v="0"/>
    <n v="0"/>
    <n v="0"/>
    <n v="0"/>
    <n v="80"/>
    <n v="1"/>
  </r>
  <r>
    <n v="13"/>
    <x v="2"/>
    <x v="9"/>
    <s v="QnM"/>
    <x v="12"/>
    <s v="Number of workshops/seminars conducted on Research Methodology, Intellectual Property Rights (IPR) and entrepreneurship during the last five years"/>
    <n v="5"/>
    <n v="5"/>
    <m/>
    <n v="11"/>
    <n v="0"/>
    <n v="0"/>
    <n v="0"/>
    <n v="0"/>
    <m/>
    <m/>
  </r>
  <r>
    <n v="14"/>
    <x v="2"/>
    <x v="10"/>
    <s v="QnM"/>
    <x v="13"/>
    <s v="Number of research papers per teachers in the Journals notified on UGC website during the last five years"/>
    <n v="10"/>
    <n v="25"/>
    <m/>
    <n v="47.62"/>
    <n v="2"/>
    <n v="20"/>
    <n v="80"/>
    <n v="3.2"/>
    <m/>
    <m/>
  </r>
  <r>
    <n v="15"/>
    <x v="2"/>
    <x v="10"/>
    <s v="QnM"/>
    <x v="14"/>
    <s v="Number of books and chapters in edited volumes/books published and papers published in national/ international conference proceedings per teacher during last five years"/>
    <n v="15"/>
    <m/>
    <m/>
    <n v="138.1"/>
    <n v="4"/>
    <n v="60"/>
    <m/>
    <m/>
    <m/>
    <m/>
  </r>
  <r>
    <n v="16"/>
    <x v="2"/>
    <x v="11"/>
    <s v="QnM"/>
    <x v="15"/>
    <s v="Number of extension and outreach Programmes conducted by the institution through NSS/ NCC/ Red Cross/ YRC etc., (including the programmes such as Swachh Bharat, AIDS awareness, Gender issues etc. )and/or those organised in collaboration with industry, community and NGOs during the last five years"/>
    <n v="20"/>
    <n v="20"/>
    <m/>
    <n v="12"/>
    <n v="0"/>
    <n v="0"/>
    <n v="0"/>
    <n v="0"/>
    <m/>
    <m/>
  </r>
  <r>
    <n v="17"/>
    <x v="2"/>
    <x v="12"/>
    <s v="QnM"/>
    <x v="16"/>
    <s v="The number of MoUs, collaborations/linkages for Faculty exchange, Student exchange, Internship, Field trip, On-the- job training, research and other academic activities during the last five years"/>
    <n v="20"/>
    <n v="20"/>
    <m/>
    <n v="6"/>
    <n v="0"/>
    <n v="0"/>
    <n v="0"/>
    <n v="0"/>
    <m/>
    <m/>
  </r>
  <r>
    <n v="18"/>
    <x v="3"/>
    <x v="13"/>
    <s v="QnM"/>
    <x v="17"/>
    <s v="Percentage of expenditure, excluding salary for infrastructure augmentation during last five years(INR in Lakhs)"/>
    <n v="10"/>
    <n v="10"/>
    <n v="40"/>
    <n v="57.24"/>
    <n v="2"/>
    <n v="20"/>
    <n v="20"/>
    <n v="2"/>
    <n v="90"/>
    <n v="2.25"/>
  </r>
  <r>
    <n v="19"/>
    <x v="3"/>
    <x v="14"/>
    <s v="QnM"/>
    <x v="18"/>
    <s v="Student – Computer ratio (Data for the latest completed academic year)"/>
    <n v="10"/>
    <n v="10"/>
    <m/>
    <n v="68.73"/>
    <n v="3"/>
    <n v="30"/>
    <n v="30"/>
    <n v="3"/>
    <m/>
    <m/>
  </r>
  <r>
    <n v="20"/>
    <x v="3"/>
    <x v="15"/>
    <s v="QnM"/>
    <x v="19"/>
    <s v="Percentage of expenditure incurred on maintenance of infrastructure (physical and academic support facilities) excluding salary component during the last five years(INR in Lakhs)"/>
    <n v="20"/>
    <n v="20"/>
    <m/>
    <n v="44.4"/>
    <n v="2"/>
    <n v="40"/>
    <n v="40"/>
    <n v="2"/>
    <m/>
    <m/>
  </r>
  <r>
    <n v="21"/>
    <x v="4"/>
    <x v="16"/>
    <s v="QnM"/>
    <x v="20"/>
    <s v="Percentage of students benefited by scholarships and freeships provided by the Government and Non-Government agencies during last five years"/>
    <n v="20"/>
    <n v="50"/>
    <n v="130"/>
    <n v="62.27"/>
    <n v="3"/>
    <n v="60"/>
    <n v="140"/>
    <n v="2.8"/>
    <n v="180"/>
    <n v="1.3846153846153846"/>
  </r>
  <r>
    <n v="22"/>
    <x v="4"/>
    <x v="16"/>
    <s v="QnM"/>
    <x v="21"/>
    <s v="Capacity building and skills enhancement initiatives taken by the institution include the following_x000a_1. Soft skills_x000a_2. Language and communication skills_x000a_3. Life skills (Yoga, physical fitness, health and hygiene)_x000a_4. ICT/computing skills_x000a_"/>
    <n v="10"/>
    <m/>
    <m/>
    <s v="A"/>
    <n v="4"/>
    <n v="40"/>
    <m/>
    <m/>
    <m/>
    <m/>
  </r>
  <r>
    <n v="23"/>
    <x v="4"/>
    <x v="16"/>
    <s v="QnM"/>
    <x v="22"/>
    <s v="Percentage of students benefitted by guidance for competitive examinations and career counselling offered by the Institution duringthe last five years"/>
    <n v="10"/>
    <m/>
    <m/>
    <n v="0"/>
    <n v="0"/>
    <n v="0"/>
    <m/>
    <m/>
    <m/>
    <m/>
  </r>
  <r>
    <n v="24"/>
    <x v="4"/>
    <x v="16"/>
    <s v="QnM"/>
    <x v="23"/>
    <s v="The Institution has a transparent mechanism for timely redressal of student grievances including sexual harassment and ragging cases_x000a_1. Implementation of guidelines of statutory/regulatory bodies_x000a_2. Organisation wide awareness and undertakings on policies with zero tolerance_x000a_3. Mechanisms for submission of online/offline students’ grievances_x000a_4. Timely redressal of the grievances through appropriate committees"/>
    <n v="10"/>
    <m/>
    <m/>
    <s v="A"/>
    <n v="4"/>
    <n v="40"/>
    <m/>
    <m/>
    <m/>
    <m/>
  </r>
  <r>
    <n v="25"/>
    <x v="4"/>
    <x v="17"/>
    <s v="QnM"/>
    <x v="24"/>
    <s v="Percentage of placement of outgoing students and students progressing to higher education during the last five years"/>
    <n v="20"/>
    <n v="30"/>
    <m/>
    <n v="0.32"/>
    <n v="0"/>
    <n v="0"/>
    <n v="40"/>
    <n v="1.3333333333333333"/>
    <m/>
    <m/>
  </r>
  <r>
    <n v="26"/>
    <x v="4"/>
    <x v="17"/>
    <s v="QnM"/>
    <x v="25"/>
    <s v="Average percentage of students qualifying in state/national/international level examinations during the last five years (eg: JAM/CLAT/GATE/ GMAT/CAT/GRE/ TOEFL/ Civil Services/State government examinations)"/>
    <n v="10"/>
    <m/>
    <m/>
    <n v="86.67"/>
    <n v="4"/>
    <n v="40"/>
    <m/>
    <m/>
    <m/>
    <m/>
  </r>
  <r>
    <n v="27"/>
    <x v="4"/>
    <x v="18"/>
    <s v="QnM"/>
    <x v="26"/>
    <s v="Number of awards/medals for outstanding performance insports/cultural activities at university/state/national / international level (award for a team event should be counted as one) during the last five years."/>
    <n v="25"/>
    <n v="50"/>
    <m/>
    <n v="8"/>
    <n v="0"/>
    <n v="0"/>
    <n v="0"/>
    <n v="0"/>
    <m/>
    <m/>
  </r>
  <r>
    <n v="28"/>
    <x v="4"/>
    <x v="18"/>
    <s v="QnM"/>
    <x v="27"/>
    <s v="Average number of sports and cultural events/competitions in which students of the Institution participated during last five years(organised by the institution/other institutions)"/>
    <n v="25"/>
    <m/>
    <m/>
    <n v="2.2000000000000002"/>
    <n v="0"/>
    <n v="0"/>
    <m/>
    <m/>
    <m/>
    <m/>
  </r>
  <r>
    <n v="29"/>
    <x v="5"/>
    <x v="19"/>
    <s v="QnM"/>
    <x v="28"/>
    <s v="Implementation of e-governance in areas of operation_x000a_1. Administration_x000a_2. Finance and Accounts _x000a_3. Student Admission and Support _x000a_4. Examination_x000a_"/>
    <n v="4"/>
    <n v="4"/>
    <n v="46"/>
    <s v="B"/>
    <n v="3"/>
    <n v="12"/>
    <n v="12"/>
    <n v="3"/>
    <n v="27"/>
    <n v="0.58695652173913049"/>
  </r>
  <r>
    <n v="30"/>
    <x v="5"/>
    <x v="20"/>
    <s v="QnM"/>
    <x v="29"/>
    <s v="Percentage of teachers provided with financial support to attend conferences/workshops and towards membership fee of professional bodies during the last five years"/>
    <n v="12"/>
    <n v="27"/>
    <m/>
    <n v="1.1000000000000001"/>
    <n v="0"/>
    <n v="0"/>
    <n v="0"/>
    <n v="0"/>
    <m/>
    <m/>
  </r>
  <r>
    <n v="31"/>
    <x v="5"/>
    <x v="20"/>
    <s v="QnM"/>
    <x v="30"/>
    <s v="Percentage of teaching and non-teaching staff participating in Faculty development Programmes (FDP), professional development /administrative training programs during the last five years"/>
    <n v="15"/>
    <m/>
    <m/>
    <n v="3.7"/>
    <n v="0"/>
    <n v="0"/>
    <m/>
    <m/>
    <m/>
    <m/>
  </r>
  <r>
    <n v="32"/>
    <x v="5"/>
    <x v="21"/>
    <s v="QnM"/>
    <x v="31"/>
    <s v="Quality assurance initiatives of the institution include:_x000a_1. Regular meeting of Internal Quality Assurance Cell (IQAC); Feedback collected, analysed and used for improvements _x000a_2. Collaborative quality initiatives with other institution(s)/ membership of international networks _x000a_3. Participation in NIRF_x000a_4. any other quality audit/accreditation recognized by state, national or international agencies such as NAAC, NBA, ISO Certification etc_x000a_"/>
    <n v="15"/>
    <n v="15"/>
    <m/>
    <s v="D"/>
    <n v="1"/>
    <n v="15"/>
    <n v="15"/>
    <n v="1"/>
    <m/>
    <m/>
  </r>
  <r>
    <n v="33"/>
    <x v="6"/>
    <x v="22"/>
    <s v="QnM"/>
    <x v="32"/>
    <s v="The Institution has facilities and initiatives for_x000a_1. Alternate sources of energy and energy conservation measures_x000a_2. Management of the various types of degradable and non-degradable waste_x000a_3. Water conservation_x000a_4. Green campus initiatives_x000a_5. Disabled-friendly, barrier free environment"/>
    <n v="20"/>
    <n v="30"/>
    <n v="30"/>
    <s v="A"/>
    <n v="4"/>
    <n v="80"/>
    <n v="110"/>
    <n v="3.6666666666666665"/>
    <n v="110"/>
    <n v="3.6666666666666665"/>
  </r>
  <r>
    <n v="34"/>
    <x v="6"/>
    <x v="22"/>
    <s v="QnM"/>
    <x v="33"/>
    <s v="Quality audits on environment and energy regularly undertaken by the Institution._x000a_The institutional environment and energy initiatives are confirmed_x000a_through the following_x000a_1. Green audit / Environment audit_x000a_2. Energy audit_x000a_3. Clean and green campus initiatives_x000a_4. Beyond the campus environmental promotion activities "/>
    <n v="10"/>
    <m/>
    <m/>
    <s v="B"/>
    <n v="3"/>
    <n v="30"/>
    <m/>
    <m/>
    <m/>
    <m/>
  </r>
</pivotCacheRecords>
</file>

<file path=xl/pivotCache/pivotCacheRecords3.xml><?xml version="1.0" encoding="utf-8"?>
<pivotCacheRecords xmlns="http://schemas.openxmlformats.org/spreadsheetml/2006/main" xmlns:r="http://schemas.openxmlformats.org/officeDocument/2006/relationships" count="55">
  <r>
    <n v="1"/>
    <x v="0"/>
    <x v="0"/>
    <x v="0"/>
    <x v="0"/>
    <s v="The Institution ensures effective curriculum planning and delivery through a well-planned and documented process including Academic calendar and conduct of continuous internal Assessment"/>
    <n v="20"/>
    <n v="20"/>
    <n v="100"/>
    <m/>
    <n v="0"/>
    <n v="0"/>
    <n v="0"/>
    <n v="0"/>
    <n v="80"/>
    <n v="0.8"/>
  </r>
  <r>
    <n v="2"/>
    <x v="0"/>
    <x v="1"/>
    <x v="1"/>
    <x v="1"/>
    <s v="Number of Add on /Certificate/ Value added programs offered during the last five years"/>
    <n v="15"/>
    <n v="30"/>
    <m/>
    <n v="4"/>
    <n v="0"/>
    <n v="0"/>
    <n v="0"/>
    <n v="0"/>
    <m/>
    <m/>
  </r>
  <r>
    <n v="3"/>
    <x v="0"/>
    <x v="1"/>
    <x v="1"/>
    <x v="2"/>
    <s v="Average percentage of students enrolled in Certificate/ Add-on/ Value added programs as against the total number of students during the last five years"/>
    <n v="15"/>
    <m/>
    <m/>
    <n v="1.29"/>
    <n v="0"/>
    <n v="0"/>
    <m/>
    <m/>
    <m/>
    <m/>
  </r>
  <r>
    <n v="4"/>
    <x v="0"/>
    <x v="2"/>
    <x v="0"/>
    <x v="3"/>
    <s v="Institution integrates crosscutting issues relevant to Professional Ethics, Gender, Human Values, Environment and Sustainability into the Curriculum"/>
    <n v="10"/>
    <n v="30"/>
    <m/>
    <m/>
    <n v="0"/>
    <n v="0"/>
    <n v="0"/>
    <n v="0"/>
    <m/>
    <m/>
  </r>
  <r>
    <n v="5"/>
    <x v="0"/>
    <x v="2"/>
    <x v="1"/>
    <x v="4"/>
    <s v="Percentage of students undertaking project work/field work/internships (Data for the latest completed academic year)"/>
    <n v="20"/>
    <m/>
    <m/>
    <n v="17.77"/>
    <n v="0"/>
    <n v="0"/>
    <m/>
    <m/>
    <m/>
    <m/>
  </r>
  <r>
    <n v="6"/>
    <x v="0"/>
    <x v="3"/>
    <x v="1"/>
    <x v="5"/>
    <s v="Institution obtains feedback on the academic performance and ambience of the institution from various stakeholders, such as Students, Teachers, Employers, Alumni etc. and action taken report on the feedback is made available on institutional website (Yes or No)"/>
    <n v="20"/>
    <n v="20"/>
    <m/>
    <s v="Yes"/>
    <n v="4"/>
    <n v="80"/>
    <n v="80"/>
    <n v="4"/>
    <m/>
    <m/>
  </r>
  <r>
    <n v="7"/>
    <x v="1"/>
    <x v="4"/>
    <x v="1"/>
    <x v="6"/>
    <s v="Enrolment percentage "/>
    <n v="20"/>
    <n v="40"/>
    <n v="350"/>
    <n v="68.39"/>
    <n v="3"/>
    <n v="60"/>
    <n v="140"/>
    <n v="3.5"/>
    <n v="585"/>
    <n v="1.6714285714285715"/>
  </r>
  <r>
    <n v="8"/>
    <x v="1"/>
    <x v="4"/>
    <x v="1"/>
    <x v="7"/>
    <s v="Percentage of seats filled against seats reserved for various categories (SC, ST, OBC, Divyangjan, etc. as per applicable reservation policy during the last five years ( exclusive of supernumerary seats)_x000a_"/>
    <n v="20"/>
    <m/>
    <m/>
    <n v="96.16"/>
    <n v="4"/>
    <n v="80"/>
    <m/>
    <m/>
    <m/>
    <m/>
  </r>
  <r>
    <n v="9"/>
    <x v="1"/>
    <x v="5"/>
    <x v="1"/>
    <x v="8"/>
    <s v="Student- Full time teacher ratio (Data for the latest completed academic year)"/>
    <n v="40"/>
    <n v="40"/>
    <m/>
    <n v="60.5"/>
    <n v="3"/>
    <n v="120"/>
    <n v="120"/>
    <n v="3"/>
    <m/>
    <m/>
  </r>
  <r>
    <n v="10"/>
    <x v="1"/>
    <x v="6"/>
    <x v="0"/>
    <x v="9"/>
    <s v="Student centric methods, such as experiential learning, participative learning and problem solving methodologies are used for enhancing learning experiences using ICT tools"/>
    <n v="40"/>
    <n v="40"/>
    <m/>
    <m/>
    <n v="0"/>
    <n v="0"/>
    <n v="0"/>
    <n v="0"/>
    <m/>
    <m/>
  </r>
  <r>
    <n v="11"/>
    <x v="1"/>
    <x v="7"/>
    <x v="1"/>
    <x v="10"/>
    <s v="Percentage of full time teachers against sanctioned posts during the last five years"/>
    <n v="15"/>
    <n v="40"/>
    <m/>
    <n v="100"/>
    <n v="4"/>
    <n v="60"/>
    <n v="85"/>
    <n v="2.125"/>
    <m/>
    <m/>
  </r>
  <r>
    <n v="12"/>
    <x v="1"/>
    <x v="7"/>
    <x v="1"/>
    <x v="11"/>
    <s v="Percentage of full time teachers with NET/SET/SLET/ Ph. D. / D.M. / M.Ch. / D.N.B Super speciality / D.Sc. / D.Litt. during the last five years (consider only highest degree for count)"/>
    <n v="25"/>
    <m/>
    <m/>
    <n v="23.85"/>
    <n v="1"/>
    <n v="25"/>
    <m/>
    <m/>
    <m/>
    <m/>
  </r>
  <r>
    <n v="13"/>
    <x v="1"/>
    <x v="8"/>
    <x v="0"/>
    <x v="12"/>
    <s v="Mechanism of internal/ external assessment is transparent and the grievance redressal system is time- bound and efficient"/>
    <n v="40"/>
    <n v="40"/>
    <m/>
    <m/>
    <n v="0"/>
    <n v="0"/>
    <n v="0"/>
    <n v="0"/>
    <m/>
    <m/>
  </r>
  <r>
    <n v="14"/>
    <x v="1"/>
    <x v="9"/>
    <x v="0"/>
    <x v="13"/>
    <s v="Programme Outcomes (POs) and Course Outcomes (COs) for all Programmes offered by the institution are stated and displayed on website and attainment of POs and COs are evaluated"/>
    <n v="45"/>
    <n v="90"/>
    <m/>
    <m/>
    <n v="0"/>
    <n v="0"/>
    <n v="180"/>
    <n v="2"/>
    <m/>
    <m/>
  </r>
  <r>
    <n v="15"/>
    <x v="1"/>
    <x v="9"/>
    <x v="1"/>
    <x v="14"/>
    <s v="Pass percentage of Students during last five years"/>
    <n v="45"/>
    <m/>
    <m/>
    <n v="98.36"/>
    <n v="4"/>
    <n v="180"/>
    <m/>
    <m/>
    <m/>
    <m/>
  </r>
  <r>
    <n v="16"/>
    <x v="1"/>
    <x v="10"/>
    <x v="1"/>
    <x v="15"/>
    <s v="Online student satisfaction survey regarding to teaching learning process. (Online survey to be conducted)"/>
    <n v="60"/>
    <n v="60"/>
    <m/>
    <n v="29"/>
    <n v="1"/>
    <n v="60"/>
    <n v="60"/>
    <n v="1"/>
    <m/>
    <m/>
  </r>
  <r>
    <n v="17"/>
    <x v="2"/>
    <x v="11"/>
    <x v="1"/>
    <x v="16"/>
    <s v="Grants received from Government and non-governmental agencies for research projects, endowments, Chairs in the institution during the last five years (INR in Lakhs)"/>
    <n v="10"/>
    <n v="10"/>
    <n v="110"/>
    <n v="0"/>
    <n v="0"/>
    <n v="0"/>
    <n v="0"/>
    <n v="0"/>
    <n v="115"/>
    <n v="1.0454545454545454"/>
  </r>
  <r>
    <n v="18"/>
    <x v="2"/>
    <x v="12"/>
    <x v="0"/>
    <x v="17"/>
    <s v="Institution has created an ecosystem for innovations and has initiatives for creation and transfer of knowledge (patents filed, published, incubation centre facilities in the HEI to be considered)"/>
    <n v="10"/>
    <n v="15"/>
    <m/>
    <m/>
    <n v="0"/>
    <n v="0"/>
    <n v="5"/>
    <n v="0.33333333333333331"/>
    <m/>
    <m/>
  </r>
  <r>
    <n v="19"/>
    <x v="2"/>
    <x v="12"/>
    <x v="1"/>
    <x v="18"/>
    <s v="Number of workshops/seminars conducted on Research Methodology, Intellectual Property Rights (IPR) and entrepreneurship during the last five years"/>
    <n v="5"/>
    <m/>
    <m/>
    <n v="26"/>
    <n v="1"/>
    <n v="5"/>
    <m/>
    <m/>
    <m/>
    <m/>
  </r>
  <r>
    <n v="20"/>
    <x v="2"/>
    <x v="13"/>
    <x v="1"/>
    <x v="19"/>
    <s v="Number of research papers per teachers in the Journals notified on UGC website during the last five years"/>
    <n v="10"/>
    <n v="25"/>
    <m/>
    <n v="11.54"/>
    <n v="0"/>
    <n v="0"/>
    <n v="30"/>
    <n v="1.2"/>
    <m/>
    <m/>
  </r>
  <r>
    <n v="21"/>
    <x v="2"/>
    <x v="13"/>
    <x v="1"/>
    <x v="20"/>
    <s v="Number of books and chapters in edited volumes/books published and papers published in national/ international conference proceedings per teacher during last five years"/>
    <n v="15"/>
    <m/>
    <m/>
    <n v="53.85"/>
    <n v="2"/>
    <n v="30"/>
    <m/>
    <m/>
    <m/>
    <m/>
  </r>
  <r>
    <n v="22"/>
    <x v="2"/>
    <x v="14"/>
    <x v="0"/>
    <x v="21"/>
    <s v="Extension activities are carried out in the neighbourhood community, sensitizing students to social issues, for their holistic development, and impact thereof during the last five years."/>
    <n v="10"/>
    <n v="40"/>
    <m/>
    <m/>
    <n v="0"/>
    <n v="0"/>
    <n v="80"/>
    <n v="2"/>
    <m/>
    <m/>
  </r>
  <r>
    <n v="23"/>
    <x v="2"/>
    <x v="14"/>
    <x v="0"/>
    <x v="22"/>
    <s v="Awards and recognitions received for extension activities from government / government recognised bodies"/>
    <n v="10"/>
    <m/>
    <m/>
    <m/>
    <n v="0"/>
    <n v="0"/>
    <m/>
    <m/>
    <m/>
    <m/>
  </r>
  <r>
    <n v="24"/>
    <x v="2"/>
    <x v="14"/>
    <x v="1"/>
    <x v="23"/>
    <s v="Number of extension and outreach Programmes conducted by the institution through NSS/ NCC/ Red Cross/ YRC etc., (including the programmes such as Swachh Bharat, AIDS awareness, Gender issues etc. )and/or those organised in collaboration with industry, community and NGOs during the last five years_x000a_"/>
    <n v="20"/>
    <m/>
    <m/>
    <n v="90"/>
    <n v="4"/>
    <n v="80"/>
    <m/>
    <m/>
    <m/>
    <m/>
  </r>
  <r>
    <n v="25"/>
    <x v="2"/>
    <x v="15"/>
    <x v="1"/>
    <x v="24"/>
    <s v="The number of MoUs, collaborations/linkages for Faculty exchange, Student exchange, Internship, Field trip, On-the- job training, research and other academic activities during the last five years"/>
    <n v="20"/>
    <n v="20"/>
    <m/>
    <n v="1"/>
    <n v="0"/>
    <n v="0"/>
    <n v="0"/>
    <n v="0"/>
    <m/>
    <m/>
  </r>
  <r>
    <n v="26"/>
    <x v="3"/>
    <x v="16"/>
    <x v="0"/>
    <x v="25"/>
    <s v="Availability of adequate infrastructure and physical facilities viz., classrooms, laboratories, ICT facilities, cultural activities, gymnasium, yoga centre etc. in the institution"/>
    <n v="20"/>
    <n v="30"/>
    <n v="100"/>
    <m/>
    <n v="0"/>
    <n v="0"/>
    <n v="40"/>
    <n v="1.3333333333333333"/>
    <n v="60"/>
    <n v="0.6"/>
  </r>
  <r>
    <n v="27"/>
    <x v="3"/>
    <x v="16"/>
    <x v="1"/>
    <x v="26"/>
    <s v="Percentage of expenditure, excluding salary for infrastructure augmentation during last five years(INR in Lakhs)"/>
    <n v="10"/>
    <m/>
    <m/>
    <n v="100"/>
    <n v="4"/>
    <n v="40"/>
    <m/>
    <m/>
    <m/>
    <m/>
  </r>
  <r>
    <n v="28"/>
    <x v="3"/>
    <x v="17"/>
    <x v="0"/>
    <x v="27"/>
    <s v="Library is automated using Integrated Library Management System (ILMS), subscription to e-resources, amount spent on purchase of books, journals and per day usage of library"/>
    <n v="20"/>
    <n v="20"/>
    <m/>
    <m/>
    <n v="0"/>
    <n v="0"/>
    <n v="0"/>
    <n v="0"/>
    <m/>
    <m/>
  </r>
  <r>
    <n v="29"/>
    <x v="3"/>
    <x v="18"/>
    <x v="0"/>
    <x v="28"/>
    <s v="Institution frequently updates its IT facilities and provides sufficient bandwidth for internet connection"/>
    <n v="20"/>
    <n v="30"/>
    <m/>
    <m/>
    <n v="0"/>
    <n v="0"/>
    <n v="20"/>
    <n v="0.66666666666666663"/>
    <m/>
    <m/>
  </r>
  <r>
    <n v="30"/>
    <x v="3"/>
    <x v="18"/>
    <x v="1"/>
    <x v="29"/>
    <s v="Student – Computer ratio (Data for the latest completed academic year)"/>
    <n v="10"/>
    <m/>
    <m/>
    <n v="45.38"/>
    <n v="2"/>
    <n v="20"/>
    <m/>
    <m/>
    <m/>
    <m/>
  </r>
  <r>
    <n v="31"/>
    <x v="3"/>
    <x v="19"/>
    <x v="1"/>
    <x v="30"/>
    <s v="Percentage of expenditure incurred on maintenance of infrastructure (physical and academic support facilities) excluding salary component during the last five years(INR in Lakhs)"/>
    <n v="20"/>
    <n v="20"/>
    <m/>
    <n v="0.38"/>
    <n v="0"/>
    <n v="0"/>
    <n v="0"/>
    <n v="0"/>
    <m/>
    <m/>
  </r>
  <r>
    <n v="32"/>
    <x v="4"/>
    <x v="20"/>
    <x v="1"/>
    <x v="31"/>
    <s v="Percentage of students benefited by scholarships and freeships provided by the Government and Non-Government agencies during last five years"/>
    <n v="20"/>
    <n v="50"/>
    <n v="140"/>
    <n v="65.790000000000006"/>
    <n v="3"/>
    <n v="60"/>
    <n v="120"/>
    <n v="2.4"/>
    <n v="245"/>
    <n v="1.75"/>
  </r>
  <r>
    <n v="33"/>
    <x v="4"/>
    <x v="20"/>
    <x v="1"/>
    <x v="32"/>
    <s v="Capacity building and skills enhancement initiatives taken by the institution include the following_x000a_1. Soft skills_x000a_2. Language and communication skills_x000a_3. Life skills (Yoga, physical fitness, health and hygiene)_x000a_4. ICT/computing skills_x000a_"/>
    <n v="10"/>
    <m/>
    <m/>
    <s v="C"/>
    <n v="2"/>
    <n v="20"/>
    <m/>
    <m/>
    <m/>
    <m/>
  </r>
  <r>
    <n v="34"/>
    <x v="4"/>
    <x v="20"/>
    <x v="1"/>
    <x v="33"/>
    <s v="Percentage of students benefitted by guidance for competitive examinations and career counselling offered by the Institution duringthe last five years"/>
    <n v="10"/>
    <m/>
    <m/>
    <n v="4.3499999999999996"/>
    <n v="0"/>
    <n v="0"/>
    <m/>
    <m/>
    <m/>
    <m/>
  </r>
  <r>
    <n v="35"/>
    <x v="4"/>
    <x v="20"/>
    <x v="1"/>
    <x v="34"/>
    <s v="The Institution has a transparent mechanism for timely redressal of student grievances including sexual harassment and ragging cases_x000a_1. Implementation of guidelines of statutory/regulatory bodies_x000a_2. Organisation wide awareness and undertakings on policies with zero tolerance_x000a_3. Mechanisms for submission of online/offline students’ grievances_x000a_4. Timely redressal of the grievances through appropriate committees"/>
    <n v="10"/>
    <m/>
    <m/>
    <s v="A"/>
    <n v="4"/>
    <n v="40"/>
    <m/>
    <m/>
    <m/>
    <m/>
  </r>
  <r>
    <n v="36"/>
    <x v="4"/>
    <x v="21"/>
    <x v="1"/>
    <x v="35"/>
    <s v="Percentage of placement of outgoing students and students progressing to higher education during the last five years"/>
    <n v="20"/>
    <n v="30"/>
    <m/>
    <n v="74.900000000000006"/>
    <n v="3"/>
    <n v="60"/>
    <n v="100"/>
    <n v="3.3333333333333335"/>
    <m/>
    <m/>
  </r>
  <r>
    <n v="37"/>
    <x v="4"/>
    <x v="21"/>
    <x v="1"/>
    <x v="36"/>
    <s v="Average percentage of students qualifying in state/national/international level examinations during the last five years (eg: JAM/CLAT/GATE/ GMAT/CAT/GRE/ TOEFL/ Civil Services/State government examinations)"/>
    <n v="10"/>
    <m/>
    <m/>
    <n v="100"/>
    <n v="4"/>
    <n v="40"/>
    <m/>
    <m/>
    <m/>
    <m/>
  </r>
  <r>
    <n v="38"/>
    <x v="4"/>
    <x v="22"/>
    <x v="1"/>
    <x v="37"/>
    <s v="Number of awards/medals for outstanding performance insports/cultural activities at university/state/national / international level (award for a team event should be counted as one) during the last five years."/>
    <n v="25"/>
    <n v="50"/>
    <m/>
    <n v="11"/>
    <n v="0"/>
    <n v="0"/>
    <n v="25"/>
    <n v="0.5"/>
    <m/>
    <m/>
  </r>
  <r>
    <n v="39"/>
    <x v="4"/>
    <x v="22"/>
    <x v="1"/>
    <x v="38"/>
    <s v="Average number of sports and cultural events/competitions in which students of the Institution participated during last five years(organised by the institution/other institutions)"/>
    <n v="25"/>
    <m/>
    <m/>
    <n v="22.4"/>
    <n v="1"/>
    <n v="25"/>
    <m/>
    <m/>
    <m/>
    <m/>
  </r>
  <r>
    <n v="40"/>
    <x v="4"/>
    <x v="23"/>
    <x v="0"/>
    <x v="39"/>
    <s v="There is a registered Alumni Association that contributes significantly to the development of the institution through financial and/or other support services"/>
    <n v="10"/>
    <n v="10"/>
    <m/>
    <m/>
    <n v="0"/>
    <n v="0"/>
    <n v="0"/>
    <n v="0"/>
    <m/>
    <m/>
  </r>
  <r>
    <n v="41"/>
    <x v="5"/>
    <x v="24"/>
    <x v="0"/>
    <x v="40"/>
    <s v="The governance and leadership is in accordance with vision and mission of the institution and it is visible in various institutional practices such as decentralization and participation in the institutional governance_x000a_"/>
    <n v="10"/>
    <n v="10"/>
    <n v="100"/>
    <m/>
    <n v="0"/>
    <n v="0"/>
    <n v="0"/>
    <n v="0"/>
    <n v="61"/>
    <n v="0.61"/>
  </r>
  <r>
    <n v="42"/>
    <x v="5"/>
    <x v="25"/>
    <x v="0"/>
    <x v="41"/>
    <s v="The functioning of the institutional bodies is effective and efficient as visible from policies, administrative setup, appointment and service rules, procedures, deployment of institutional Strategic/ perspective/development plan etc_x000a_"/>
    <n v="6"/>
    <n v="10"/>
    <m/>
    <m/>
    <n v="0"/>
    <n v="0"/>
    <n v="16"/>
    <n v="1.6"/>
    <m/>
    <m/>
  </r>
  <r>
    <n v="43"/>
    <x v="5"/>
    <x v="25"/>
    <x v="1"/>
    <x v="42"/>
    <s v="Implementation of e-governance in areas of operation_x000a_1. Administration_x000a_2. Finance and Accounts _x000a_3. Student Admission and Support _x000a_4. Examination_x000a_"/>
    <n v="4"/>
    <m/>
    <m/>
    <s v="A"/>
    <n v="4"/>
    <n v="16"/>
    <m/>
    <m/>
    <m/>
    <m/>
  </r>
  <r>
    <n v="44"/>
    <x v="5"/>
    <x v="26"/>
    <x v="0"/>
    <x v="43"/>
    <s v="The institution has effective welfare measures and Performance Appraisal System for teaching and non-teaching staff"/>
    <n v="8"/>
    <n v="35"/>
    <m/>
    <m/>
    <n v="0"/>
    <n v="0"/>
    <n v="0"/>
    <n v="0"/>
    <m/>
    <m/>
  </r>
  <r>
    <n v="45"/>
    <x v="5"/>
    <x v="26"/>
    <x v="1"/>
    <x v="44"/>
    <s v="Percentage of teachers provided with financial support to attend conferences/workshops and towards membership fee of professional bodies during the last five years"/>
    <n v="12"/>
    <m/>
    <m/>
    <n v="0"/>
    <n v="0"/>
    <n v="0"/>
    <m/>
    <m/>
    <m/>
    <m/>
  </r>
  <r>
    <n v="46"/>
    <x v="5"/>
    <x v="26"/>
    <x v="1"/>
    <x v="45"/>
    <s v="Percentage of teaching and non-teaching staff participating in Faculty development Programmes (FDP), professional development /administrative training programs during the last five years"/>
    <n v="15"/>
    <m/>
    <m/>
    <n v="5.52"/>
    <n v="0"/>
    <n v="0"/>
    <m/>
    <m/>
    <m/>
    <m/>
  </r>
  <r>
    <n v="47"/>
    <x v="5"/>
    <x v="27"/>
    <x v="0"/>
    <x v="46"/>
    <s v="Institution has strategies for mobilization and optimal utilization of resources and funds from various sources (government/ non-government organizations) and it conducts financial audits regularly (internal and external)"/>
    <n v="15"/>
    <n v="15"/>
    <m/>
    <m/>
    <n v="0"/>
    <n v="0"/>
    <n v="0"/>
    <n v="0"/>
    <m/>
    <m/>
  </r>
  <r>
    <n v="48"/>
    <x v="5"/>
    <x v="28"/>
    <x v="0"/>
    <x v="47"/>
    <s v="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n v="15"/>
    <n v="30"/>
    <m/>
    <m/>
    <n v="0"/>
    <n v="0"/>
    <n v="45"/>
    <n v="1.5"/>
    <m/>
    <m/>
  </r>
  <r>
    <n v="49"/>
    <x v="5"/>
    <x v="28"/>
    <x v="1"/>
    <x v="48"/>
    <s v="Quality assurance initiatives of the institution include:_x000a_1. Regular meeting of Internal Quality Assurance Cell (IQAC); Feedback collected, analysed and used for improvements _x000a_2. Collaborative quality initiatives with other institution(s)/ membership of international networks _x000a_3. Participation in NIRF_x000a_4. any other quality audit/accreditation recognized by state, national or international agencies such as NAAC, NBA, ISO Certification etc_x000a_"/>
    <n v="15"/>
    <m/>
    <m/>
    <s v="B"/>
    <n v="3"/>
    <n v="45"/>
    <m/>
    <m/>
    <m/>
    <m/>
  </r>
  <r>
    <n v="50"/>
    <x v="6"/>
    <x v="29"/>
    <x v="0"/>
    <x v="49"/>
    <s v="Gender Equity and celebration of days of National/ International commemoration Measures initiated by the Institution for the promotion of gender equity and Institutional initiatives to celebrate / organize national and international commemorative days, events and festivals during the last five years (Within 500 words)"/>
    <n v="10"/>
    <n v="50"/>
    <n v="100"/>
    <m/>
    <n v="0"/>
    <n v="0"/>
    <n v="100"/>
    <n v="2"/>
    <n v="100"/>
    <n v="1"/>
  </r>
  <r>
    <n v="51"/>
    <x v="6"/>
    <x v="29"/>
    <x v="1"/>
    <x v="50"/>
    <s v="The Institution has facilities and initiatives for_x000a_1. Alternate sources of energy and energy conservation measures_x000a_2. Management of the various types of degradable and non-degradable waste_x000a_3. Water conservation_x000a_4. Green campus initiatives_x000a_5. Disabled-friendly, barrier free environment"/>
    <n v="20"/>
    <m/>
    <m/>
    <s v="A"/>
    <n v="4"/>
    <n v="80"/>
    <m/>
    <m/>
    <m/>
    <m/>
  </r>
  <r>
    <n v="52"/>
    <x v="6"/>
    <x v="29"/>
    <x v="1"/>
    <x v="51"/>
    <s v="Quality audits on environment and energy regularly undertaken by the Institution._x000a_The institutional environment and energy initiatives are confirmed_x000a_through the following_x000a_1. Green audit / Environment audit_x000a_2. Energy audit_x000a_3. Clean and green campus initiatives_x000a_4. Beyond the campus environmental promotion activities "/>
    <n v="10"/>
    <m/>
    <m/>
    <s v="C"/>
    <n v="2"/>
    <n v="20"/>
    <m/>
    <m/>
    <m/>
    <m/>
  </r>
  <r>
    <n v="53"/>
    <x v="6"/>
    <x v="29"/>
    <x v="0"/>
    <x v="52"/>
    <s v="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n v="10"/>
    <m/>
    <m/>
    <m/>
    <n v="0"/>
    <n v="0"/>
    <m/>
    <m/>
    <m/>
    <m/>
  </r>
  <r>
    <n v="54"/>
    <x v="6"/>
    <x v="30"/>
    <x v="0"/>
    <x v="53"/>
    <s v="Describe two best practices successfully implemented by the Institution as per NAAC format provided in the Manual"/>
    <n v="30"/>
    <n v="30"/>
    <m/>
    <m/>
    <n v="0"/>
    <n v="0"/>
    <n v="0"/>
    <n v="0"/>
    <m/>
    <m/>
  </r>
  <r>
    <n v="55"/>
    <x v="6"/>
    <x v="31"/>
    <x v="0"/>
    <x v="54"/>
    <s v="Portray the performance of the Institution in one area distinctive to its priority and thrust within 1000 words"/>
    <n v="20"/>
    <n v="20"/>
    <m/>
    <m/>
    <n v="0"/>
    <n v="0"/>
    <n v="0"/>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84:G117" firstHeaderRow="1" firstDataRow="1" firstDataCol="1"/>
  <pivotFields count="16">
    <pivotField showAll="0"/>
    <pivotField showAll="0"/>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Metric" fld="10" subtotal="average" baseField="2"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63:G71" firstHeaderRow="1" firstDataRow="1" firstDataCol="1"/>
  <pivotFields count="16">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Average of Metric" fld="10" subtotal="average" baseField="1"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26:G182" firstHeaderRow="1" firstDataRow="1" firstDataCol="1"/>
  <pivotFields count="16">
    <pivotField showAll="0"/>
    <pivotField showAll="0"/>
    <pivotField showAll="0"/>
    <pivotField showAll="0"/>
    <pivotField axis="axisRow"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Items count="1">
    <i/>
  </colItems>
  <dataFields count="1">
    <dataField name="Average of Metric" fld="10" subtotal="average" baseField="4"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20:G123" firstHeaderRow="1" firstDataRow="1" firstDataCol="1"/>
  <pivotFields count="16">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3">
    <i>
      <x/>
    </i>
    <i>
      <x v="1"/>
    </i>
    <i t="grand">
      <x/>
    </i>
  </rowItems>
  <colItems count="1">
    <i/>
  </colItems>
  <dataFields count="1">
    <dataField name="Average of Metric" fld="10" subtotal="average" baseField="3"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57:G81" firstHeaderRow="1" firstDataRow="1" firstDataCol="1"/>
  <pivotFields count="16">
    <pivotField showAll="0"/>
    <pivotField showAll="0"/>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Metric" fld="10" subtotal="average" baseField="2" baseItem="0"/>
  </dataFields>
  <formats count="2">
    <format dxfId="1">
      <pivotArea dataOnly="0" labelOnly="1" outline="0" axis="axisValues" fieldPosition="0"/>
    </format>
    <format dxfId="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42:G50" firstHeaderRow="1" firstDataRow="1" firstDataCol="1"/>
  <pivotFields count="16">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Average of Metric" fld="10" subtotal="average" baseField="1" baseItem="0"/>
  </dataFields>
  <formats count="7">
    <format dxfId="8">
      <pivotArea collapsedLevelsAreSubtotals="1" fieldPosition="0">
        <references count="1">
          <reference field="1" count="1">
            <x v="1"/>
          </reference>
        </references>
      </pivotArea>
    </format>
    <format dxfId="7">
      <pivotArea collapsedLevelsAreSubtotals="1" fieldPosition="0">
        <references count="1">
          <reference field="1" count="1">
            <x v="3"/>
          </reference>
        </references>
      </pivotArea>
    </format>
    <format dxfId="6">
      <pivotArea collapsedLevelsAreSubtotals="1" fieldPosition="0">
        <references count="1">
          <reference field="1" count="1">
            <x v="4"/>
          </reference>
        </references>
      </pivotArea>
    </format>
    <format dxfId="5">
      <pivotArea dataOnly="0" labelOnly="1" outline="0" axis="axisValues" fieldPosition="0"/>
    </format>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3"/>
          </reference>
        </references>
      </pivotArea>
    </chartFormat>
    <chartFormat chart="1" format="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83:G118" firstHeaderRow="1" firstDataRow="1" firstDataCol="1"/>
  <pivotFields count="16">
    <pivotField showAll="0"/>
    <pivotField showAll="0"/>
    <pivotField showAll="0"/>
    <pivotField showAll="0"/>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Average of Metric" fld="10" subtotal="average" baseField="4" baseItem="0"/>
  </dataFields>
  <formats count="2">
    <format dxfId="10">
      <pivotArea dataOnly="0" labelOnly="1" outline="0" axis="axisValues" fieldPosition="0"/>
    </format>
    <format dxfId="9">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78:G86" firstHeaderRow="1" firstDataRow="1" firstDataCol="1"/>
  <pivotFields count="13">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8">
    <i>
      <x/>
    </i>
    <i>
      <x v="1"/>
    </i>
    <i>
      <x v="2"/>
    </i>
    <i>
      <x v="3"/>
    </i>
    <i>
      <x v="4"/>
    </i>
    <i>
      <x v="5"/>
    </i>
    <i>
      <x v="6"/>
    </i>
    <i t="grand">
      <x/>
    </i>
  </rowItems>
  <colItems count="1">
    <i/>
  </colItems>
  <dataFields count="1">
    <dataField name="Average of Metric" fld="10" subtotal="average" baseField="1"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56:G76" firstHeaderRow="1" firstDataRow="1" firstDataCol="1"/>
  <pivotFields count="13">
    <pivotField showAll="0"/>
    <pivotField showAll="0"/>
    <pivotField axis="axisRow"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Metric" fld="10" subtotal="average" baseField="2"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32:G54" firstHeaderRow="1" firstDataRow="1" firstDataCol="1"/>
  <pivotFields count="13">
    <pivotField showAll="0"/>
    <pivotField showAll="0"/>
    <pivotField showAll="0"/>
    <pivotField showAll="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dataField="1"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Metric" fld="10" subtotal="average" baseField="4"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3.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6.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I10" sqref="I9:I10"/>
    </sheetView>
  </sheetViews>
  <sheetFormatPr defaultRowHeight="15" x14ac:dyDescent="0.25"/>
  <cols>
    <col min="1" max="1" width="14.5703125" bestFit="1" customWidth="1"/>
    <col min="3" max="3" width="10.42578125" customWidth="1"/>
  </cols>
  <sheetData>
    <row r="1" spans="1:7" s="15" customFormat="1" ht="30" x14ac:dyDescent="0.25">
      <c r="A1" s="14" t="s">
        <v>164</v>
      </c>
      <c r="B1" s="11" t="s">
        <v>0</v>
      </c>
      <c r="C1" s="118" t="s">
        <v>2</v>
      </c>
      <c r="D1" s="118"/>
      <c r="E1" s="118"/>
      <c r="F1" s="118"/>
      <c r="G1" s="118"/>
    </row>
    <row r="2" spans="1:7" ht="25.5" customHeight="1" x14ac:dyDescent="0.25">
      <c r="A2" s="117" t="s">
        <v>161</v>
      </c>
      <c r="B2" s="3">
        <v>1.1000000000000001</v>
      </c>
      <c r="C2" s="119" t="s">
        <v>154</v>
      </c>
      <c r="D2" s="119"/>
      <c r="E2" s="119"/>
      <c r="F2" s="119"/>
      <c r="G2" s="119"/>
    </row>
    <row r="3" spans="1:7" x14ac:dyDescent="0.25">
      <c r="A3" s="117"/>
      <c r="B3" s="3" t="s">
        <v>155</v>
      </c>
      <c r="C3" s="2"/>
      <c r="D3" s="12"/>
      <c r="E3" s="12"/>
      <c r="F3" s="12"/>
      <c r="G3" s="12"/>
    </row>
    <row r="4" spans="1:7" x14ac:dyDescent="0.25">
      <c r="A4" s="117"/>
      <c r="B4" s="3" t="s">
        <v>156</v>
      </c>
      <c r="C4" s="2"/>
      <c r="D4" s="12"/>
      <c r="E4" s="12"/>
      <c r="F4" s="12"/>
      <c r="G4" s="12"/>
    </row>
    <row r="5" spans="1:7" ht="31.5" customHeight="1" x14ac:dyDescent="0.25">
      <c r="A5" s="117" t="s">
        <v>162</v>
      </c>
      <c r="B5" s="3">
        <v>2.1</v>
      </c>
      <c r="C5" s="120" t="s">
        <v>157</v>
      </c>
      <c r="D5" s="120"/>
      <c r="E5" s="120"/>
      <c r="F5" s="120"/>
      <c r="G5" s="120"/>
    </row>
    <row r="6" spans="1:7" ht="30.75" customHeight="1" x14ac:dyDescent="0.25">
      <c r="A6" s="117"/>
      <c r="B6" s="3">
        <v>2.2000000000000002</v>
      </c>
      <c r="C6" s="120" t="s">
        <v>158</v>
      </c>
      <c r="D6" s="120"/>
      <c r="E6" s="120"/>
      <c r="F6" s="120"/>
      <c r="G6" s="120"/>
    </row>
    <row r="7" spans="1:7" x14ac:dyDescent="0.25">
      <c r="A7" s="117"/>
      <c r="B7" s="3" t="s">
        <v>155</v>
      </c>
      <c r="C7" s="2"/>
      <c r="D7" s="12"/>
      <c r="E7" s="12"/>
      <c r="F7" s="12"/>
      <c r="G7" s="12"/>
    </row>
    <row r="8" spans="1:7" x14ac:dyDescent="0.25">
      <c r="A8" s="117"/>
      <c r="B8" s="3" t="s">
        <v>156</v>
      </c>
      <c r="C8" s="2"/>
      <c r="D8" s="12"/>
      <c r="E8" s="12"/>
      <c r="F8" s="12"/>
      <c r="G8" s="12"/>
    </row>
    <row r="9" spans="1:7" ht="30.75" customHeight="1" x14ac:dyDescent="0.25">
      <c r="A9" s="117" t="s">
        <v>163</v>
      </c>
      <c r="B9" s="3">
        <v>3.1</v>
      </c>
      <c r="C9" s="120" t="s">
        <v>159</v>
      </c>
      <c r="D9" s="120"/>
      <c r="E9" s="120"/>
      <c r="F9" s="120"/>
      <c r="G9" s="120"/>
    </row>
    <row r="10" spans="1:7" x14ac:dyDescent="0.25">
      <c r="A10" s="117"/>
      <c r="B10" s="3" t="s">
        <v>155</v>
      </c>
      <c r="C10" s="2"/>
      <c r="D10" s="12"/>
      <c r="E10" s="12"/>
      <c r="F10" s="12"/>
      <c r="G10" s="12"/>
    </row>
    <row r="11" spans="1:7" ht="25.5" x14ac:dyDescent="0.25">
      <c r="A11" s="117"/>
      <c r="B11" s="3" t="s">
        <v>160</v>
      </c>
      <c r="C11" s="2"/>
      <c r="D11" s="12"/>
      <c r="E11" s="12"/>
      <c r="F11" s="12"/>
      <c r="G11" s="12"/>
    </row>
  </sheetData>
  <mergeCells count="8">
    <mergeCell ref="A5:A8"/>
    <mergeCell ref="A9:A11"/>
    <mergeCell ref="A2:A4"/>
    <mergeCell ref="C1:G1"/>
    <mergeCell ref="C2:G2"/>
    <mergeCell ref="C5:G5"/>
    <mergeCell ref="C6:G6"/>
    <mergeCell ref="C9:G9"/>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3"/>
  <sheetViews>
    <sheetView zoomScale="80" zoomScaleNormal="80" workbookViewId="0">
      <selection activeCell="G2" sqref="G2:I36"/>
    </sheetView>
  </sheetViews>
  <sheetFormatPr defaultRowHeight="15" x14ac:dyDescent="0.25"/>
  <cols>
    <col min="1" max="1" width="3.5703125" style="1" bestFit="1" customWidth="1"/>
    <col min="2" max="3" width="16.28515625" style="6" hidden="1" customWidth="1"/>
    <col min="4" max="5" width="7" bestFit="1" customWidth="1"/>
    <col min="6" max="6" width="58.5703125" customWidth="1"/>
    <col min="7" max="7" width="3.5703125" bestFit="1" customWidth="1"/>
    <col min="8" max="8" width="12.5703125" customWidth="1"/>
    <col min="9" max="9" width="11.42578125" bestFit="1" customWidth="1"/>
  </cols>
  <sheetData>
    <row r="2" spans="1:9" s="1" customFormat="1" ht="51" x14ac:dyDescent="0.25">
      <c r="A2" s="13" t="s">
        <v>1</v>
      </c>
      <c r="B2" s="13" t="s">
        <v>168</v>
      </c>
      <c r="C2" s="13" t="s">
        <v>170</v>
      </c>
      <c r="D2" s="13" t="s">
        <v>169</v>
      </c>
      <c r="E2" s="13" t="s">
        <v>171</v>
      </c>
      <c r="F2" s="13" t="s">
        <v>180</v>
      </c>
      <c r="G2" s="13" t="s">
        <v>178</v>
      </c>
      <c r="H2" s="45" t="s">
        <v>256</v>
      </c>
      <c r="I2" s="45" t="s">
        <v>255</v>
      </c>
    </row>
    <row r="3" spans="1:9" ht="30" x14ac:dyDescent="0.25">
      <c r="A3" s="39">
        <f>SUBTOTAL(3,$B$3:B3)</f>
        <v>1</v>
      </c>
      <c r="B3" s="9" t="s">
        <v>141</v>
      </c>
      <c r="C3" s="9" t="s">
        <v>110</v>
      </c>
      <c r="D3" s="38" t="s">
        <v>108</v>
      </c>
      <c r="E3" s="38" t="s">
        <v>53</v>
      </c>
      <c r="F3" s="2" t="s">
        <v>4</v>
      </c>
      <c r="G3" s="38">
        <v>15</v>
      </c>
      <c r="H3" s="12"/>
      <c r="I3" s="12"/>
    </row>
    <row r="4" spans="1:9" ht="38.25" x14ac:dyDescent="0.25">
      <c r="A4" s="39">
        <f>SUBTOTAL(3,$B$3:B4)</f>
        <v>2</v>
      </c>
      <c r="B4" s="9" t="s">
        <v>141</v>
      </c>
      <c r="C4" s="9" t="s">
        <v>110</v>
      </c>
      <c r="D4" s="38" t="s">
        <v>108</v>
      </c>
      <c r="E4" s="38" t="s">
        <v>54</v>
      </c>
      <c r="F4" s="2" t="s">
        <v>5</v>
      </c>
      <c r="G4" s="38">
        <v>15</v>
      </c>
      <c r="H4" s="12"/>
      <c r="I4" s="12"/>
    </row>
    <row r="5" spans="1:9" ht="30" x14ac:dyDescent="0.25">
      <c r="A5" s="39">
        <f>SUBTOTAL(3,$B$3:B5)</f>
        <v>3</v>
      </c>
      <c r="B5" s="9" t="s">
        <v>141</v>
      </c>
      <c r="C5" s="9" t="s">
        <v>111</v>
      </c>
      <c r="D5" s="38" t="s">
        <v>108</v>
      </c>
      <c r="E5" s="38" t="s">
        <v>56</v>
      </c>
      <c r="F5" s="2" t="s">
        <v>7</v>
      </c>
      <c r="G5" s="38">
        <v>20</v>
      </c>
      <c r="H5" s="12"/>
      <c r="I5" s="12"/>
    </row>
    <row r="6" spans="1:9" ht="63.75" x14ac:dyDescent="0.25">
      <c r="A6" s="39">
        <f>SUBTOTAL(3,$B$3:B6)</f>
        <v>4</v>
      </c>
      <c r="B6" s="9" t="s">
        <v>141</v>
      </c>
      <c r="C6" s="9" t="s">
        <v>112</v>
      </c>
      <c r="D6" s="38" t="s">
        <v>108</v>
      </c>
      <c r="E6" s="38" t="s">
        <v>57</v>
      </c>
      <c r="F6" s="2" t="s">
        <v>8</v>
      </c>
      <c r="G6" s="38">
        <v>20</v>
      </c>
      <c r="H6" s="12"/>
      <c r="I6" s="12"/>
    </row>
    <row r="7" spans="1:9" ht="45" x14ac:dyDescent="0.25">
      <c r="A7" s="39">
        <f>SUBTOTAL(3,$B$3:B7)</f>
        <v>5</v>
      </c>
      <c r="B7" s="9" t="s">
        <v>142</v>
      </c>
      <c r="C7" s="9" t="s">
        <v>113</v>
      </c>
      <c r="D7" s="38" t="s">
        <v>108</v>
      </c>
      <c r="E7" s="38" t="s">
        <v>58</v>
      </c>
      <c r="F7" s="2" t="s">
        <v>9</v>
      </c>
      <c r="G7" s="38">
        <v>20</v>
      </c>
      <c r="H7" s="12"/>
      <c r="I7" s="12"/>
    </row>
    <row r="8" spans="1:9" ht="51" x14ac:dyDescent="0.25">
      <c r="A8" s="39">
        <f>SUBTOTAL(3,$B$3:B8)</f>
        <v>6</v>
      </c>
      <c r="B8" s="9" t="s">
        <v>142</v>
      </c>
      <c r="C8" s="9" t="s">
        <v>113</v>
      </c>
      <c r="D8" s="38" t="s">
        <v>108</v>
      </c>
      <c r="E8" s="38" t="s">
        <v>59</v>
      </c>
      <c r="F8" s="2" t="s">
        <v>254</v>
      </c>
      <c r="G8" s="38">
        <v>20</v>
      </c>
      <c r="H8" s="12"/>
      <c r="I8" s="12"/>
    </row>
    <row r="9" spans="1:9" ht="45" x14ac:dyDescent="0.25">
      <c r="A9" s="39">
        <f>SUBTOTAL(3,$B$3:B9)</f>
        <v>7</v>
      </c>
      <c r="B9" s="9" t="s">
        <v>142</v>
      </c>
      <c r="C9" s="9" t="s">
        <v>114</v>
      </c>
      <c r="D9" s="38" t="s">
        <v>108</v>
      </c>
      <c r="E9" s="38" t="s">
        <v>60</v>
      </c>
      <c r="F9" s="2" t="s">
        <v>10</v>
      </c>
      <c r="G9" s="38">
        <v>40</v>
      </c>
      <c r="H9" s="12"/>
      <c r="I9" s="12"/>
    </row>
    <row r="10" spans="1:9" ht="45" x14ac:dyDescent="0.25">
      <c r="A10" s="39">
        <f>SUBTOTAL(3,$B$3:B10)</f>
        <v>8</v>
      </c>
      <c r="B10" s="9" t="s">
        <v>142</v>
      </c>
      <c r="C10" s="9" t="s">
        <v>116</v>
      </c>
      <c r="D10" s="38" t="s">
        <v>108</v>
      </c>
      <c r="E10" s="38" t="s">
        <v>62</v>
      </c>
      <c r="F10" s="2" t="s">
        <v>12</v>
      </c>
      <c r="G10" s="38">
        <v>15</v>
      </c>
      <c r="H10" s="12"/>
      <c r="I10" s="12"/>
    </row>
    <row r="11" spans="1:9" ht="45" x14ac:dyDescent="0.25">
      <c r="A11" s="39">
        <f>SUBTOTAL(3,$B$3:B11)</f>
        <v>9</v>
      </c>
      <c r="B11" s="9" t="s">
        <v>142</v>
      </c>
      <c r="C11" s="9" t="s">
        <v>116</v>
      </c>
      <c r="D11" s="38" t="s">
        <v>108</v>
      </c>
      <c r="E11" s="4" t="s">
        <v>63</v>
      </c>
      <c r="F11" s="2" t="s">
        <v>13</v>
      </c>
      <c r="G11" s="38">
        <v>25</v>
      </c>
      <c r="H11" s="12"/>
      <c r="I11" s="12"/>
    </row>
    <row r="12" spans="1:9" ht="60" x14ac:dyDescent="0.25">
      <c r="A12" s="39">
        <f>SUBTOTAL(3,$B$3:B12)</f>
        <v>10</v>
      </c>
      <c r="B12" s="9" t="s">
        <v>142</v>
      </c>
      <c r="C12" s="9" t="s">
        <v>118</v>
      </c>
      <c r="D12" s="38" t="s">
        <v>108</v>
      </c>
      <c r="E12" s="4" t="s">
        <v>66</v>
      </c>
      <c r="F12" s="2" t="s">
        <v>16</v>
      </c>
      <c r="G12" s="38">
        <v>45</v>
      </c>
      <c r="H12" s="12"/>
      <c r="I12" s="12"/>
    </row>
    <row r="13" spans="1:9" ht="45" x14ac:dyDescent="0.25">
      <c r="A13" s="39">
        <f>SUBTOTAL(3,$B$3:B13)</f>
        <v>11</v>
      </c>
      <c r="B13" s="9" t="s">
        <v>142</v>
      </c>
      <c r="C13" s="9" t="s">
        <v>119</v>
      </c>
      <c r="D13" s="38" t="s">
        <v>108</v>
      </c>
      <c r="E13" s="4" t="s">
        <v>67</v>
      </c>
      <c r="F13" s="2" t="s">
        <v>17</v>
      </c>
      <c r="G13" s="38">
        <v>60</v>
      </c>
      <c r="H13" s="12"/>
      <c r="I13" s="12"/>
    </row>
    <row r="14" spans="1:9" ht="45" x14ac:dyDescent="0.25">
      <c r="A14" s="39">
        <f>SUBTOTAL(3,$B$3:B14)</f>
        <v>12</v>
      </c>
      <c r="B14" s="9" t="s">
        <v>143</v>
      </c>
      <c r="C14" s="9" t="s">
        <v>120</v>
      </c>
      <c r="D14" s="38" t="s">
        <v>108</v>
      </c>
      <c r="E14" s="5" t="s">
        <v>68</v>
      </c>
      <c r="F14" s="2" t="s">
        <v>18</v>
      </c>
      <c r="G14" s="38">
        <v>10</v>
      </c>
      <c r="H14" s="12"/>
      <c r="I14" s="12"/>
    </row>
    <row r="15" spans="1:9" ht="45" x14ac:dyDescent="0.25">
      <c r="A15" s="39">
        <f>SUBTOTAL(3,$B$3:B15)</f>
        <v>13</v>
      </c>
      <c r="B15" s="9" t="s">
        <v>143</v>
      </c>
      <c r="C15" s="9" t="s">
        <v>121</v>
      </c>
      <c r="D15" s="38" t="s">
        <v>108</v>
      </c>
      <c r="E15" s="4" t="s">
        <v>70</v>
      </c>
      <c r="F15" s="2" t="s">
        <v>20</v>
      </c>
      <c r="G15" s="38">
        <v>5</v>
      </c>
      <c r="H15" s="12"/>
      <c r="I15" s="12"/>
    </row>
    <row r="16" spans="1:9" ht="45" x14ac:dyDescent="0.25">
      <c r="A16" s="39">
        <f>SUBTOTAL(3,$B$3:B16)</f>
        <v>14</v>
      </c>
      <c r="B16" s="9" t="s">
        <v>143</v>
      </c>
      <c r="C16" s="9" t="s">
        <v>122</v>
      </c>
      <c r="D16" s="38" t="s">
        <v>108</v>
      </c>
      <c r="E16" s="4" t="s">
        <v>71</v>
      </c>
      <c r="F16" s="2" t="s">
        <v>21</v>
      </c>
      <c r="G16" s="38">
        <v>10</v>
      </c>
      <c r="H16" s="12"/>
      <c r="I16" s="12"/>
    </row>
    <row r="17" spans="1:9" ht="45" x14ac:dyDescent="0.25">
      <c r="A17" s="39">
        <f>SUBTOTAL(3,$B$3:B17)</f>
        <v>15</v>
      </c>
      <c r="B17" s="9" t="s">
        <v>143</v>
      </c>
      <c r="C17" s="9" t="s">
        <v>122</v>
      </c>
      <c r="D17" s="38" t="s">
        <v>108</v>
      </c>
      <c r="E17" s="4" t="s">
        <v>72</v>
      </c>
      <c r="F17" s="2" t="s">
        <v>22</v>
      </c>
      <c r="G17" s="38">
        <v>15</v>
      </c>
      <c r="H17" s="12"/>
      <c r="I17" s="12"/>
    </row>
    <row r="18" spans="1:9" ht="63.75" x14ac:dyDescent="0.25">
      <c r="A18" s="39">
        <f>SUBTOTAL(3,$B$3:B18)</f>
        <v>16</v>
      </c>
      <c r="B18" s="9" t="s">
        <v>143</v>
      </c>
      <c r="C18" s="9" t="s">
        <v>123</v>
      </c>
      <c r="D18" s="38" t="s">
        <v>108</v>
      </c>
      <c r="E18" s="4" t="s">
        <v>75</v>
      </c>
      <c r="F18" s="2" t="s">
        <v>253</v>
      </c>
      <c r="G18" s="38">
        <v>20</v>
      </c>
      <c r="H18" s="12"/>
      <c r="I18" s="12"/>
    </row>
    <row r="19" spans="1:9" ht="51" x14ac:dyDescent="0.25">
      <c r="A19" s="39">
        <f>SUBTOTAL(3,$B$3:B19)</f>
        <v>17</v>
      </c>
      <c r="B19" s="9" t="s">
        <v>143</v>
      </c>
      <c r="C19" s="9" t="s">
        <v>124</v>
      </c>
      <c r="D19" s="38" t="s">
        <v>108</v>
      </c>
      <c r="E19" s="4" t="s">
        <v>76</v>
      </c>
      <c r="F19" s="2" t="s">
        <v>25</v>
      </c>
      <c r="G19" s="38">
        <v>20</v>
      </c>
      <c r="H19" s="12"/>
      <c r="I19" s="12"/>
    </row>
    <row r="20" spans="1:9" ht="45" x14ac:dyDescent="0.25">
      <c r="A20" s="39">
        <f>SUBTOTAL(3,$B$3:B20)</f>
        <v>18</v>
      </c>
      <c r="B20" s="9" t="s">
        <v>144</v>
      </c>
      <c r="C20" s="9" t="s">
        <v>125</v>
      </c>
      <c r="D20" s="38" t="s">
        <v>108</v>
      </c>
      <c r="E20" s="4" t="s">
        <v>78</v>
      </c>
      <c r="F20" s="2" t="s">
        <v>27</v>
      </c>
      <c r="G20" s="38">
        <v>10</v>
      </c>
      <c r="H20" s="12"/>
      <c r="I20" s="12"/>
    </row>
    <row r="21" spans="1:9" ht="45" x14ac:dyDescent="0.25">
      <c r="A21" s="39">
        <f>SUBTOTAL(3,$B$3:B21)</f>
        <v>19</v>
      </c>
      <c r="B21" s="9" t="s">
        <v>144</v>
      </c>
      <c r="C21" s="9" t="s">
        <v>127</v>
      </c>
      <c r="D21" s="38" t="s">
        <v>108</v>
      </c>
      <c r="E21" s="4" t="s">
        <v>81</v>
      </c>
      <c r="F21" s="2" t="s">
        <v>30</v>
      </c>
      <c r="G21" s="38">
        <v>10</v>
      </c>
      <c r="H21" s="12"/>
      <c r="I21" s="12"/>
    </row>
    <row r="22" spans="1:9" ht="45" x14ac:dyDescent="0.25">
      <c r="A22" s="39">
        <f>SUBTOTAL(3,$B$3:B22)</f>
        <v>20</v>
      </c>
      <c r="B22" s="9" t="s">
        <v>144</v>
      </c>
      <c r="C22" s="9" t="s">
        <v>128</v>
      </c>
      <c r="D22" s="38" t="s">
        <v>108</v>
      </c>
      <c r="E22" s="4" t="s">
        <v>82</v>
      </c>
      <c r="F22" s="2" t="s">
        <v>31</v>
      </c>
      <c r="G22" s="38">
        <v>20</v>
      </c>
      <c r="H22" s="12"/>
      <c r="I22" s="12"/>
    </row>
    <row r="23" spans="1:9" ht="45" x14ac:dyDescent="0.25">
      <c r="A23" s="39">
        <f>SUBTOTAL(3,$B$3:B23)</f>
        <v>21</v>
      </c>
      <c r="B23" s="10" t="s">
        <v>145</v>
      </c>
      <c r="C23" s="9" t="s">
        <v>129</v>
      </c>
      <c r="D23" s="38" t="s">
        <v>108</v>
      </c>
      <c r="E23" s="4" t="s">
        <v>83</v>
      </c>
      <c r="F23" s="2" t="s">
        <v>32</v>
      </c>
      <c r="G23" s="38">
        <v>20</v>
      </c>
      <c r="H23" s="12"/>
      <c r="I23" s="12"/>
    </row>
    <row r="24" spans="1:9" ht="89.25" x14ac:dyDescent="0.25">
      <c r="A24" s="39">
        <f>SUBTOTAL(3,$B$3:B24)</f>
        <v>22</v>
      </c>
      <c r="B24" s="10" t="s">
        <v>145</v>
      </c>
      <c r="C24" s="9" t="s">
        <v>129</v>
      </c>
      <c r="D24" s="38" t="s">
        <v>108</v>
      </c>
      <c r="E24" s="4" t="s">
        <v>84</v>
      </c>
      <c r="F24" s="2" t="s">
        <v>149</v>
      </c>
      <c r="G24" s="38">
        <v>10</v>
      </c>
      <c r="H24" s="12"/>
      <c r="I24" s="12"/>
    </row>
    <row r="25" spans="1:9" ht="45" x14ac:dyDescent="0.25">
      <c r="A25" s="39">
        <f>SUBTOTAL(3,$B$3:B25)</f>
        <v>23</v>
      </c>
      <c r="B25" s="10" t="s">
        <v>145</v>
      </c>
      <c r="C25" s="9" t="s">
        <v>129</v>
      </c>
      <c r="D25" s="38" t="s">
        <v>108</v>
      </c>
      <c r="E25" s="4" t="s">
        <v>85</v>
      </c>
      <c r="F25" s="2" t="s">
        <v>33</v>
      </c>
      <c r="G25" s="38">
        <v>10</v>
      </c>
      <c r="H25" s="12"/>
      <c r="I25" s="12"/>
    </row>
    <row r="26" spans="1:9" ht="102" x14ac:dyDescent="0.25">
      <c r="A26" s="39">
        <f>SUBTOTAL(3,$B$3:B26)</f>
        <v>24</v>
      </c>
      <c r="B26" s="10" t="s">
        <v>145</v>
      </c>
      <c r="C26" s="9" t="s">
        <v>129</v>
      </c>
      <c r="D26" s="38" t="s">
        <v>108</v>
      </c>
      <c r="E26" s="4" t="s">
        <v>86</v>
      </c>
      <c r="F26" s="2" t="s">
        <v>148</v>
      </c>
      <c r="G26" s="38">
        <v>10</v>
      </c>
      <c r="H26" s="12"/>
      <c r="I26" s="12"/>
    </row>
    <row r="27" spans="1:9" ht="45" x14ac:dyDescent="0.25">
      <c r="A27" s="39">
        <f>SUBTOTAL(3,$B$3:B27)</f>
        <v>25</v>
      </c>
      <c r="B27" s="10" t="s">
        <v>145</v>
      </c>
      <c r="C27" s="9" t="s">
        <v>130</v>
      </c>
      <c r="D27" s="38" t="s">
        <v>108</v>
      </c>
      <c r="E27" s="4" t="s">
        <v>87</v>
      </c>
      <c r="F27" s="2" t="s">
        <v>34</v>
      </c>
      <c r="G27" s="38">
        <v>20</v>
      </c>
      <c r="H27" s="12"/>
      <c r="I27" s="12"/>
    </row>
    <row r="28" spans="1:9" ht="51" x14ac:dyDescent="0.25">
      <c r="A28" s="39">
        <f>SUBTOTAL(3,$B$3:B28)</f>
        <v>26</v>
      </c>
      <c r="B28" s="10" t="s">
        <v>145</v>
      </c>
      <c r="C28" s="9" t="s">
        <v>130</v>
      </c>
      <c r="D28" s="38" t="s">
        <v>108</v>
      </c>
      <c r="E28" s="4" t="s">
        <v>88</v>
      </c>
      <c r="F28" s="2" t="s">
        <v>35</v>
      </c>
      <c r="G28" s="38">
        <v>10</v>
      </c>
      <c r="H28" s="12"/>
      <c r="I28" s="12"/>
    </row>
    <row r="29" spans="1:9" ht="51" x14ac:dyDescent="0.25">
      <c r="A29" s="39">
        <f>SUBTOTAL(3,$B$3:B29)</f>
        <v>27</v>
      </c>
      <c r="B29" s="10" t="s">
        <v>145</v>
      </c>
      <c r="C29" s="9" t="s">
        <v>131</v>
      </c>
      <c r="D29" s="38" t="s">
        <v>108</v>
      </c>
      <c r="E29" s="4" t="s">
        <v>89</v>
      </c>
      <c r="F29" s="2" t="s">
        <v>36</v>
      </c>
      <c r="G29" s="38">
        <v>25</v>
      </c>
      <c r="H29" s="12"/>
      <c r="I29" s="12"/>
    </row>
    <row r="30" spans="1:9" ht="45" x14ac:dyDescent="0.25">
      <c r="A30" s="39">
        <f>SUBTOTAL(3,$B$3:B30)</f>
        <v>28</v>
      </c>
      <c r="B30" s="10" t="s">
        <v>145</v>
      </c>
      <c r="C30" s="9" t="s">
        <v>131</v>
      </c>
      <c r="D30" s="38" t="s">
        <v>108</v>
      </c>
      <c r="E30" s="4" t="s">
        <v>90</v>
      </c>
      <c r="F30" s="2" t="s">
        <v>37</v>
      </c>
      <c r="G30" s="38">
        <v>25</v>
      </c>
      <c r="H30" s="12"/>
      <c r="I30" s="12"/>
    </row>
    <row r="31" spans="1:9" ht="76.5" x14ac:dyDescent="0.25">
      <c r="A31" s="39">
        <f>SUBTOTAL(3,$B$3:B31)</f>
        <v>29</v>
      </c>
      <c r="B31" s="9" t="s">
        <v>146</v>
      </c>
      <c r="C31" s="9" t="s">
        <v>134</v>
      </c>
      <c r="D31" s="38" t="s">
        <v>108</v>
      </c>
      <c r="E31" s="4" t="s">
        <v>94</v>
      </c>
      <c r="F31" s="2" t="s">
        <v>39</v>
      </c>
      <c r="G31" s="38">
        <v>4</v>
      </c>
      <c r="H31" s="12"/>
      <c r="I31" s="12"/>
    </row>
    <row r="32" spans="1:9" ht="45" x14ac:dyDescent="0.25">
      <c r="A32" s="39">
        <f>SUBTOTAL(3,$B$3:B32)</f>
        <v>30</v>
      </c>
      <c r="B32" s="9" t="s">
        <v>146</v>
      </c>
      <c r="C32" s="9" t="s">
        <v>135</v>
      </c>
      <c r="D32" s="38" t="s">
        <v>108</v>
      </c>
      <c r="E32" s="4" t="s">
        <v>96</v>
      </c>
      <c r="F32" s="2" t="s">
        <v>41</v>
      </c>
      <c r="G32" s="38">
        <v>12</v>
      </c>
      <c r="H32" s="12"/>
      <c r="I32" s="12"/>
    </row>
    <row r="33" spans="1:9" ht="45" x14ac:dyDescent="0.25">
      <c r="A33" s="39">
        <f>SUBTOTAL(3,$B$3:B33)</f>
        <v>31</v>
      </c>
      <c r="B33" s="9" t="s">
        <v>146</v>
      </c>
      <c r="C33" s="9" t="s">
        <v>135</v>
      </c>
      <c r="D33" s="38" t="s">
        <v>108</v>
      </c>
      <c r="E33" s="4" t="s">
        <v>97</v>
      </c>
      <c r="F33" s="2" t="s">
        <v>42</v>
      </c>
      <c r="G33" s="38">
        <v>15</v>
      </c>
      <c r="H33" s="12"/>
      <c r="I33" s="12"/>
    </row>
    <row r="34" spans="1:9" ht="127.5" x14ac:dyDescent="0.25">
      <c r="A34" s="39">
        <f>SUBTOTAL(3,$B$3:B34)</f>
        <v>32</v>
      </c>
      <c r="B34" s="9" t="s">
        <v>146</v>
      </c>
      <c r="C34" s="9" t="s">
        <v>137</v>
      </c>
      <c r="D34" s="38" t="s">
        <v>108</v>
      </c>
      <c r="E34" s="4" t="s">
        <v>100</v>
      </c>
      <c r="F34" s="2" t="s">
        <v>45</v>
      </c>
      <c r="G34" s="38">
        <v>15</v>
      </c>
      <c r="H34" s="12"/>
      <c r="I34" s="12"/>
    </row>
    <row r="35" spans="1:9" ht="89.25" x14ac:dyDescent="0.25">
      <c r="A35" s="39">
        <f>SUBTOTAL(3,$B$3:B35)</f>
        <v>33</v>
      </c>
      <c r="B35" s="9" t="s">
        <v>147</v>
      </c>
      <c r="C35" s="9" t="s">
        <v>138</v>
      </c>
      <c r="D35" s="38" t="s">
        <v>108</v>
      </c>
      <c r="E35" s="4" t="s">
        <v>102</v>
      </c>
      <c r="F35" s="2" t="s">
        <v>47</v>
      </c>
      <c r="G35" s="38">
        <v>20</v>
      </c>
      <c r="H35" s="12"/>
      <c r="I35" s="12"/>
    </row>
    <row r="36" spans="1:9" ht="102" x14ac:dyDescent="0.25">
      <c r="A36" s="39">
        <f>SUBTOTAL(3,$B$3:B36)</f>
        <v>34</v>
      </c>
      <c r="B36" s="9" t="s">
        <v>147</v>
      </c>
      <c r="C36" s="9" t="s">
        <v>138</v>
      </c>
      <c r="D36" s="38" t="s">
        <v>108</v>
      </c>
      <c r="E36" s="38" t="s">
        <v>103</v>
      </c>
      <c r="F36" s="2" t="s">
        <v>48</v>
      </c>
      <c r="G36" s="38">
        <v>10</v>
      </c>
      <c r="H36" s="12"/>
      <c r="I36" s="12"/>
    </row>
    <row r="50" spans="4:7" x14ac:dyDescent="0.25">
      <c r="D50" s="1"/>
      <c r="E50" s="1"/>
      <c r="F50" s="1"/>
      <c r="G50" s="1"/>
    </row>
    <row r="51" spans="4:7" x14ac:dyDescent="0.25">
      <c r="D51" s="1"/>
      <c r="E51" s="1"/>
      <c r="F51" s="1"/>
      <c r="G51" s="1"/>
    </row>
    <row r="52" spans="4:7" x14ac:dyDescent="0.25">
      <c r="D52" s="1"/>
      <c r="E52" s="1"/>
      <c r="F52" s="1"/>
      <c r="G52" s="1"/>
    </row>
    <row r="53" spans="4:7" x14ac:dyDescent="0.25">
      <c r="D53" s="1"/>
      <c r="E53" s="1"/>
      <c r="F53" s="1"/>
      <c r="G53" s="1"/>
    </row>
  </sheetData>
  <sortState ref="A3:P57">
    <sortCondition ref="D3:D57"/>
  </sortState>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2"/>
  <sheetViews>
    <sheetView topLeftCell="A53" zoomScale="90" zoomScaleNormal="90" workbookViewId="0">
      <selection activeCell="J2" sqref="J2"/>
    </sheetView>
  </sheetViews>
  <sheetFormatPr defaultRowHeight="15" x14ac:dyDescent="0.25"/>
  <cols>
    <col min="1" max="1" width="3.5703125" style="1" bestFit="1" customWidth="1"/>
    <col min="2" max="3" width="16.28515625" style="6" hidden="1" customWidth="1"/>
    <col min="4" max="5" width="7" bestFit="1" customWidth="1"/>
    <col min="6" max="6" width="73" bestFit="1" customWidth="1"/>
    <col min="7" max="7" width="17" customWidth="1"/>
    <col min="8" max="8" width="3.5703125" bestFit="1" customWidth="1"/>
    <col min="9" max="9" width="4.42578125" bestFit="1" customWidth="1"/>
    <col min="10" max="10" width="10.85546875" style="43" bestFit="1" customWidth="1"/>
    <col min="11" max="11" width="11.140625" style="1" bestFit="1" customWidth="1"/>
    <col min="12" max="12" width="9.28515625" style="1" bestFit="1" customWidth="1"/>
    <col min="13" max="13" width="7.7109375" style="1" customWidth="1"/>
    <col min="14" max="14" width="9.28515625" style="1" customWidth="1"/>
    <col min="15" max="15" width="8.42578125" style="1" customWidth="1"/>
    <col min="16" max="16" width="8" style="1" customWidth="1"/>
  </cols>
  <sheetData>
    <row r="1" spans="1:16" x14ac:dyDescent="0.25">
      <c r="J1" s="52" t="s">
        <v>271</v>
      </c>
      <c r="K1" s="1" t="s">
        <v>273</v>
      </c>
    </row>
    <row r="2" spans="1:16" s="1" customFormat="1" ht="66" x14ac:dyDescent="0.25">
      <c r="A2" s="13" t="s">
        <v>1</v>
      </c>
      <c r="B2" s="13" t="s">
        <v>168</v>
      </c>
      <c r="C2" s="13" t="s">
        <v>170</v>
      </c>
      <c r="D2" s="13" t="s">
        <v>169</v>
      </c>
      <c r="E2" s="13" t="s">
        <v>171</v>
      </c>
      <c r="F2" s="13" t="s">
        <v>180</v>
      </c>
      <c r="G2" s="13" t="s">
        <v>178</v>
      </c>
      <c r="H2" s="13" t="s">
        <v>179</v>
      </c>
      <c r="I2" s="13" t="s">
        <v>167</v>
      </c>
      <c r="J2" s="53" t="s">
        <v>272</v>
      </c>
      <c r="K2" s="17" t="s">
        <v>177</v>
      </c>
      <c r="L2" s="18" t="s">
        <v>176</v>
      </c>
      <c r="M2" s="17" t="s">
        <v>172</v>
      </c>
      <c r="N2" s="17" t="s">
        <v>173</v>
      </c>
      <c r="O2" s="17" t="s">
        <v>175</v>
      </c>
      <c r="P2" s="19" t="s">
        <v>174</v>
      </c>
    </row>
    <row r="3" spans="1:16" ht="45" x14ac:dyDescent="0.25">
      <c r="A3" s="8">
        <v>1</v>
      </c>
      <c r="B3" s="9" t="s">
        <v>141</v>
      </c>
      <c r="C3" s="9" t="s">
        <v>109</v>
      </c>
      <c r="D3" s="3" t="s">
        <v>107</v>
      </c>
      <c r="E3" s="3" t="s">
        <v>52</v>
      </c>
      <c r="F3" s="2" t="s">
        <v>3</v>
      </c>
      <c r="G3" s="3">
        <v>20</v>
      </c>
      <c r="H3" s="8">
        <v>20</v>
      </c>
      <c r="I3" s="123">
        <v>100</v>
      </c>
      <c r="J3" s="50"/>
      <c r="K3" s="20">
        <f>IF(J3&gt;80,4,IF(AND(J3&lt;=80,J3&gt;60),3,IF(AND(J3&lt;=60,J3&gt;40),2,IF(AND(J3&lt;=40,J3&gt;20),1,IF(J3&lt;=20,0)))))</f>
        <v>0</v>
      </c>
      <c r="L3" s="8">
        <f>K3*G3</f>
        <v>0</v>
      </c>
      <c r="M3" s="8">
        <f>L3</f>
        <v>0</v>
      </c>
      <c r="N3" s="8">
        <f>M3/H3</f>
        <v>0</v>
      </c>
      <c r="O3" s="121">
        <f>SUM(M3:M8)</f>
        <v>80</v>
      </c>
      <c r="P3" s="121">
        <f>O3/I3</f>
        <v>0.8</v>
      </c>
    </row>
    <row r="4" spans="1:16" ht="30" x14ac:dyDescent="0.25">
      <c r="A4" s="8">
        <v>2</v>
      </c>
      <c r="B4" s="9" t="s">
        <v>141</v>
      </c>
      <c r="C4" s="9" t="s">
        <v>110</v>
      </c>
      <c r="D4" s="3" t="s">
        <v>108</v>
      </c>
      <c r="E4" s="3" t="s">
        <v>53</v>
      </c>
      <c r="F4" s="2" t="s">
        <v>4</v>
      </c>
      <c r="G4" s="3">
        <v>15</v>
      </c>
      <c r="H4" s="121">
        <v>30</v>
      </c>
      <c r="I4" s="123"/>
      <c r="J4" s="49">
        <v>4</v>
      </c>
      <c r="K4" s="20">
        <f t="shared" ref="K4:K57" si="0">IF(J4&gt;80,4,IF(AND(J4&lt;=80,J4&gt;60),3,IF(AND(J4&lt;=60,J4&gt;40),2,IF(AND(J4&lt;=40,J4&gt;20),1,IF(J4&lt;=20,0)))))</f>
        <v>0</v>
      </c>
      <c r="L4" s="20">
        <f t="shared" ref="L4:L57" si="1">K4*G4</f>
        <v>0</v>
      </c>
      <c r="M4" s="121">
        <f>L4+L5</f>
        <v>0</v>
      </c>
      <c r="N4" s="121">
        <f>M4/H4</f>
        <v>0</v>
      </c>
      <c r="O4" s="121"/>
      <c r="P4" s="121"/>
    </row>
    <row r="5" spans="1:16" ht="30" x14ac:dyDescent="0.25">
      <c r="A5" s="8">
        <v>3</v>
      </c>
      <c r="B5" s="9" t="s">
        <v>141</v>
      </c>
      <c r="C5" s="9" t="s">
        <v>110</v>
      </c>
      <c r="D5" s="3" t="s">
        <v>108</v>
      </c>
      <c r="E5" s="3" t="s">
        <v>54</v>
      </c>
      <c r="F5" s="2" t="s">
        <v>5</v>
      </c>
      <c r="G5" s="3">
        <v>15</v>
      </c>
      <c r="H5" s="121"/>
      <c r="I5" s="123"/>
      <c r="J5" s="49">
        <v>1.29</v>
      </c>
      <c r="K5" s="20">
        <f t="shared" si="0"/>
        <v>0</v>
      </c>
      <c r="L5" s="20">
        <f t="shared" si="1"/>
        <v>0</v>
      </c>
      <c r="M5" s="121"/>
      <c r="N5" s="121"/>
      <c r="O5" s="121"/>
      <c r="P5" s="121"/>
    </row>
    <row r="6" spans="1:16" ht="30" x14ac:dyDescent="0.25">
      <c r="A6" s="8">
        <v>4</v>
      </c>
      <c r="B6" s="9" t="s">
        <v>141</v>
      </c>
      <c r="C6" s="9" t="s">
        <v>111</v>
      </c>
      <c r="D6" s="3" t="s">
        <v>107</v>
      </c>
      <c r="E6" s="3" t="s">
        <v>55</v>
      </c>
      <c r="F6" s="2" t="s">
        <v>6</v>
      </c>
      <c r="G6" s="3">
        <v>10</v>
      </c>
      <c r="H6" s="121">
        <v>30</v>
      </c>
      <c r="I6" s="123"/>
      <c r="J6" s="50"/>
      <c r="K6" s="20">
        <f t="shared" si="0"/>
        <v>0</v>
      </c>
      <c r="L6" s="8">
        <f t="shared" si="1"/>
        <v>0</v>
      </c>
      <c r="M6" s="121">
        <f>L6+L7</f>
        <v>0</v>
      </c>
      <c r="N6" s="121">
        <f>M6/H6</f>
        <v>0</v>
      </c>
      <c r="O6" s="121"/>
      <c r="P6" s="121"/>
    </row>
    <row r="7" spans="1:16" ht="30" x14ac:dyDescent="0.25">
      <c r="A7" s="8">
        <v>5</v>
      </c>
      <c r="B7" s="9" t="s">
        <v>141</v>
      </c>
      <c r="C7" s="9" t="s">
        <v>111</v>
      </c>
      <c r="D7" s="3" t="s">
        <v>108</v>
      </c>
      <c r="E7" s="3" t="s">
        <v>56</v>
      </c>
      <c r="F7" s="2" t="s">
        <v>7</v>
      </c>
      <c r="G7" s="3">
        <v>20</v>
      </c>
      <c r="H7" s="121"/>
      <c r="I7" s="123"/>
      <c r="J7" s="49">
        <v>17.77</v>
      </c>
      <c r="K7" s="20">
        <f t="shared" si="0"/>
        <v>0</v>
      </c>
      <c r="L7" s="20">
        <f t="shared" si="1"/>
        <v>0</v>
      </c>
      <c r="M7" s="121"/>
      <c r="N7" s="121"/>
      <c r="O7" s="121"/>
      <c r="P7" s="121"/>
    </row>
    <row r="8" spans="1:16" ht="51" x14ac:dyDescent="0.25">
      <c r="A8" s="8">
        <v>6</v>
      </c>
      <c r="B8" s="9" t="s">
        <v>141</v>
      </c>
      <c r="C8" s="9" t="s">
        <v>112</v>
      </c>
      <c r="D8" s="3" t="s">
        <v>108</v>
      </c>
      <c r="E8" s="3" t="s">
        <v>57</v>
      </c>
      <c r="F8" s="2" t="s">
        <v>8</v>
      </c>
      <c r="G8" s="3">
        <v>20</v>
      </c>
      <c r="H8" s="8">
        <v>20</v>
      </c>
      <c r="I8" s="124"/>
      <c r="J8" s="49" t="s">
        <v>181</v>
      </c>
      <c r="K8" s="20">
        <f>IF(EXACT(J8,"Yes"),4)</f>
        <v>4</v>
      </c>
      <c r="L8" s="20">
        <f t="shared" si="1"/>
        <v>80</v>
      </c>
      <c r="M8" s="20">
        <f>L8</f>
        <v>80</v>
      </c>
      <c r="N8" s="20">
        <f>M8/H8</f>
        <v>4</v>
      </c>
      <c r="O8" s="121"/>
      <c r="P8" s="121"/>
    </row>
    <row r="9" spans="1:16" ht="45" x14ac:dyDescent="0.25">
      <c r="A9" s="8">
        <v>7</v>
      </c>
      <c r="B9" s="9" t="s">
        <v>142</v>
      </c>
      <c r="C9" s="9" t="s">
        <v>113</v>
      </c>
      <c r="D9" s="3" t="s">
        <v>108</v>
      </c>
      <c r="E9" s="3" t="s">
        <v>58</v>
      </c>
      <c r="F9" s="2" t="s">
        <v>9</v>
      </c>
      <c r="G9" s="3">
        <v>20</v>
      </c>
      <c r="H9" s="121">
        <v>40</v>
      </c>
      <c r="I9" s="122">
        <v>350</v>
      </c>
      <c r="J9" s="49">
        <v>68.39</v>
      </c>
      <c r="K9" s="20">
        <f t="shared" si="0"/>
        <v>3</v>
      </c>
      <c r="L9" s="20">
        <f t="shared" si="1"/>
        <v>60</v>
      </c>
      <c r="M9" s="121">
        <f>L9+L10</f>
        <v>140</v>
      </c>
      <c r="N9" s="121">
        <f>M9/H9</f>
        <v>3.5</v>
      </c>
      <c r="O9" s="121">
        <f>SUM(M9:M18)</f>
        <v>585</v>
      </c>
      <c r="P9" s="121">
        <f>O9/I9</f>
        <v>1.6714285714285715</v>
      </c>
    </row>
    <row r="10" spans="1:16" ht="51" x14ac:dyDescent="0.25">
      <c r="A10" s="8">
        <v>8</v>
      </c>
      <c r="B10" s="9" t="s">
        <v>142</v>
      </c>
      <c r="C10" s="9" t="s">
        <v>113</v>
      </c>
      <c r="D10" s="3" t="s">
        <v>108</v>
      </c>
      <c r="E10" s="3" t="s">
        <v>59</v>
      </c>
      <c r="F10" s="2" t="s">
        <v>151</v>
      </c>
      <c r="G10" s="3">
        <v>20</v>
      </c>
      <c r="H10" s="121"/>
      <c r="I10" s="123"/>
      <c r="J10" s="49">
        <v>96.16</v>
      </c>
      <c r="K10" s="20">
        <f t="shared" si="0"/>
        <v>4</v>
      </c>
      <c r="L10" s="20">
        <f t="shared" si="1"/>
        <v>80</v>
      </c>
      <c r="M10" s="121"/>
      <c r="N10" s="121"/>
      <c r="O10" s="121"/>
      <c r="P10" s="121"/>
    </row>
    <row r="11" spans="1:16" ht="45" x14ac:dyDescent="0.25">
      <c r="A11" s="8">
        <v>9</v>
      </c>
      <c r="B11" s="9" t="s">
        <v>142</v>
      </c>
      <c r="C11" s="9" t="s">
        <v>114</v>
      </c>
      <c r="D11" s="3" t="s">
        <v>108</v>
      </c>
      <c r="E11" s="3" t="s">
        <v>60</v>
      </c>
      <c r="F11" s="2" t="s">
        <v>10</v>
      </c>
      <c r="G11" s="3">
        <v>40</v>
      </c>
      <c r="H11" s="8">
        <v>40</v>
      </c>
      <c r="I11" s="123"/>
      <c r="J11" s="49">
        <v>60.5</v>
      </c>
      <c r="K11" s="20">
        <f t="shared" si="0"/>
        <v>3</v>
      </c>
      <c r="L11" s="20">
        <f t="shared" si="1"/>
        <v>120</v>
      </c>
      <c r="M11" s="20">
        <f>L11</f>
        <v>120</v>
      </c>
      <c r="N11" s="20">
        <f>M11/H11</f>
        <v>3</v>
      </c>
      <c r="O11" s="121"/>
      <c r="P11" s="121"/>
    </row>
    <row r="12" spans="1:16" ht="45" x14ac:dyDescent="0.25">
      <c r="A12" s="8">
        <v>10</v>
      </c>
      <c r="B12" s="9" t="s">
        <v>142</v>
      </c>
      <c r="C12" s="9" t="s">
        <v>115</v>
      </c>
      <c r="D12" s="3" t="s">
        <v>107</v>
      </c>
      <c r="E12" s="3" t="s">
        <v>61</v>
      </c>
      <c r="F12" s="2" t="s">
        <v>11</v>
      </c>
      <c r="G12" s="3">
        <v>40</v>
      </c>
      <c r="H12" s="8">
        <v>40</v>
      </c>
      <c r="I12" s="123"/>
      <c r="J12" s="50"/>
      <c r="K12" s="20">
        <f t="shared" si="0"/>
        <v>0</v>
      </c>
      <c r="L12" s="8">
        <f t="shared" si="1"/>
        <v>0</v>
      </c>
      <c r="M12" s="8">
        <f>L12</f>
        <v>0</v>
      </c>
      <c r="N12" s="8">
        <f>M12/H12</f>
        <v>0</v>
      </c>
      <c r="O12" s="121"/>
      <c r="P12" s="121"/>
    </row>
    <row r="13" spans="1:16" ht="45" x14ac:dyDescent="0.25">
      <c r="A13" s="8">
        <v>11</v>
      </c>
      <c r="B13" s="9" t="s">
        <v>142</v>
      </c>
      <c r="C13" s="9" t="s">
        <v>116</v>
      </c>
      <c r="D13" s="3" t="s">
        <v>108</v>
      </c>
      <c r="E13" s="3" t="s">
        <v>62</v>
      </c>
      <c r="F13" s="2" t="s">
        <v>12</v>
      </c>
      <c r="G13" s="3">
        <v>15</v>
      </c>
      <c r="H13" s="121">
        <v>40</v>
      </c>
      <c r="I13" s="123"/>
      <c r="J13" s="49">
        <v>100</v>
      </c>
      <c r="K13" s="20">
        <f t="shared" si="0"/>
        <v>4</v>
      </c>
      <c r="L13" s="20">
        <f t="shared" si="1"/>
        <v>60</v>
      </c>
      <c r="M13" s="121">
        <f>L13+L14</f>
        <v>85</v>
      </c>
      <c r="N13" s="121">
        <f>M13/H13</f>
        <v>2.125</v>
      </c>
      <c r="O13" s="121"/>
      <c r="P13" s="121"/>
    </row>
    <row r="14" spans="1:16" ht="45" x14ac:dyDescent="0.25">
      <c r="A14" s="8">
        <v>12</v>
      </c>
      <c r="B14" s="9" t="s">
        <v>142</v>
      </c>
      <c r="C14" s="9" t="s">
        <v>116</v>
      </c>
      <c r="D14" s="3" t="s">
        <v>108</v>
      </c>
      <c r="E14" s="4" t="s">
        <v>63</v>
      </c>
      <c r="F14" s="2" t="s">
        <v>13</v>
      </c>
      <c r="G14" s="3">
        <v>25</v>
      </c>
      <c r="H14" s="121"/>
      <c r="I14" s="123"/>
      <c r="J14" s="49">
        <v>23.85</v>
      </c>
      <c r="K14" s="20">
        <f t="shared" si="0"/>
        <v>1</v>
      </c>
      <c r="L14" s="20">
        <f t="shared" si="1"/>
        <v>25</v>
      </c>
      <c r="M14" s="121"/>
      <c r="N14" s="121"/>
      <c r="O14" s="121"/>
      <c r="P14" s="121"/>
    </row>
    <row r="15" spans="1:16" ht="45" x14ac:dyDescent="0.25">
      <c r="A15" s="8">
        <v>13</v>
      </c>
      <c r="B15" s="9" t="s">
        <v>142</v>
      </c>
      <c r="C15" s="9" t="s">
        <v>117</v>
      </c>
      <c r="D15" s="3" t="s">
        <v>107</v>
      </c>
      <c r="E15" s="3" t="s">
        <v>64</v>
      </c>
      <c r="F15" s="2" t="s">
        <v>14</v>
      </c>
      <c r="G15" s="3">
        <v>40</v>
      </c>
      <c r="H15" s="8">
        <v>40</v>
      </c>
      <c r="I15" s="123"/>
      <c r="J15" s="50"/>
      <c r="K15" s="20">
        <f t="shared" si="0"/>
        <v>0</v>
      </c>
      <c r="L15" s="8">
        <f t="shared" si="1"/>
        <v>0</v>
      </c>
      <c r="M15" s="8">
        <f>L15</f>
        <v>0</v>
      </c>
      <c r="N15" s="8">
        <f>M15/H15</f>
        <v>0</v>
      </c>
      <c r="O15" s="121"/>
      <c r="P15" s="121"/>
    </row>
    <row r="16" spans="1:16" ht="60" x14ac:dyDescent="0.25">
      <c r="A16" s="8">
        <v>14</v>
      </c>
      <c r="B16" s="9" t="s">
        <v>142</v>
      </c>
      <c r="C16" s="9" t="s">
        <v>118</v>
      </c>
      <c r="D16" s="3" t="s">
        <v>107</v>
      </c>
      <c r="E16" s="3" t="s">
        <v>65</v>
      </c>
      <c r="F16" s="2" t="s">
        <v>15</v>
      </c>
      <c r="G16" s="3">
        <v>45</v>
      </c>
      <c r="H16" s="121">
        <v>90</v>
      </c>
      <c r="I16" s="123"/>
      <c r="J16" s="50"/>
      <c r="K16" s="20">
        <f t="shared" si="0"/>
        <v>0</v>
      </c>
      <c r="L16" s="8">
        <f t="shared" si="1"/>
        <v>0</v>
      </c>
      <c r="M16" s="121">
        <f>L16+L17</f>
        <v>180</v>
      </c>
      <c r="N16" s="121">
        <f>M16/H16</f>
        <v>2</v>
      </c>
      <c r="O16" s="121"/>
      <c r="P16" s="121"/>
    </row>
    <row r="17" spans="1:16" ht="60" x14ac:dyDescent="0.25">
      <c r="A17" s="8">
        <v>15</v>
      </c>
      <c r="B17" s="9" t="s">
        <v>142</v>
      </c>
      <c r="C17" s="9" t="s">
        <v>118</v>
      </c>
      <c r="D17" s="3" t="s">
        <v>108</v>
      </c>
      <c r="E17" s="4" t="s">
        <v>66</v>
      </c>
      <c r="F17" s="2" t="s">
        <v>16</v>
      </c>
      <c r="G17" s="3">
        <v>45</v>
      </c>
      <c r="H17" s="121"/>
      <c r="I17" s="123"/>
      <c r="J17" s="49">
        <v>98.36</v>
      </c>
      <c r="K17" s="20">
        <f t="shared" si="0"/>
        <v>4</v>
      </c>
      <c r="L17" s="20">
        <f t="shared" si="1"/>
        <v>180</v>
      </c>
      <c r="M17" s="121"/>
      <c r="N17" s="121"/>
      <c r="O17" s="121"/>
      <c r="P17" s="121"/>
    </row>
    <row r="18" spans="1:16" ht="45" x14ac:dyDescent="0.25">
      <c r="A18" s="8">
        <v>16</v>
      </c>
      <c r="B18" s="9" t="s">
        <v>142</v>
      </c>
      <c r="C18" s="9" t="s">
        <v>119</v>
      </c>
      <c r="D18" s="3" t="s">
        <v>108</v>
      </c>
      <c r="E18" s="4" t="s">
        <v>67</v>
      </c>
      <c r="F18" s="2" t="s">
        <v>17</v>
      </c>
      <c r="G18" s="3">
        <v>60</v>
      </c>
      <c r="H18" s="8">
        <v>60</v>
      </c>
      <c r="I18" s="124"/>
      <c r="J18" s="103">
        <v>29</v>
      </c>
      <c r="K18" s="20">
        <f t="shared" si="0"/>
        <v>1</v>
      </c>
      <c r="L18" s="20">
        <f t="shared" si="1"/>
        <v>60</v>
      </c>
      <c r="M18" s="20">
        <f>L18</f>
        <v>60</v>
      </c>
      <c r="N18" s="20">
        <f>M18/H18</f>
        <v>1</v>
      </c>
      <c r="O18" s="121"/>
      <c r="P18" s="121"/>
    </row>
    <row r="19" spans="1:16" ht="45" x14ac:dyDescent="0.25">
      <c r="A19" s="8">
        <v>17</v>
      </c>
      <c r="B19" s="9" t="s">
        <v>143</v>
      </c>
      <c r="C19" s="9" t="s">
        <v>120</v>
      </c>
      <c r="D19" s="3" t="s">
        <v>108</v>
      </c>
      <c r="E19" s="5" t="s">
        <v>68</v>
      </c>
      <c r="F19" s="2" t="s">
        <v>18</v>
      </c>
      <c r="G19" s="3">
        <v>10</v>
      </c>
      <c r="H19" s="8">
        <v>10</v>
      </c>
      <c r="I19" s="122">
        <v>110</v>
      </c>
      <c r="J19" s="49">
        <v>0</v>
      </c>
      <c r="K19" s="20">
        <f t="shared" si="0"/>
        <v>0</v>
      </c>
      <c r="L19" s="20">
        <f t="shared" si="1"/>
        <v>0</v>
      </c>
      <c r="M19" s="20">
        <f>L19</f>
        <v>0</v>
      </c>
      <c r="N19" s="20">
        <f>M19/H19</f>
        <v>0</v>
      </c>
      <c r="O19" s="121">
        <f>SUM(M19:M27)</f>
        <v>115</v>
      </c>
      <c r="P19" s="121">
        <f>O19/I19</f>
        <v>1.0454545454545454</v>
      </c>
    </row>
    <row r="20" spans="1:16" ht="45" x14ac:dyDescent="0.25">
      <c r="A20" s="8">
        <v>18</v>
      </c>
      <c r="B20" s="9" t="s">
        <v>143</v>
      </c>
      <c r="C20" s="9" t="s">
        <v>121</v>
      </c>
      <c r="D20" s="3" t="s">
        <v>107</v>
      </c>
      <c r="E20" s="3" t="s">
        <v>69</v>
      </c>
      <c r="F20" s="2" t="s">
        <v>19</v>
      </c>
      <c r="G20" s="3">
        <v>10</v>
      </c>
      <c r="H20" s="121">
        <v>15</v>
      </c>
      <c r="I20" s="123"/>
      <c r="J20" s="50"/>
      <c r="K20" s="20">
        <f t="shared" si="0"/>
        <v>0</v>
      </c>
      <c r="L20" s="8">
        <f t="shared" si="1"/>
        <v>0</v>
      </c>
      <c r="M20" s="121">
        <f>L20+L21</f>
        <v>5</v>
      </c>
      <c r="N20" s="121">
        <f>M20/H20</f>
        <v>0.33333333333333331</v>
      </c>
      <c r="O20" s="121"/>
      <c r="P20" s="121"/>
    </row>
    <row r="21" spans="1:16" ht="45" x14ac:dyDescent="0.25">
      <c r="A21" s="8">
        <v>19</v>
      </c>
      <c r="B21" s="9" t="s">
        <v>143</v>
      </c>
      <c r="C21" s="9" t="s">
        <v>121</v>
      </c>
      <c r="D21" s="3" t="s">
        <v>108</v>
      </c>
      <c r="E21" s="4" t="s">
        <v>70</v>
      </c>
      <c r="F21" s="2" t="s">
        <v>20</v>
      </c>
      <c r="G21" s="3">
        <v>5</v>
      </c>
      <c r="H21" s="121"/>
      <c r="I21" s="123"/>
      <c r="J21" s="49">
        <v>26</v>
      </c>
      <c r="K21" s="20">
        <f t="shared" si="0"/>
        <v>1</v>
      </c>
      <c r="L21" s="20">
        <f t="shared" si="1"/>
        <v>5</v>
      </c>
      <c r="M21" s="121"/>
      <c r="N21" s="121"/>
      <c r="O21" s="121"/>
      <c r="P21" s="121"/>
    </row>
    <row r="22" spans="1:16" ht="45" x14ac:dyDescent="0.25">
      <c r="A22" s="8">
        <v>20</v>
      </c>
      <c r="B22" s="9" t="s">
        <v>143</v>
      </c>
      <c r="C22" s="9" t="s">
        <v>122</v>
      </c>
      <c r="D22" s="3" t="s">
        <v>108</v>
      </c>
      <c r="E22" s="4" t="s">
        <v>71</v>
      </c>
      <c r="F22" s="2" t="s">
        <v>21</v>
      </c>
      <c r="G22" s="3">
        <v>10</v>
      </c>
      <c r="H22" s="121">
        <v>25</v>
      </c>
      <c r="I22" s="123"/>
      <c r="J22" s="49">
        <v>11.54</v>
      </c>
      <c r="K22" s="20">
        <f t="shared" si="0"/>
        <v>0</v>
      </c>
      <c r="L22" s="20">
        <f t="shared" si="1"/>
        <v>0</v>
      </c>
      <c r="M22" s="121">
        <f>L22+L23</f>
        <v>30</v>
      </c>
      <c r="N22" s="121">
        <f>M22/H22</f>
        <v>1.2</v>
      </c>
      <c r="O22" s="121"/>
      <c r="P22" s="121"/>
    </row>
    <row r="23" spans="1:16" ht="45" x14ac:dyDescent="0.25">
      <c r="A23" s="8">
        <v>21</v>
      </c>
      <c r="B23" s="9" t="s">
        <v>143</v>
      </c>
      <c r="C23" s="9" t="s">
        <v>122</v>
      </c>
      <c r="D23" s="3" t="s">
        <v>108</v>
      </c>
      <c r="E23" s="4" t="s">
        <v>72</v>
      </c>
      <c r="F23" s="2" t="s">
        <v>22</v>
      </c>
      <c r="G23" s="3">
        <v>15</v>
      </c>
      <c r="H23" s="121"/>
      <c r="I23" s="123"/>
      <c r="J23" s="49">
        <v>53.85</v>
      </c>
      <c r="K23" s="20">
        <f t="shared" si="0"/>
        <v>2</v>
      </c>
      <c r="L23" s="20">
        <f t="shared" si="1"/>
        <v>30</v>
      </c>
      <c r="M23" s="121"/>
      <c r="N23" s="121"/>
      <c r="O23" s="121"/>
      <c r="P23" s="121"/>
    </row>
    <row r="24" spans="1:16" ht="45" x14ac:dyDescent="0.25">
      <c r="A24" s="8">
        <v>22</v>
      </c>
      <c r="B24" s="9" t="s">
        <v>143</v>
      </c>
      <c r="C24" s="9" t="s">
        <v>123</v>
      </c>
      <c r="D24" s="3" t="s">
        <v>107</v>
      </c>
      <c r="E24" s="3" t="s">
        <v>73</v>
      </c>
      <c r="F24" s="2" t="s">
        <v>23</v>
      </c>
      <c r="G24" s="3">
        <v>10</v>
      </c>
      <c r="H24" s="121">
        <v>40</v>
      </c>
      <c r="I24" s="123"/>
      <c r="J24" s="50"/>
      <c r="K24" s="20">
        <f t="shared" si="0"/>
        <v>0</v>
      </c>
      <c r="L24" s="8">
        <f t="shared" si="1"/>
        <v>0</v>
      </c>
      <c r="M24" s="121">
        <f>SUM(L24:L26)</f>
        <v>80</v>
      </c>
      <c r="N24" s="121">
        <f>M24/H24</f>
        <v>2</v>
      </c>
      <c r="O24" s="121"/>
      <c r="P24" s="121"/>
    </row>
    <row r="25" spans="1:16" ht="45" x14ac:dyDescent="0.25">
      <c r="A25" s="8">
        <v>23</v>
      </c>
      <c r="B25" s="9" t="s">
        <v>143</v>
      </c>
      <c r="C25" s="9" t="s">
        <v>123</v>
      </c>
      <c r="D25" s="3" t="s">
        <v>107</v>
      </c>
      <c r="E25" s="3" t="s">
        <v>74</v>
      </c>
      <c r="F25" s="2" t="s">
        <v>24</v>
      </c>
      <c r="G25" s="3">
        <v>10</v>
      </c>
      <c r="H25" s="121"/>
      <c r="I25" s="123"/>
      <c r="J25" s="50"/>
      <c r="K25" s="20">
        <f t="shared" si="0"/>
        <v>0</v>
      </c>
      <c r="L25" s="8">
        <f t="shared" si="1"/>
        <v>0</v>
      </c>
      <c r="M25" s="121"/>
      <c r="N25" s="121"/>
      <c r="O25" s="121"/>
      <c r="P25" s="121"/>
    </row>
    <row r="26" spans="1:16" ht="63.75" x14ac:dyDescent="0.25">
      <c r="A26" s="8">
        <v>24</v>
      </c>
      <c r="B26" s="9" t="s">
        <v>143</v>
      </c>
      <c r="C26" s="9" t="s">
        <v>123</v>
      </c>
      <c r="D26" s="3" t="s">
        <v>108</v>
      </c>
      <c r="E26" s="4" t="s">
        <v>75</v>
      </c>
      <c r="F26" s="2" t="s">
        <v>150</v>
      </c>
      <c r="G26" s="3">
        <v>20</v>
      </c>
      <c r="H26" s="121"/>
      <c r="I26" s="123"/>
      <c r="J26" s="49">
        <v>90</v>
      </c>
      <c r="K26" s="20">
        <f t="shared" si="0"/>
        <v>4</v>
      </c>
      <c r="L26" s="20">
        <f t="shared" si="1"/>
        <v>80</v>
      </c>
      <c r="M26" s="121"/>
      <c r="N26" s="121"/>
      <c r="O26" s="121"/>
      <c r="P26" s="121"/>
    </row>
    <row r="27" spans="1:16" ht="45" x14ac:dyDescent="0.25">
      <c r="A27" s="8">
        <v>25</v>
      </c>
      <c r="B27" s="9" t="s">
        <v>143</v>
      </c>
      <c r="C27" s="9" t="s">
        <v>124</v>
      </c>
      <c r="D27" s="3" t="s">
        <v>108</v>
      </c>
      <c r="E27" s="4" t="s">
        <v>76</v>
      </c>
      <c r="F27" s="2" t="s">
        <v>25</v>
      </c>
      <c r="G27" s="3">
        <v>20</v>
      </c>
      <c r="H27" s="16">
        <v>20</v>
      </c>
      <c r="I27" s="124"/>
      <c r="J27" s="49">
        <v>1</v>
      </c>
      <c r="K27" s="20">
        <f t="shared" si="0"/>
        <v>0</v>
      </c>
      <c r="L27" s="20">
        <f t="shared" si="1"/>
        <v>0</v>
      </c>
      <c r="M27" s="20">
        <f>L27</f>
        <v>0</v>
      </c>
      <c r="N27" s="20">
        <f>M27/H27</f>
        <v>0</v>
      </c>
      <c r="O27" s="121"/>
      <c r="P27" s="121"/>
    </row>
    <row r="28" spans="1:16" ht="45" x14ac:dyDescent="0.25">
      <c r="A28" s="8">
        <v>26</v>
      </c>
      <c r="B28" s="9" t="s">
        <v>144</v>
      </c>
      <c r="C28" s="9" t="s">
        <v>125</v>
      </c>
      <c r="D28" s="3" t="s">
        <v>107</v>
      </c>
      <c r="E28" s="3" t="s">
        <v>77</v>
      </c>
      <c r="F28" s="2" t="s">
        <v>26</v>
      </c>
      <c r="G28" s="3">
        <v>20</v>
      </c>
      <c r="H28" s="122">
        <v>30</v>
      </c>
      <c r="I28" s="122">
        <v>100</v>
      </c>
      <c r="J28" s="50"/>
      <c r="K28" s="20">
        <f t="shared" si="0"/>
        <v>0</v>
      </c>
      <c r="L28" s="8">
        <f t="shared" si="1"/>
        <v>0</v>
      </c>
      <c r="M28" s="121">
        <f>L28+L29</f>
        <v>40</v>
      </c>
      <c r="N28" s="121">
        <f>M28/H28</f>
        <v>1.3333333333333333</v>
      </c>
      <c r="O28" s="121">
        <f>SUM(M28:M33)</f>
        <v>60</v>
      </c>
      <c r="P28" s="121">
        <f>O28/I28</f>
        <v>0.6</v>
      </c>
    </row>
    <row r="29" spans="1:16" ht="45" x14ac:dyDescent="0.25">
      <c r="A29" s="8">
        <v>27</v>
      </c>
      <c r="B29" s="9" t="s">
        <v>144</v>
      </c>
      <c r="C29" s="9" t="s">
        <v>125</v>
      </c>
      <c r="D29" s="3" t="s">
        <v>108</v>
      </c>
      <c r="E29" s="4" t="s">
        <v>78</v>
      </c>
      <c r="F29" s="2" t="s">
        <v>27</v>
      </c>
      <c r="G29" s="3">
        <v>10</v>
      </c>
      <c r="H29" s="124"/>
      <c r="I29" s="123"/>
      <c r="J29" s="49">
        <v>100</v>
      </c>
      <c r="K29" s="20">
        <f t="shared" si="0"/>
        <v>4</v>
      </c>
      <c r="L29" s="20">
        <f t="shared" si="1"/>
        <v>40</v>
      </c>
      <c r="M29" s="121"/>
      <c r="N29" s="121"/>
      <c r="O29" s="121"/>
      <c r="P29" s="121"/>
    </row>
    <row r="30" spans="1:16" ht="45" x14ac:dyDescent="0.25">
      <c r="A30" s="8">
        <v>28</v>
      </c>
      <c r="B30" s="9" t="s">
        <v>144</v>
      </c>
      <c r="C30" s="9" t="s">
        <v>126</v>
      </c>
      <c r="D30" s="3" t="s">
        <v>107</v>
      </c>
      <c r="E30" s="3" t="s">
        <v>79</v>
      </c>
      <c r="F30" s="2" t="s">
        <v>28</v>
      </c>
      <c r="G30" s="3">
        <v>20</v>
      </c>
      <c r="H30" s="8">
        <v>20</v>
      </c>
      <c r="I30" s="123"/>
      <c r="J30" s="50"/>
      <c r="K30" s="20">
        <f t="shared" si="0"/>
        <v>0</v>
      </c>
      <c r="L30" s="8">
        <f t="shared" si="1"/>
        <v>0</v>
      </c>
      <c r="M30" s="8">
        <f>L30</f>
        <v>0</v>
      </c>
      <c r="N30" s="8">
        <f>M30/H30</f>
        <v>0</v>
      </c>
      <c r="O30" s="121"/>
      <c r="P30" s="121"/>
    </row>
    <row r="31" spans="1:16" ht="45" x14ac:dyDescent="0.25">
      <c r="A31" s="8">
        <v>29</v>
      </c>
      <c r="B31" s="9" t="s">
        <v>144</v>
      </c>
      <c r="C31" s="9" t="s">
        <v>127</v>
      </c>
      <c r="D31" s="3" t="s">
        <v>107</v>
      </c>
      <c r="E31" s="3" t="s">
        <v>80</v>
      </c>
      <c r="F31" s="2" t="s">
        <v>29</v>
      </c>
      <c r="G31" s="3">
        <v>20</v>
      </c>
      <c r="H31" s="121">
        <v>30</v>
      </c>
      <c r="I31" s="123"/>
      <c r="J31" s="50"/>
      <c r="K31" s="20">
        <f t="shared" si="0"/>
        <v>0</v>
      </c>
      <c r="L31" s="8">
        <f t="shared" si="1"/>
        <v>0</v>
      </c>
      <c r="M31" s="121">
        <f>L31+L32</f>
        <v>20</v>
      </c>
      <c r="N31" s="121">
        <f>M31/H31</f>
        <v>0.66666666666666663</v>
      </c>
      <c r="O31" s="121"/>
      <c r="P31" s="121"/>
    </row>
    <row r="32" spans="1:16" ht="45" x14ac:dyDescent="0.25">
      <c r="A32" s="8">
        <v>30</v>
      </c>
      <c r="B32" s="9" t="s">
        <v>144</v>
      </c>
      <c r="C32" s="9" t="s">
        <v>127</v>
      </c>
      <c r="D32" s="3" t="s">
        <v>108</v>
      </c>
      <c r="E32" s="4" t="s">
        <v>81</v>
      </c>
      <c r="F32" s="2" t="s">
        <v>30</v>
      </c>
      <c r="G32" s="3">
        <v>10</v>
      </c>
      <c r="H32" s="121"/>
      <c r="I32" s="123"/>
      <c r="J32" s="49">
        <v>45.38</v>
      </c>
      <c r="K32" s="20">
        <f t="shared" si="0"/>
        <v>2</v>
      </c>
      <c r="L32" s="20">
        <f t="shared" si="1"/>
        <v>20</v>
      </c>
      <c r="M32" s="121"/>
      <c r="N32" s="121"/>
      <c r="O32" s="121"/>
      <c r="P32" s="121"/>
    </row>
    <row r="33" spans="1:16" ht="45" x14ac:dyDescent="0.25">
      <c r="A33" s="8">
        <v>31</v>
      </c>
      <c r="B33" s="9" t="s">
        <v>144</v>
      </c>
      <c r="C33" s="9" t="s">
        <v>128</v>
      </c>
      <c r="D33" s="3" t="s">
        <v>108</v>
      </c>
      <c r="E33" s="4" t="s">
        <v>82</v>
      </c>
      <c r="F33" s="2" t="s">
        <v>31</v>
      </c>
      <c r="G33" s="3">
        <v>20</v>
      </c>
      <c r="H33" s="8">
        <v>20</v>
      </c>
      <c r="I33" s="124"/>
      <c r="J33" s="49">
        <v>0.38</v>
      </c>
      <c r="K33" s="20">
        <f t="shared" si="0"/>
        <v>0</v>
      </c>
      <c r="L33" s="20">
        <f t="shared" si="1"/>
        <v>0</v>
      </c>
      <c r="M33" s="20">
        <f>L33</f>
        <v>0</v>
      </c>
      <c r="N33" s="20">
        <f>M33/H33</f>
        <v>0</v>
      </c>
      <c r="O33" s="121"/>
      <c r="P33" s="121"/>
    </row>
    <row r="34" spans="1:16" ht="45" x14ac:dyDescent="0.25">
      <c r="A34" s="8">
        <v>32</v>
      </c>
      <c r="B34" s="10" t="s">
        <v>145</v>
      </c>
      <c r="C34" s="9" t="s">
        <v>129</v>
      </c>
      <c r="D34" s="3" t="s">
        <v>108</v>
      </c>
      <c r="E34" s="4" t="s">
        <v>83</v>
      </c>
      <c r="F34" s="2" t="s">
        <v>32</v>
      </c>
      <c r="G34" s="3">
        <v>20</v>
      </c>
      <c r="H34" s="121">
        <v>50</v>
      </c>
      <c r="I34" s="122">
        <v>140</v>
      </c>
      <c r="J34" s="49">
        <v>65.790000000000006</v>
      </c>
      <c r="K34" s="20">
        <f t="shared" si="0"/>
        <v>3</v>
      </c>
      <c r="L34" s="20">
        <f t="shared" si="1"/>
        <v>60</v>
      </c>
      <c r="M34" s="121">
        <f>SUM(L34:L37)</f>
        <v>120</v>
      </c>
      <c r="N34" s="121">
        <f>M34/H34</f>
        <v>2.4</v>
      </c>
      <c r="O34" s="121">
        <f>SUM(M34:M42)</f>
        <v>245</v>
      </c>
      <c r="P34" s="121">
        <f>O34/I34</f>
        <v>1.75</v>
      </c>
    </row>
    <row r="35" spans="1:16" ht="89.25" x14ac:dyDescent="0.25">
      <c r="A35" s="8">
        <v>33</v>
      </c>
      <c r="B35" s="10" t="s">
        <v>145</v>
      </c>
      <c r="C35" s="9" t="s">
        <v>129</v>
      </c>
      <c r="D35" s="3" t="s">
        <v>108</v>
      </c>
      <c r="E35" s="4" t="s">
        <v>84</v>
      </c>
      <c r="F35" s="2" t="s">
        <v>149</v>
      </c>
      <c r="G35" s="3">
        <v>10</v>
      </c>
      <c r="H35" s="121"/>
      <c r="I35" s="123"/>
      <c r="J35" s="49" t="s">
        <v>185</v>
      </c>
      <c r="K35" s="20">
        <f>IF(EXACT(J35,"A"),4,IF(EXACT(J35,"B"),3,IF(EXACT(J35,"C"),2,IF(EXACT(J35,"D"),1,0))))</f>
        <v>2</v>
      </c>
      <c r="L35" s="20">
        <f t="shared" si="1"/>
        <v>20</v>
      </c>
      <c r="M35" s="121"/>
      <c r="N35" s="121"/>
      <c r="O35" s="121"/>
      <c r="P35" s="121"/>
    </row>
    <row r="36" spans="1:16" ht="45" x14ac:dyDescent="0.25">
      <c r="A36" s="8">
        <v>34</v>
      </c>
      <c r="B36" s="10" t="s">
        <v>145</v>
      </c>
      <c r="C36" s="9" t="s">
        <v>129</v>
      </c>
      <c r="D36" s="3" t="s">
        <v>108</v>
      </c>
      <c r="E36" s="4" t="s">
        <v>85</v>
      </c>
      <c r="F36" s="2" t="s">
        <v>33</v>
      </c>
      <c r="G36" s="3">
        <v>10</v>
      </c>
      <c r="H36" s="121"/>
      <c r="I36" s="123"/>
      <c r="J36" s="49">
        <v>4.3499999999999996</v>
      </c>
      <c r="K36" s="20">
        <f t="shared" si="0"/>
        <v>0</v>
      </c>
      <c r="L36" s="20">
        <f t="shared" si="1"/>
        <v>0</v>
      </c>
      <c r="M36" s="121"/>
      <c r="N36" s="121"/>
      <c r="O36" s="121"/>
      <c r="P36" s="121"/>
    </row>
    <row r="37" spans="1:16" ht="147.75" customHeight="1" x14ac:dyDescent="0.25">
      <c r="A37" s="8">
        <v>35</v>
      </c>
      <c r="B37" s="10" t="s">
        <v>145</v>
      </c>
      <c r="C37" s="9" t="s">
        <v>129</v>
      </c>
      <c r="D37" s="3" t="s">
        <v>108</v>
      </c>
      <c r="E37" s="4" t="s">
        <v>86</v>
      </c>
      <c r="F37" s="2" t="s">
        <v>148</v>
      </c>
      <c r="G37" s="3">
        <v>10</v>
      </c>
      <c r="H37" s="121"/>
      <c r="I37" s="123"/>
      <c r="J37" s="49" t="s">
        <v>182</v>
      </c>
      <c r="K37" s="20">
        <f>IF(EXACT(J37,"A"),4,IF(EXACT(J37,"B"),3,IF(EXACT(J37,"C"),2,IF(EXACT(J37,"D"),1,0))))</f>
        <v>4</v>
      </c>
      <c r="L37" s="20">
        <f t="shared" si="1"/>
        <v>40</v>
      </c>
      <c r="M37" s="121"/>
      <c r="N37" s="121"/>
      <c r="O37" s="121"/>
      <c r="P37" s="121"/>
    </row>
    <row r="38" spans="1:16" ht="45" x14ac:dyDescent="0.25">
      <c r="A38" s="8">
        <v>36</v>
      </c>
      <c r="B38" s="10" t="s">
        <v>145</v>
      </c>
      <c r="C38" s="9" t="s">
        <v>130</v>
      </c>
      <c r="D38" s="3" t="s">
        <v>108</v>
      </c>
      <c r="E38" s="4" t="s">
        <v>87</v>
      </c>
      <c r="F38" s="2" t="s">
        <v>34</v>
      </c>
      <c r="G38" s="3">
        <v>20</v>
      </c>
      <c r="H38" s="121">
        <v>30</v>
      </c>
      <c r="I38" s="123"/>
      <c r="J38" s="49">
        <v>74.900000000000006</v>
      </c>
      <c r="K38" s="20">
        <f t="shared" si="0"/>
        <v>3</v>
      </c>
      <c r="L38" s="20">
        <f t="shared" si="1"/>
        <v>60</v>
      </c>
      <c r="M38" s="121">
        <f>L38+L39</f>
        <v>100</v>
      </c>
      <c r="N38" s="121">
        <f>M38/H38</f>
        <v>3.3333333333333335</v>
      </c>
      <c r="O38" s="121"/>
      <c r="P38" s="121"/>
    </row>
    <row r="39" spans="1:16" ht="63.75" customHeight="1" x14ac:dyDescent="0.25">
      <c r="A39" s="8">
        <v>37</v>
      </c>
      <c r="B39" s="10" t="s">
        <v>145</v>
      </c>
      <c r="C39" s="9" t="s">
        <v>130</v>
      </c>
      <c r="D39" s="3" t="s">
        <v>108</v>
      </c>
      <c r="E39" s="4" t="s">
        <v>88</v>
      </c>
      <c r="F39" s="2" t="s">
        <v>35</v>
      </c>
      <c r="G39" s="3">
        <v>10</v>
      </c>
      <c r="H39" s="121"/>
      <c r="I39" s="123"/>
      <c r="J39" s="49">
        <v>100</v>
      </c>
      <c r="K39" s="20">
        <f t="shared" si="0"/>
        <v>4</v>
      </c>
      <c r="L39" s="20">
        <f t="shared" si="1"/>
        <v>40</v>
      </c>
      <c r="M39" s="121"/>
      <c r="N39" s="121"/>
      <c r="O39" s="121"/>
      <c r="P39" s="121"/>
    </row>
    <row r="40" spans="1:16" ht="60" customHeight="1" x14ac:dyDescent="0.25">
      <c r="A40" s="8">
        <v>38</v>
      </c>
      <c r="B40" s="10" t="s">
        <v>145</v>
      </c>
      <c r="C40" s="9" t="s">
        <v>131</v>
      </c>
      <c r="D40" s="3" t="s">
        <v>108</v>
      </c>
      <c r="E40" s="4" t="s">
        <v>89</v>
      </c>
      <c r="F40" s="2" t="s">
        <v>36</v>
      </c>
      <c r="G40" s="3">
        <v>25</v>
      </c>
      <c r="H40" s="121">
        <v>50</v>
      </c>
      <c r="I40" s="123"/>
      <c r="J40" s="49">
        <v>11</v>
      </c>
      <c r="K40" s="20">
        <f t="shared" si="0"/>
        <v>0</v>
      </c>
      <c r="L40" s="20">
        <f t="shared" si="1"/>
        <v>0</v>
      </c>
      <c r="M40" s="121">
        <f>L40+L41</f>
        <v>25</v>
      </c>
      <c r="N40" s="121">
        <f>M40/H40</f>
        <v>0.5</v>
      </c>
      <c r="O40" s="121"/>
      <c r="P40" s="121"/>
    </row>
    <row r="41" spans="1:16" ht="45" x14ac:dyDescent="0.25">
      <c r="A41" s="8">
        <v>39</v>
      </c>
      <c r="B41" s="10" t="s">
        <v>145</v>
      </c>
      <c r="C41" s="9" t="s">
        <v>131</v>
      </c>
      <c r="D41" s="3" t="s">
        <v>108</v>
      </c>
      <c r="E41" s="4" t="s">
        <v>90</v>
      </c>
      <c r="F41" s="2" t="s">
        <v>37</v>
      </c>
      <c r="G41" s="3">
        <v>25</v>
      </c>
      <c r="H41" s="121"/>
      <c r="I41" s="123"/>
      <c r="J41" s="49">
        <v>22.4</v>
      </c>
      <c r="K41" s="20">
        <f t="shared" si="0"/>
        <v>1</v>
      </c>
      <c r="L41" s="20">
        <f t="shared" si="1"/>
        <v>25</v>
      </c>
      <c r="M41" s="121"/>
      <c r="N41" s="121"/>
      <c r="O41" s="121"/>
      <c r="P41" s="121"/>
    </row>
    <row r="42" spans="1:16" ht="45" x14ac:dyDescent="0.25">
      <c r="A42" s="8">
        <v>40</v>
      </c>
      <c r="B42" s="10" t="s">
        <v>145</v>
      </c>
      <c r="C42" s="9" t="s">
        <v>132</v>
      </c>
      <c r="D42" s="3" t="s">
        <v>107</v>
      </c>
      <c r="E42" s="3" t="s">
        <v>91</v>
      </c>
      <c r="F42" s="2" t="s">
        <v>38</v>
      </c>
      <c r="G42" s="3">
        <v>10</v>
      </c>
      <c r="H42" s="8">
        <v>10</v>
      </c>
      <c r="I42" s="124"/>
      <c r="J42" s="50"/>
      <c r="K42" s="20">
        <f t="shared" si="0"/>
        <v>0</v>
      </c>
      <c r="L42" s="8">
        <f t="shared" si="1"/>
        <v>0</v>
      </c>
      <c r="M42" s="8">
        <f>L42</f>
        <v>0</v>
      </c>
      <c r="N42" s="8">
        <f>M42/H42</f>
        <v>0</v>
      </c>
      <c r="O42" s="121"/>
      <c r="P42" s="121"/>
    </row>
    <row r="43" spans="1:16" ht="51" x14ac:dyDescent="0.25">
      <c r="A43" s="8">
        <v>41</v>
      </c>
      <c r="B43" s="9" t="s">
        <v>146</v>
      </c>
      <c r="C43" s="9" t="s">
        <v>133</v>
      </c>
      <c r="D43" s="3" t="s">
        <v>107</v>
      </c>
      <c r="E43" s="3" t="s">
        <v>92</v>
      </c>
      <c r="F43" s="2" t="s">
        <v>152</v>
      </c>
      <c r="G43" s="3">
        <v>10</v>
      </c>
      <c r="H43" s="8">
        <v>10</v>
      </c>
      <c r="I43" s="122">
        <v>100</v>
      </c>
      <c r="J43" s="50"/>
      <c r="K43" s="20">
        <f t="shared" si="0"/>
        <v>0</v>
      </c>
      <c r="L43" s="8">
        <f t="shared" si="1"/>
        <v>0</v>
      </c>
      <c r="M43" s="8">
        <f>L43</f>
        <v>0</v>
      </c>
      <c r="N43" s="8">
        <f>M43/H43</f>
        <v>0</v>
      </c>
      <c r="O43" s="121">
        <f>SUM(M43:M51)</f>
        <v>61</v>
      </c>
      <c r="P43" s="121">
        <f>O43/I43</f>
        <v>0.61</v>
      </c>
    </row>
    <row r="44" spans="1:16" ht="51" x14ac:dyDescent="0.25">
      <c r="A44" s="8">
        <v>42</v>
      </c>
      <c r="B44" s="9" t="s">
        <v>146</v>
      </c>
      <c r="C44" s="9" t="s">
        <v>134</v>
      </c>
      <c r="D44" s="3" t="s">
        <v>107</v>
      </c>
      <c r="E44" s="3" t="s">
        <v>93</v>
      </c>
      <c r="F44" s="2" t="s">
        <v>153</v>
      </c>
      <c r="G44" s="3">
        <v>6</v>
      </c>
      <c r="H44" s="121">
        <v>10</v>
      </c>
      <c r="I44" s="123"/>
      <c r="J44" s="50"/>
      <c r="K44" s="20">
        <f t="shared" si="0"/>
        <v>0</v>
      </c>
      <c r="L44" s="8">
        <f t="shared" si="1"/>
        <v>0</v>
      </c>
      <c r="M44" s="121">
        <f>L44+L45</f>
        <v>16</v>
      </c>
      <c r="N44" s="121">
        <f>M44/H44</f>
        <v>1.6</v>
      </c>
      <c r="O44" s="121"/>
      <c r="P44" s="121"/>
    </row>
    <row r="45" spans="1:16" ht="76.5" x14ac:dyDescent="0.25">
      <c r="A45" s="8">
        <v>43</v>
      </c>
      <c r="B45" s="9" t="s">
        <v>146</v>
      </c>
      <c r="C45" s="9" t="s">
        <v>134</v>
      </c>
      <c r="D45" s="3" t="s">
        <v>108</v>
      </c>
      <c r="E45" s="4" t="s">
        <v>94</v>
      </c>
      <c r="F45" s="2" t="s">
        <v>39</v>
      </c>
      <c r="G45" s="3">
        <v>4</v>
      </c>
      <c r="H45" s="121"/>
      <c r="I45" s="123"/>
      <c r="J45" s="49" t="s">
        <v>182</v>
      </c>
      <c r="K45" s="20">
        <f>IF(EXACT(J45,"A"),4,IF(EXACT(J45,"B"),3,IF(EXACT(J45,"C"),2,IF(EXACT(J45,"D"),1,0))))</f>
        <v>4</v>
      </c>
      <c r="L45" s="20">
        <f t="shared" si="1"/>
        <v>16</v>
      </c>
      <c r="M45" s="121"/>
      <c r="N45" s="121"/>
      <c r="O45" s="121"/>
      <c r="P45" s="121"/>
    </row>
    <row r="46" spans="1:16" ht="45" x14ac:dyDescent="0.25">
      <c r="A46" s="8">
        <v>44</v>
      </c>
      <c r="B46" s="9" t="s">
        <v>146</v>
      </c>
      <c r="C46" s="9" t="s">
        <v>135</v>
      </c>
      <c r="D46" s="3" t="s">
        <v>107</v>
      </c>
      <c r="E46" s="3" t="s">
        <v>95</v>
      </c>
      <c r="F46" s="2" t="s">
        <v>40</v>
      </c>
      <c r="G46" s="3">
        <v>8</v>
      </c>
      <c r="H46" s="121">
        <v>35</v>
      </c>
      <c r="I46" s="123"/>
      <c r="J46" s="50"/>
      <c r="K46" s="20">
        <f t="shared" si="0"/>
        <v>0</v>
      </c>
      <c r="L46" s="8">
        <f t="shared" si="1"/>
        <v>0</v>
      </c>
      <c r="M46" s="121">
        <f>SUM(L46:L48)</f>
        <v>0</v>
      </c>
      <c r="N46" s="121">
        <f>M46/H46</f>
        <v>0</v>
      </c>
      <c r="O46" s="121"/>
      <c r="P46" s="121"/>
    </row>
    <row r="47" spans="1:16" ht="45" x14ac:dyDescent="0.25">
      <c r="A47" s="8">
        <v>45</v>
      </c>
      <c r="B47" s="9" t="s">
        <v>146</v>
      </c>
      <c r="C47" s="9" t="s">
        <v>135</v>
      </c>
      <c r="D47" s="3" t="s">
        <v>108</v>
      </c>
      <c r="E47" s="4" t="s">
        <v>96</v>
      </c>
      <c r="F47" s="2" t="s">
        <v>41</v>
      </c>
      <c r="G47" s="3">
        <v>12</v>
      </c>
      <c r="H47" s="121"/>
      <c r="I47" s="123"/>
      <c r="J47" s="49">
        <v>0</v>
      </c>
      <c r="K47" s="20">
        <f t="shared" si="0"/>
        <v>0</v>
      </c>
      <c r="L47" s="20">
        <f t="shared" si="1"/>
        <v>0</v>
      </c>
      <c r="M47" s="121"/>
      <c r="N47" s="121"/>
      <c r="O47" s="121"/>
      <c r="P47" s="121"/>
    </row>
    <row r="48" spans="1:16" ht="45" x14ac:dyDescent="0.25">
      <c r="A48" s="8">
        <v>46</v>
      </c>
      <c r="B48" s="9" t="s">
        <v>146</v>
      </c>
      <c r="C48" s="9" t="s">
        <v>135</v>
      </c>
      <c r="D48" s="3" t="s">
        <v>108</v>
      </c>
      <c r="E48" s="4" t="s">
        <v>97</v>
      </c>
      <c r="F48" s="2" t="s">
        <v>42</v>
      </c>
      <c r="G48" s="3">
        <v>15</v>
      </c>
      <c r="H48" s="121"/>
      <c r="I48" s="123"/>
      <c r="J48" s="49">
        <v>5.52</v>
      </c>
      <c r="K48" s="20">
        <f t="shared" si="0"/>
        <v>0</v>
      </c>
      <c r="L48" s="20">
        <f t="shared" si="1"/>
        <v>0</v>
      </c>
      <c r="M48" s="121"/>
      <c r="N48" s="121"/>
      <c r="O48" s="121"/>
      <c r="P48" s="121"/>
    </row>
    <row r="49" spans="1:18" ht="60" x14ac:dyDescent="0.25">
      <c r="A49" s="8">
        <v>47</v>
      </c>
      <c r="B49" s="9" t="s">
        <v>146</v>
      </c>
      <c r="C49" s="9" t="s">
        <v>136</v>
      </c>
      <c r="D49" s="3" t="s">
        <v>107</v>
      </c>
      <c r="E49" s="3" t="s">
        <v>98</v>
      </c>
      <c r="F49" s="2" t="s">
        <v>43</v>
      </c>
      <c r="G49" s="3">
        <v>15</v>
      </c>
      <c r="H49" s="8">
        <v>15</v>
      </c>
      <c r="I49" s="123"/>
      <c r="J49" s="50"/>
      <c r="K49" s="20">
        <f t="shared" si="0"/>
        <v>0</v>
      </c>
      <c r="L49" s="8">
        <f t="shared" si="1"/>
        <v>0</v>
      </c>
      <c r="M49" s="8">
        <f>L49</f>
        <v>0</v>
      </c>
      <c r="N49" s="8">
        <f>M49/H49</f>
        <v>0</v>
      </c>
      <c r="O49" s="121"/>
      <c r="P49" s="121"/>
    </row>
    <row r="50" spans="1:18" ht="60" x14ac:dyDescent="0.25">
      <c r="A50" s="8">
        <v>48</v>
      </c>
      <c r="B50" s="9" t="s">
        <v>146</v>
      </c>
      <c r="C50" s="9" t="s">
        <v>137</v>
      </c>
      <c r="D50" s="3" t="s">
        <v>107</v>
      </c>
      <c r="E50" s="3" t="s">
        <v>99</v>
      </c>
      <c r="F50" s="2" t="s">
        <v>44</v>
      </c>
      <c r="G50" s="3">
        <v>15</v>
      </c>
      <c r="H50" s="121">
        <v>30</v>
      </c>
      <c r="I50" s="123"/>
      <c r="J50" s="50"/>
      <c r="K50" s="20">
        <f t="shared" si="0"/>
        <v>0</v>
      </c>
      <c r="L50" s="8">
        <f t="shared" si="1"/>
        <v>0</v>
      </c>
      <c r="M50" s="121">
        <f>L50+L51</f>
        <v>45</v>
      </c>
      <c r="N50" s="121">
        <f>M50/H50</f>
        <v>1.5</v>
      </c>
      <c r="O50" s="121"/>
      <c r="P50" s="121"/>
    </row>
    <row r="51" spans="1:18" ht="114.75" x14ac:dyDescent="0.25">
      <c r="A51" s="8">
        <v>49</v>
      </c>
      <c r="B51" s="9" t="s">
        <v>146</v>
      </c>
      <c r="C51" s="9" t="s">
        <v>137</v>
      </c>
      <c r="D51" s="3" t="s">
        <v>108</v>
      </c>
      <c r="E51" s="4" t="s">
        <v>100</v>
      </c>
      <c r="F51" s="2" t="s">
        <v>45</v>
      </c>
      <c r="G51" s="3">
        <v>15</v>
      </c>
      <c r="H51" s="121"/>
      <c r="I51" s="124"/>
      <c r="J51" s="49" t="s">
        <v>183</v>
      </c>
      <c r="K51" s="20">
        <f>IF(EXACT(J51,"A"),4,IF(EXACT(J51,"B"),3,IF(EXACT(J51,"C"),2,IF(EXACT(J51,"D"),1,0))))</f>
        <v>3</v>
      </c>
      <c r="L51" s="20">
        <f t="shared" si="1"/>
        <v>45</v>
      </c>
      <c r="M51" s="121"/>
      <c r="N51" s="121"/>
      <c r="O51" s="121"/>
      <c r="P51" s="121"/>
    </row>
    <row r="52" spans="1:18" ht="76.5" customHeight="1" x14ac:dyDescent="0.25">
      <c r="A52" s="8">
        <v>50</v>
      </c>
      <c r="B52" s="9" t="s">
        <v>147</v>
      </c>
      <c r="C52" s="9" t="s">
        <v>138</v>
      </c>
      <c r="D52" s="3" t="s">
        <v>107</v>
      </c>
      <c r="E52" s="3" t="s">
        <v>101</v>
      </c>
      <c r="F52" s="2" t="s">
        <v>46</v>
      </c>
      <c r="G52" s="3">
        <v>10</v>
      </c>
      <c r="H52" s="121">
        <v>50</v>
      </c>
      <c r="I52" s="122">
        <v>100</v>
      </c>
      <c r="J52" s="50"/>
      <c r="K52" s="20">
        <f t="shared" si="0"/>
        <v>0</v>
      </c>
      <c r="L52" s="8">
        <f t="shared" si="1"/>
        <v>0</v>
      </c>
      <c r="M52" s="121">
        <f>SUM(L52:L55)</f>
        <v>100</v>
      </c>
      <c r="N52" s="121">
        <f>M52/H52</f>
        <v>2</v>
      </c>
      <c r="O52" s="121">
        <f>SUM(M52:M57)</f>
        <v>100</v>
      </c>
      <c r="P52" s="121">
        <f>O52/I52</f>
        <v>1</v>
      </c>
    </row>
    <row r="53" spans="1:18" ht="101.25" customHeight="1" x14ac:dyDescent="0.25">
      <c r="A53" s="8">
        <v>51</v>
      </c>
      <c r="B53" s="9" t="s">
        <v>147</v>
      </c>
      <c r="C53" s="9" t="s">
        <v>138</v>
      </c>
      <c r="D53" s="3" t="s">
        <v>108</v>
      </c>
      <c r="E53" s="4" t="s">
        <v>102</v>
      </c>
      <c r="F53" s="2" t="s">
        <v>47</v>
      </c>
      <c r="G53" s="3">
        <v>20</v>
      </c>
      <c r="H53" s="121"/>
      <c r="I53" s="123"/>
      <c r="J53" s="49" t="s">
        <v>182</v>
      </c>
      <c r="K53" s="20">
        <f>IF(EXACT(J53,"A"),4,IF(EXACT(J53,"B"),3,IF(EXACT(J53,"C"),2,IF(EXACT(J53,"D"),1,0))))</f>
        <v>4</v>
      </c>
      <c r="L53" s="20">
        <f t="shared" si="1"/>
        <v>80</v>
      </c>
      <c r="M53" s="121"/>
      <c r="N53" s="121"/>
      <c r="O53" s="121"/>
      <c r="P53" s="121"/>
    </row>
    <row r="54" spans="1:18" ht="113.25" customHeight="1" x14ac:dyDescent="0.25">
      <c r="A54" s="8">
        <v>52</v>
      </c>
      <c r="B54" s="9" t="s">
        <v>147</v>
      </c>
      <c r="C54" s="9" t="s">
        <v>138</v>
      </c>
      <c r="D54" s="3" t="s">
        <v>108</v>
      </c>
      <c r="E54" s="3" t="s">
        <v>103</v>
      </c>
      <c r="F54" s="2" t="s">
        <v>48</v>
      </c>
      <c r="G54" s="3">
        <v>10</v>
      </c>
      <c r="H54" s="121"/>
      <c r="I54" s="123"/>
      <c r="J54" s="49" t="s">
        <v>185</v>
      </c>
      <c r="K54" s="20">
        <f>IF(EXACT(J54,"A"),4,IF(EXACT(J54,"B"),3,IF(EXACT(J54,"C"),2,IF(EXACT(J54,"D"),1,0))))</f>
        <v>2</v>
      </c>
      <c r="L54" s="20">
        <f t="shared" si="1"/>
        <v>20</v>
      </c>
      <c r="M54" s="121"/>
      <c r="N54" s="121"/>
      <c r="O54" s="121"/>
      <c r="P54" s="121"/>
    </row>
    <row r="55" spans="1:18" ht="74.25" customHeight="1" x14ac:dyDescent="0.25">
      <c r="A55" s="8">
        <v>53</v>
      </c>
      <c r="B55" s="9" t="s">
        <v>147</v>
      </c>
      <c r="C55" s="9" t="s">
        <v>138</v>
      </c>
      <c r="D55" s="3" t="s">
        <v>107</v>
      </c>
      <c r="E55" s="3" t="s">
        <v>104</v>
      </c>
      <c r="F55" s="2" t="s">
        <v>49</v>
      </c>
      <c r="G55" s="3">
        <v>10</v>
      </c>
      <c r="H55" s="121"/>
      <c r="I55" s="123"/>
      <c r="J55" s="50"/>
      <c r="K55" s="20">
        <f t="shared" si="0"/>
        <v>0</v>
      </c>
      <c r="L55" s="8">
        <f t="shared" si="1"/>
        <v>0</v>
      </c>
      <c r="M55" s="121"/>
      <c r="N55" s="121"/>
      <c r="O55" s="121"/>
      <c r="P55" s="121"/>
    </row>
    <row r="56" spans="1:18" ht="45" x14ac:dyDescent="0.25">
      <c r="A56" s="8">
        <v>54</v>
      </c>
      <c r="B56" s="9" t="s">
        <v>147</v>
      </c>
      <c r="C56" s="9" t="s">
        <v>139</v>
      </c>
      <c r="D56" s="3" t="s">
        <v>107</v>
      </c>
      <c r="E56" s="3" t="s">
        <v>105</v>
      </c>
      <c r="F56" s="2" t="s">
        <v>50</v>
      </c>
      <c r="G56" s="3">
        <v>30</v>
      </c>
      <c r="H56" s="8">
        <v>30</v>
      </c>
      <c r="I56" s="123"/>
      <c r="J56" s="50"/>
      <c r="K56" s="20">
        <f t="shared" si="0"/>
        <v>0</v>
      </c>
      <c r="L56" s="8">
        <f t="shared" si="1"/>
        <v>0</v>
      </c>
      <c r="M56" s="8">
        <f>L56</f>
        <v>0</v>
      </c>
      <c r="N56" s="8">
        <f>M56/H56</f>
        <v>0</v>
      </c>
      <c r="O56" s="121"/>
      <c r="P56" s="121"/>
    </row>
    <row r="57" spans="1:18" ht="45" x14ac:dyDescent="0.25">
      <c r="A57" s="8">
        <v>55</v>
      </c>
      <c r="B57" s="9" t="s">
        <v>147</v>
      </c>
      <c r="C57" s="9" t="s">
        <v>140</v>
      </c>
      <c r="D57" s="3" t="s">
        <v>107</v>
      </c>
      <c r="E57" s="3" t="s">
        <v>106</v>
      </c>
      <c r="F57" s="2" t="s">
        <v>51</v>
      </c>
      <c r="G57" s="3">
        <v>20</v>
      </c>
      <c r="H57" s="8">
        <v>20</v>
      </c>
      <c r="I57" s="124"/>
      <c r="J57" s="50"/>
      <c r="K57" s="20">
        <f t="shared" si="0"/>
        <v>0</v>
      </c>
      <c r="L57" s="8">
        <f t="shared" si="1"/>
        <v>0</v>
      </c>
      <c r="M57" s="8">
        <f>L57</f>
        <v>0</v>
      </c>
      <c r="N57" s="8">
        <f>M57/H57</f>
        <v>0</v>
      </c>
      <c r="O57" s="121"/>
      <c r="P57" s="121"/>
    </row>
    <row r="59" spans="1:18" ht="15.75" thickBot="1" x14ac:dyDescent="0.3"/>
    <row r="60" spans="1:18" ht="23.25" thickBot="1" x14ac:dyDescent="0.3">
      <c r="J60" s="125" t="s">
        <v>282</v>
      </c>
      <c r="K60" s="126"/>
      <c r="L60" s="126"/>
      <c r="M60" s="126"/>
      <c r="N60" s="126"/>
      <c r="O60" s="126"/>
      <c r="P60" s="126"/>
      <c r="Q60" s="126"/>
      <c r="R60" s="127"/>
    </row>
    <row r="62" spans="1:18" ht="15.75" thickBot="1" x14ac:dyDescent="0.3"/>
    <row r="63" spans="1:18" ht="19.5" thickBot="1" x14ac:dyDescent="0.35">
      <c r="F63" s="93" t="s">
        <v>280</v>
      </c>
      <c r="G63" t="s">
        <v>281</v>
      </c>
      <c r="J63" s="128" t="s">
        <v>289</v>
      </c>
      <c r="K63" s="129"/>
      <c r="L63" s="129"/>
      <c r="M63" s="129"/>
      <c r="N63" s="129"/>
      <c r="O63" s="129"/>
      <c r="P63" s="129"/>
      <c r="Q63" s="129"/>
      <c r="R63" s="130"/>
    </row>
    <row r="64" spans="1:18" x14ac:dyDescent="0.25">
      <c r="F64" s="94" t="s">
        <v>141</v>
      </c>
      <c r="G64" s="95">
        <v>0.66666666666666663</v>
      </c>
    </row>
    <row r="65" spans="4:7" x14ac:dyDescent="0.25">
      <c r="F65" s="94" t="s">
        <v>142</v>
      </c>
      <c r="G65" s="95">
        <v>2</v>
      </c>
    </row>
    <row r="66" spans="4:7" x14ac:dyDescent="0.25">
      <c r="F66" s="94" t="s">
        <v>143</v>
      </c>
      <c r="G66" s="95">
        <v>0.77777777777777779</v>
      </c>
    </row>
    <row r="67" spans="4:7" x14ac:dyDescent="0.25">
      <c r="F67" s="94" t="s">
        <v>144</v>
      </c>
      <c r="G67" s="95">
        <v>1</v>
      </c>
    </row>
    <row r="68" spans="4:7" x14ac:dyDescent="0.25">
      <c r="F68" s="94" t="s">
        <v>145</v>
      </c>
      <c r="G68" s="95">
        <v>1.8888888888888888</v>
      </c>
    </row>
    <row r="69" spans="4:7" x14ac:dyDescent="0.25">
      <c r="F69" s="94" t="s">
        <v>146</v>
      </c>
      <c r="G69" s="95">
        <v>0.77777777777777779</v>
      </c>
    </row>
    <row r="70" spans="4:7" x14ac:dyDescent="0.25">
      <c r="F70" s="94" t="s">
        <v>147</v>
      </c>
      <c r="G70" s="95">
        <v>1</v>
      </c>
    </row>
    <row r="71" spans="4:7" x14ac:dyDescent="0.25">
      <c r="D71" s="1"/>
      <c r="E71" s="1"/>
      <c r="F71" s="94" t="s">
        <v>276</v>
      </c>
      <c r="G71" s="95">
        <v>1.2181818181818183</v>
      </c>
    </row>
    <row r="72" spans="4:7" x14ac:dyDescent="0.25">
      <c r="D72" s="1"/>
      <c r="E72" s="1"/>
    </row>
    <row r="73" spans="4:7" x14ac:dyDescent="0.25">
      <c r="D73" s="1"/>
      <c r="E73" s="1"/>
    </row>
    <row r="74" spans="4:7" x14ac:dyDescent="0.25">
      <c r="D74" s="1"/>
      <c r="E74" s="1"/>
    </row>
    <row r="83" spans="6:18" ht="15.75" thickBot="1" x14ac:dyDescent="0.3"/>
    <row r="84" spans="6:18" ht="19.5" thickBot="1" x14ac:dyDescent="0.35">
      <c r="F84" s="93" t="s">
        <v>280</v>
      </c>
      <c r="G84" t="s">
        <v>281</v>
      </c>
      <c r="J84" s="128" t="s">
        <v>290</v>
      </c>
      <c r="K84" s="129"/>
      <c r="L84" s="129"/>
      <c r="M84" s="129"/>
      <c r="N84" s="129"/>
      <c r="O84" s="129"/>
      <c r="P84" s="129"/>
      <c r="Q84" s="129"/>
      <c r="R84" s="130"/>
    </row>
    <row r="85" spans="6:18" x14ac:dyDescent="0.25">
      <c r="F85" s="94" t="s">
        <v>109</v>
      </c>
      <c r="G85" s="95">
        <v>0</v>
      </c>
    </row>
    <row r="86" spans="6:18" x14ac:dyDescent="0.25">
      <c r="F86" s="94" t="s">
        <v>110</v>
      </c>
      <c r="G86" s="95">
        <v>0</v>
      </c>
    </row>
    <row r="87" spans="6:18" x14ac:dyDescent="0.25">
      <c r="F87" s="94" t="s">
        <v>111</v>
      </c>
      <c r="G87" s="95">
        <v>0</v>
      </c>
    </row>
    <row r="88" spans="6:18" x14ac:dyDescent="0.25">
      <c r="F88" s="94" t="s">
        <v>112</v>
      </c>
      <c r="G88" s="95">
        <v>4</v>
      </c>
    </row>
    <row r="89" spans="6:18" x14ac:dyDescent="0.25">
      <c r="F89" s="94" t="s">
        <v>113</v>
      </c>
      <c r="G89" s="95">
        <v>3.5</v>
      </c>
    </row>
    <row r="90" spans="6:18" x14ac:dyDescent="0.25">
      <c r="F90" s="94" t="s">
        <v>114</v>
      </c>
      <c r="G90" s="95">
        <v>3</v>
      </c>
    </row>
    <row r="91" spans="6:18" x14ac:dyDescent="0.25">
      <c r="F91" s="94" t="s">
        <v>115</v>
      </c>
      <c r="G91" s="95">
        <v>0</v>
      </c>
    </row>
    <row r="92" spans="6:18" x14ac:dyDescent="0.25">
      <c r="F92" s="94" t="s">
        <v>116</v>
      </c>
      <c r="G92" s="95">
        <v>2.5</v>
      </c>
    </row>
    <row r="93" spans="6:18" x14ac:dyDescent="0.25">
      <c r="F93" s="94" t="s">
        <v>117</v>
      </c>
      <c r="G93" s="95">
        <v>0</v>
      </c>
    </row>
    <row r="94" spans="6:18" x14ac:dyDescent="0.25">
      <c r="F94" s="94" t="s">
        <v>118</v>
      </c>
      <c r="G94" s="95">
        <v>2</v>
      </c>
    </row>
    <row r="95" spans="6:18" x14ac:dyDescent="0.25">
      <c r="F95" s="94" t="s">
        <v>119</v>
      </c>
      <c r="G95" s="95">
        <v>1</v>
      </c>
    </row>
    <row r="96" spans="6:18" x14ac:dyDescent="0.25">
      <c r="F96" s="94" t="s">
        <v>120</v>
      </c>
      <c r="G96" s="95">
        <v>0</v>
      </c>
    </row>
    <row r="97" spans="6:18" x14ac:dyDescent="0.25">
      <c r="F97" s="94" t="s">
        <v>121</v>
      </c>
      <c r="G97" s="95">
        <v>0.5</v>
      </c>
    </row>
    <row r="98" spans="6:18" x14ac:dyDescent="0.25">
      <c r="F98" s="94" t="s">
        <v>122</v>
      </c>
      <c r="G98" s="95">
        <v>1</v>
      </c>
    </row>
    <row r="99" spans="6:18" x14ac:dyDescent="0.25">
      <c r="F99" s="94" t="s">
        <v>123</v>
      </c>
      <c r="G99" s="95">
        <v>1.3333333333333333</v>
      </c>
    </row>
    <row r="100" spans="6:18" x14ac:dyDescent="0.25">
      <c r="F100" s="94" t="s">
        <v>124</v>
      </c>
      <c r="G100" s="95">
        <v>0</v>
      </c>
    </row>
    <row r="101" spans="6:18" x14ac:dyDescent="0.25">
      <c r="F101" s="94" t="s">
        <v>125</v>
      </c>
      <c r="G101" s="95">
        <v>2</v>
      </c>
    </row>
    <row r="102" spans="6:18" x14ac:dyDescent="0.25">
      <c r="F102" s="94" t="s">
        <v>126</v>
      </c>
      <c r="G102" s="95">
        <v>0</v>
      </c>
    </row>
    <row r="103" spans="6:18" x14ac:dyDescent="0.25">
      <c r="F103" s="94" t="s">
        <v>127</v>
      </c>
      <c r="G103" s="95">
        <v>1</v>
      </c>
    </row>
    <row r="104" spans="6:18" x14ac:dyDescent="0.25">
      <c r="F104" s="94" t="s">
        <v>128</v>
      </c>
      <c r="G104" s="95">
        <v>0</v>
      </c>
    </row>
    <row r="105" spans="6:18" x14ac:dyDescent="0.25">
      <c r="F105" s="94" t="s">
        <v>129</v>
      </c>
      <c r="G105" s="95">
        <v>2.25</v>
      </c>
    </row>
    <row r="106" spans="6:18" x14ac:dyDescent="0.25">
      <c r="F106" s="94" t="s">
        <v>130</v>
      </c>
      <c r="G106" s="95">
        <v>3.5</v>
      </c>
    </row>
    <row r="107" spans="6:18" x14ac:dyDescent="0.25">
      <c r="F107" s="94" t="s">
        <v>131</v>
      </c>
      <c r="G107" s="95">
        <v>0.5</v>
      </c>
    </row>
    <row r="108" spans="6:18" ht="15.75" thickBot="1" x14ac:dyDescent="0.3">
      <c r="F108" s="94" t="s">
        <v>132</v>
      </c>
      <c r="G108" s="95">
        <v>0</v>
      </c>
    </row>
    <row r="109" spans="6:18" ht="19.5" thickBot="1" x14ac:dyDescent="0.35">
      <c r="F109" s="94" t="s">
        <v>133</v>
      </c>
      <c r="G109" s="95">
        <v>0</v>
      </c>
      <c r="J109" s="128" t="s">
        <v>292</v>
      </c>
      <c r="K109" s="129"/>
      <c r="L109" s="129"/>
      <c r="M109" s="129"/>
      <c r="N109" s="129"/>
      <c r="O109" s="129"/>
      <c r="P109" s="129"/>
      <c r="Q109" s="129"/>
      <c r="R109" s="130"/>
    </row>
    <row r="110" spans="6:18" x14ac:dyDescent="0.25">
      <c r="F110" s="94" t="s">
        <v>134</v>
      </c>
      <c r="G110" s="95">
        <v>2</v>
      </c>
    </row>
    <row r="111" spans="6:18" x14ac:dyDescent="0.25">
      <c r="F111" s="94" t="s">
        <v>135</v>
      </c>
      <c r="G111" s="95">
        <v>0</v>
      </c>
    </row>
    <row r="112" spans="6:18" x14ac:dyDescent="0.25">
      <c r="F112" s="94" t="s">
        <v>136</v>
      </c>
      <c r="G112" s="95">
        <v>0</v>
      </c>
    </row>
    <row r="113" spans="6:18" x14ac:dyDescent="0.25">
      <c r="F113" s="94" t="s">
        <v>137</v>
      </c>
      <c r="G113" s="95">
        <v>1.5</v>
      </c>
    </row>
    <row r="114" spans="6:18" x14ac:dyDescent="0.25">
      <c r="F114" s="94" t="s">
        <v>138</v>
      </c>
      <c r="G114" s="95">
        <v>1.5</v>
      </c>
    </row>
    <row r="115" spans="6:18" x14ac:dyDescent="0.25">
      <c r="F115" s="94" t="s">
        <v>139</v>
      </c>
      <c r="G115" s="95">
        <v>0</v>
      </c>
    </row>
    <row r="116" spans="6:18" x14ac:dyDescent="0.25">
      <c r="F116" s="94" t="s">
        <v>140</v>
      </c>
      <c r="G116" s="95">
        <v>0</v>
      </c>
    </row>
    <row r="117" spans="6:18" x14ac:dyDescent="0.25">
      <c r="F117" s="94" t="s">
        <v>276</v>
      </c>
      <c r="G117" s="95">
        <v>1.2181818181818183</v>
      </c>
    </row>
    <row r="120" spans="6:18" x14ac:dyDescent="0.25">
      <c r="F120" s="93" t="s">
        <v>280</v>
      </c>
      <c r="G120" t="s">
        <v>281</v>
      </c>
    </row>
    <row r="121" spans="6:18" x14ac:dyDescent="0.25">
      <c r="F121" s="94" t="s">
        <v>107</v>
      </c>
      <c r="G121" s="95">
        <v>0</v>
      </c>
    </row>
    <row r="122" spans="6:18" x14ac:dyDescent="0.25">
      <c r="F122" s="94" t="s">
        <v>108</v>
      </c>
      <c r="G122" s="95">
        <v>1.9705882352941178</v>
      </c>
    </row>
    <row r="123" spans="6:18" x14ac:dyDescent="0.25">
      <c r="F123" s="94" t="s">
        <v>276</v>
      </c>
      <c r="G123" s="95">
        <v>1.2181818181818183</v>
      </c>
    </row>
    <row r="126" spans="6:18" ht="15.75" thickBot="1" x14ac:dyDescent="0.3">
      <c r="F126" s="93" t="s">
        <v>280</v>
      </c>
      <c r="G126" t="s">
        <v>281</v>
      </c>
    </row>
    <row r="127" spans="6:18" ht="19.5" thickBot="1" x14ac:dyDescent="0.35">
      <c r="F127" s="94" t="s">
        <v>52</v>
      </c>
      <c r="G127" s="95">
        <v>0</v>
      </c>
      <c r="J127" s="128" t="s">
        <v>291</v>
      </c>
      <c r="K127" s="129"/>
      <c r="L127" s="129"/>
      <c r="M127" s="129"/>
      <c r="N127" s="129"/>
      <c r="O127" s="129"/>
      <c r="P127" s="129"/>
      <c r="Q127" s="129"/>
      <c r="R127" s="130"/>
    </row>
    <row r="128" spans="6:18" x14ac:dyDescent="0.25">
      <c r="F128" s="94" t="s">
        <v>53</v>
      </c>
      <c r="G128" s="95">
        <v>0</v>
      </c>
    </row>
    <row r="129" spans="6:7" x14ac:dyDescent="0.25">
      <c r="F129" s="94" t="s">
        <v>54</v>
      </c>
      <c r="G129" s="95">
        <v>0</v>
      </c>
    </row>
    <row r="130" spans="6:7" x14ac:dyDescent="0.25">
      <c r="F130" s="94" t="s">
        <v>55</v>
      </c>
      <c r="G130" s="95">
        <v>0</v>
      </c>
    </row>
    <row r="131" spans="6:7" x14ac:dyDescent="0.25">
      <c r="F131" s="94" t="s">
        <v>56</v>
      </c>
      <c r="G131" s="95">
        <v>0</v>
      </c>
    </row>
    <row r="132" spans="6:7" x14ac:dyDescent="0.25">
      <c r="F132" s="94" t="s">
        <v>57</v>
      </c>
      <c r="G132" s="95">
        <v>4</v>
      </c>
    </row>
    <row r="133" spans="6:7" x14ac:dyDescent="0.25">
      <c r="F133" s="94" t="s">
        <v>58</v>
      </c>
      <c r="G133" s="95">
        <v>3</v>
      </c>
    </row>
    <row r="134" spans="6:7" x14ac:dyDescent="0.25">
      <c r="F134" s="94" t="s">
        <v>59</v>
      </c>
      <c r="G134" s="95">
        <v>4</v>
      </c>
    </row>
    <row r="135" spans="6:7" x14ac:dyDescent="0.25">
      <c r="F135" s="94" t="s">
        <v>60</v>
      </c>
      <c r="G135" s="95">
        <v>3</v>
      </c>
    </row>
    <row r="136" spans="6:7" x14ac:dyDescent="0.25">
      <c r="F136" s="94" t="s">
        <v>61</v>
      </c>
      <c r="G136" s="95">
        <v>0</v>
      </c>
    </row>
    <row r="137" spans="6:7" x14ac:dyDescent="0.25">
      <c r="F137" s="94" t="s">
        <v>62</v>
      </c>
      <c r="G137" s="95">
        <v>4</v>
      </c>
    </row>
    <row r="138" spans="6:7" x14ac:dyDescent="0.25">
      <c r="F138" s="94" t="s">
        <v>63</v>
      </c>
      <c r="G138" s="95">
        <v>1</v>
      </c>
    </row>
    <row r="139" spans="6:7" x14ac:dyDescent="0.25">
      <c r="F139" s="94" t="s">
        <v>64</v>
      </c>
      <c r="G139" s="95">
        <v>0</v>
      </c>
    </row>
    <row r="140" spans="6:7" x14ac:dyDescent="0.25">
      <c r="F140" s="94" t="s">
        <v>65</v>
      </c>
      <c r="G140" s="95">
        <v>0</v>
      </c>
    </row>
    <row r="141" spans="6:7" x14ac:dyDescent="0.25">
      <c r="F141" s="94" t="s">
        <v>66</v>
      </c>
      <c r="G141" s="95">
        <v>4</v>
      </c>
    </row>
    <row r="142" spans="6:7" x14ac:dyDescent="0.25">
      <c r="F142" s="94" t="s">
        <v>67</v>
      </c>
      <c r="G142" s="95">
        <v>1</v>
      </c>
    </row>
    <row r="143" spans="6:7" x14ac:dyDescent="0.25">
      <c r="F143" s="94" t="s">
        <v>68</v>
      </c>
      <c r="G143" s="95">
        <v>0</v>
      </c>
    </row>
    <row r="144" spans="6:7" x14ac:dyDescent="0.25">
      <c r="F144" s="94" t="s">
        <v>69</v>
      </c>
      <c r="G144" s="95">
        <v>0</v>
      </c>
    </row>
    <row r="145" spans="6:7" x14ac:dyDescent="0.25">
      <c r="F145" s="94" t="s">
        <v>70</v>
      </c>
      <c r="G145" s="95">
        <v>1</v>
      </c>
    </row>
    <row r="146" spans="6:7" x14ac:dyDescent="0.25">
      <c r="F146" s="94" t="s">
        <v>71</v>
      </c>
      <c r="G146" s="95">
        <v>0</v>
      </c>
    </row>
    <row r="147" spans="6:7" x14ac:dyDescent="0.25">
      <c r="F147" s="94" t="s">
        <v>72</v>
      </c>
      <c r="G147" s="95">
        <v>2</v>
      </c>
    </row>
    <row r="148" spans="6:7" x14ac:dyDescent="0.25">
      <c r="F148" s="94" t="s">
        <v>73</v>
      </c>
      <c r="G148" s="95">
        <v>0</v>
      </c>
    </row>
    <row r="149" spans="6:7" x14ac:dyDescent="0.25">
      <c r="F149" s="94" t="s">
        <v>74</v>
      </c>
      <c r="G149" s="95">
        <v>0</v>
      </c>
    </row>
    <row r="150" spans="6:7" x14ac:dyDescent="0.25">
      <c r="F150" s="94" t="s">
        <v>75</v>
      </c>
      <c r="G150" s="95">
        <v>4</v>
      </c>
    </row>
    <row r="151" spans="6:7" x14ac:dyDescent="0.25">
      <c r="F151" s="94" t="s">
        <v>76</v>
      </c>
      <c r="G151" s="95">
        <v>0</v>
      </c>
    </row>
    <row r="152" spans="6:7" x14ac:dyDescent="0.25">
      <c r="F152" s="94" t="s">
        <v>77</v>
      </c>
      <c r="G152" s="95">
        <v>0</v>
      </c>
    </row>
    <row r="153" spans="6:7" x14ac:dyDescent="0.25">
      <c r="F153" s="94" t="s">
        <v>78</v>
      </c>
      <c r="G153" s="95">
        <v>4</v>
      </c>
    </row>
    <row r="154" spans="6:7" x14ac:dyDescent="0.25">
      <c r="F154" s="94" t="s">
        <v>79</v>
      </c>
      <c r="G154" s="95">
        <v>0</v>
      </c>
    </row>
    <row r="155" spans="6:7" x14ac:dyDescent="0.25">
      <c r="F155" s="94" t="s">
        <v>80</v>
      </c>
      <c r="G155" s="95">
        <v>0</v>
      </c>
    </row>
    <row r="156" spans="6:7" x14ac:dyDescent="0.25">
      <c r="F156" s="94" t="s">
        <v>81</v>
      </c>
      <c r="G156" s="95">
        <v>2</v>
      </c>
    </row>
    <row r="157" spans="6:7" x14ac:dyDescent="0.25">
      <c r="F157" s="94" t="s">
        <v>82</v>
      </c>
      <c r="G157" s="95">
        <v>0</v>
      </c>
    </row>
    <row r="158" spans="6:7" x14ac:dyDescent="0.25">
      <c r="F158" s="94" t="s">
        <v>83</v>
      </c>
      <c r="G158" s="95">
        <v>3</v>
      </c>
    </row>
    <row r="159" spans="6:7" x14ac:dyDescent="0.25">
      <c r="F159" s="94" t="s">
        <v>84</v>
      </c>
      <c r="G159" s="95">
        <v>2</v>
      </c>
    </row>
    <row r="160" spans="6:7" x14ac:dyDescent="0.25">
      <c r="F160" s="94" t="s">
        <v>85</v>
      </c>
      <c r="G160" s="95">
        <v>0</v>
      </c>
    </row>
    <row r="161" spans="6:7" x14ac:dyDescent="0.25">
      <c r="F161" s="94" t="s">
        <v>86</v>
      </c>
      <c r="G161" s="95">
        <v>4</v>
      </c>
    </row>
    <row r="162" spans="6:7" x14ac:dyDescent="0.25">
      <c r="F162" s="94" t="s">
        <v>87</v>
      </c>
      <c r="G162" s="95">
        <v>3</v>
      </c>
    </row>
    <row r="163" spans="6:7" x14ac:dyDescent="0.25">
      <c r="F163" s="94" t="s">
        <v>88</v>
      </c>
      <c r="G163" s="95">
        <v>4</v>
      </c>
    </row>
    <row r="164" spans="6:7" x14ac:dyDescent="0.25">
      <c r="F164" s="94" t="s">
        <v>89</v>
      </c>
      <c r="G164" s="95">
        <v>0</v>
      </c>
    </row>
    <row r="165" spans="6:7" x14ac:dyDescent="0.25">
      <c r="F165" s="94" t="s">
        <v>90</v>
      </c>
      <c r="G165" s="95">
        <v>1</v>
      </c>
    </row>
    <row r="166" spans="6:7" x14ac:dyDescent="0.25">
      <c r="F166" s="94" t="s">
        <v>91</v>
      </c>
      <c r="G166" s="95">
        <v>0</v>
      </c>
    </row>
    <row r="167" spans="6:7" x14ac:dyDescent="0.25">
      <c r="F167" s="94" t="s">
        <v>92</v>
      </c>
      <c r="G167" s="95">
        <v>0</v>
      </c>
    </row>
    <row r="168" spans="6:7" x14ac:dyDescent="0.25">
      <c r="F168" s="94" t="s">
        <v>93</v>
      </c>
      <c r="G168" s="95">
        <v>0</v>
      </c>
    </row>
    <row r="169" spans="6:7" x14ac:dyDescent="0.25">
      <c r="F169" s="94" t="s">
        <v>94</v>
      </c>
      <c r="G169" s="95">
        <v>4</v>
      </c>
    </row>
    <row r="170" spans="6:7" x14ac:dyDescent="0.25">
      <c r="F170" s="94" t="s">
        <v>95</v>
      </c>
      <c r="G170" s="95">
        <v>0</v>
      </c>
    </row>
    <row r="171" spans="6:7" x14ac:dyDescent="0.25">
      <c r="F171" s="94" t="s">
        <v>96</v>
      </c>
      <c r="G171" s="95">
        <v>0</v>
      </c>
    </row>
    <row r="172" spans="6:7" x14ac:dyDescent="0.25">
      <c r="F172" s="94" t="s">
        <v>97</v>
      </c>
      <c r="G172" s="95">
        <v>0</v>
      </c>
    </row>
    <row r="173" spans="6:7" x14ac:dyDescent="0.25">
      <c r="F173" s="94" t="s">
        <v>98</v>
      </c>
      <c r="G173" s="95">
        <v>0</v>
      </c>
    </row>
    <row r="174" spans="6:7" x14ac:dyDescent="0.25">
      <c r="F174" s="94" t="s">
        <v>99</v>
      </c>
      <c r="G174" s="95">
        <v>0</v>
      </c>
    </row>
    <row r="175" spans="6:7" x14ac:dyDescent="0.25">
      <c r="F175" s="94" t="s">
        <v>100</v>
      </c>
      <c r="G175" s="95">
        <v>3</v>
      </c>
    </row>
    <row r="176" spans="6:7" x14ac:dyDescent="0.25">
      <c r="F176" s="94" t="s">
        <v>101</v>
      </c>
      <c r="G176" s="95">
        <v>0</v>
      </c>
    </row>
    <row r="177" spans="6:7" x14ac:dyDescent="0.25">
      <c r="F177" s="94" t="s">
        <v>102</v>
      </c>
      <c r="G177" s="95">
        <v>4</v>
      </c>
    </row>
    <row r="178" spans="6:7" x14ac:dyDescent="0.25">
      <c r="F178" s="94" t="s">
        <v>103</v>
      </c>
      <c r="G178" s="95">
        <v>2</v>
      </c>
    </row>
    <row r="179" spans="6:7" x14ac:dyDescent="0.25">
      <c r="F179" s="94" t="s">
        <v>104</v>
      </c>
      <c r="G179" s="95">
        <v>0</v>
      </c>
    </row>
    <row r="180" spans="6:7" x14ac:dyDescent="0.25">
      <c r="F180" s="94" t="s">
        <v>105</v>
      </c>
      <c r="G180" s="95">
        <v>0</v>
      </c>
    </row>
    <row r="181" spans="6:7" x14ac:dyDescent="0.25">
      <c r="F181" s="94" t="s">
        <v>106</v>
      </c>
      <c r="G181" s="95">
        <v>0</v>
      </c>
    </row>
    <row r="182" spans="6:7" x14ac:dyDescent="0.25">
      <c r="F182" s="94" t="s">
        <v>276</v>
      </c>
      <c r="G182" s="95">
        <v>1.2181818181818183</v>
      </c>
    </row>
  </sheetData>
  <autoFilter ref="A2:P57"/>
  <mergeCells count="77">
    <mergeCell ref="J60:R60"/>
    <mergeCell ref="J63:R63"/>
    <mergeCell ref="J84:R84"/>
    <mergeCell ref="J109:R109"/>
    <mergeCell ref="J127:R127"/>
    <mergeCell ref="H20:H21"/>
    <mergeCell ref="H22:H23"/>
    <mergeCell ref="H24:H26"/>
    <mergeCell ref="H31:H32"/>
    <mergeCell ref="H4:H5"/>
    <mergeCell ref="H6:H7"/>
    <mergeCell ref="H9:H10"/>
    <mergeCell ref="H13:H14"/>
    <mergeCell ref="H16:H17"/>
    <mergeCell ref="H28:H29"/>
    <mergeCell ref="I3:I8"/>
    <mergeCell ref="I9:I18"/>
    <mergeCell ref="I19:I27"/>
    <mergeCell ref="I28:I33"/>
    <mergeCell ref="I34:I42"/>
    <mergeCell ref="M4:M5"/>
    <mergeCell ref="M6:M7"/>
    <mergeCell ref="M9:M10"/>
    <mergeCell ref="M13:M14"/>
    <mergeCell ref="M16:M17"/>
    <mergeCell ref="O3:O8"/>
    <mergeCell ref="O9:O18"/>
    <mergeCell ref="O19:O27"/>
    <mergeCell ref="O28:O33"/>
    <mergeCell ref="O34:O42"/>
    <mergeCell ref="M20:M21"/>
    <mergeCell ref="N38:N39"/>
    <mergeCell ref="N22:N23"/>
    <mergeCell ref="N24:N26"/>
    <mergeCell ref="N34:N37"/>
    <mergeCell ref="M22:M23"/>
    <mergeCell ref="M24:M26"/>
    <mergeCell ref="M31:M32"/>
    <mergeCell ref="M34:M37"/>
    <mergeCell ref="M38:M39"/>
    <mergeCell ref="N28:N29"/>
    <mergeCell ref="N31:N32"/>
    <mergeCell ref="N20:N21"/>
    <mergeCell ref="M28:M29"/>
    <mergeCell ref="N4:N5"/>
    <mergeCell ref="N6:N7"/>
    <mergeCell ref="N9:N10"/>
    <mergeCell ref="N13:N14"/>
    <mergeCell ref="N16:N17"/>
    <mergeCell ref="M52:M55"/>
    <mergeCell ref="H52:H55"/>
    <mergeCell ref="I43:I51"/>
    <mergeCell ref="I52:I57"/>
    <mergeCell ref="H34:H37"/>
    <mergeCell ref="H38:H39"/>
    <mergeCell ref="H40:H41"/>
    <mergeCell ref="H44:H45"/>
    <mergeCell ref="H46:H48"/>
    <mergeCell ref="H50:H51"/>
    <mergeCell ref="M40:M41"/>
    <mergeCell ref="M44:M45"/>
    <mergeCell ref="M46:M48"/>
    <mergeCell ref="M50:M51"/>
    <mergeCell ref="P3:P8"/>
    <mergeCell ref="P9:P18"/>
    <mergeCell ref="P19:P27"/>
    <mergeCell ref="P28:P33"/>
    <mergeCell ref="P34:P42"/>
    <mergeCell ref="P43:P51"/>
    <mergeCell ref="P52:P57"/>
    <mergeCell ref="N40:N41"/>
    <mergeCell ref="N44:N45"/>
    <mergeCell ref="N46:N48"/>
    <mergeCell ref="N50:N51"/>
    <mergeCell ref="N52:N55"/>
    <mergeCell ref="O43:O51"/>
    <mergeCell ref="O52:O57"/>
  </mergeCells>
  <pageMargins left="0.7" right="0.7" top="0.75" bottom="0.75" header="0.3" footer="0.3"/>
  <pageSetup paperSize="9" orientation="portrait" verticalDpi="0"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
  <sheetViews>
    <sheetView view="pageBreakPreview" topLeftCell="A13" zoomScaleNormal="100" zoomScaleSheetLayoutView="100" zoomScalePageLayoutView="80" workbookViewId="0">
      <selection activeCell="A17" sqref="A17:E17"/>
    </sheetView>
  </sheetViews>
  <sheetFormatPr defaultColWidth="9.140625" defaultRowHeight="18" x14ac:dyDescent="0.25"/>
  <cols>
    <col min="1" max="1" width="6" style="70" bestFit="1" customWidth="1"/>
    <col min="2" max="2" width="62.28515625" style="71" bestFit="1" customWidth="1"/>
    <col min="3" max="3" width="17.7109375" style="70" customWidth="1"/>
    <col min="4" max="4" width="23.140625" style="70" customWidth="1"/>
    <col min="5" max="5" width="17.28515625" style="70" customWidth="1"/>
    <col min="6" max="6" width="1.5703125" style="71" customWidth="1"/>
    <col min="7" max="7" width="20.28515625" style="71" hidden="1" customWidth="1"/>
    <col min="8" max="8" width="0" style="71" hidden="1" customWidth="1"/>
    <col min="9" max="9" width="14.42578125" style="71" hidden="1" customWidth="1"/>
    <col min="10" max="16384" width="9.140625" style="71"/>
  </cols>
  <sheetData>
    <row r="1" spans="1:9" ht="34.5" customHeight="1" x14ac:dyDescent="0.25">
      <c r="A1" s="136" t="s">
        <v>278</v>
      </c>
      <c r="B1" s="136"/>
      <c r="C1" s="136"/>
      <c r="D1" s="136"/>
      <c r="E1" s="136"/>
    </row>
    <row r="2" spans="1:9" ht="20.100000000000001" customHeight="1" x14ac:dyDescent="0.25">
      <c r="A2" s="137" t="s">
        <v>262</v>
      </c>
      <c r="B2" s="137"/>
      <c r="C2" s="137" t="str">
        <f>'Affiliated(55m)'!$J$2</f>
        <v>Institute
Name</v>
      </c>
      <c r="D2" s="137"/>
      <c r="E2" s="137"/>
    </row>
    <row r="3" spans="1:9" ht="20.100000000000001" customHeight="1" x14ac:dyDescent="0.25">
      <c r="A3" s="137" t="s">
        <v>263</v>
      </c>
      <c r="B3" s="137"/>
      <c r="C3" s="137" t="str">
        <f>'Affiliated(55m)'!K$1</f>
        <v>Affiliated</v>
      </c>
      <c r="D3" s="137"/>
      <c r="E3" s="137"/>
    </row>
    <row r="4" spans="1:9" ht="20.100000000000001" customHeight="1" x14ac:dyDescent="0.25">
      <c r="A4" s="134" t="s">
        <v>264</v>
      </c>
      <c r="B4" s="134"/>
      <c r="C4" s="135"/>
      <c r="D4" s="135"/>
      <c r="E4" s="135"/>
    </row>
    <row r="5" spans="1:9" s="70" customFormat="1" ht="96" customHeight="1" x14ac:dyDescent="0.25">
      <c r="A5" s="87" t="s">
        <v>220</v>
      </c>
      <c r="B5" s="87" t="s">
        <v>164</v>
      </c>
      <c r="C5" s="88" t="s">
        <v>187</v>
      </c>
      <c r="D5" s="88" t="s">
        <v>217</v>
      </c>
      <c r="E5" s="88" t="s">
        <v>274</v>
      </c>
      <c r="G5" s="89" t="s">
        <v>210</v>
      </c>
      <c r="H5" s="89" t="s">
        <v>211</v>
      </c>
      <c r="I5" s="90" t="s">
        <v>195</v>
      </c>
    </row>
    <row r="6" spans="1:9" s="91" customFormat="1" ht="50.1" customHeight="1" x14ac:dyDescent="0.25">
      <c r="A6" s="79">
        <v>1</v>
      </c>
      <c r="B6" s="80" t="s">
        <v>188</v>
      </c>
      <c r="C6" s="79">
        <v>100</v>
      </c>
      <c r="D6" s="79">
        <f>SUM('Affiliated(55m)'!M3:M8)</f>
        <v>80</v>
      </c>
      <c r="E6" s="81">
        <f>D6/C6</f>
        <v>0.8</v>
      </c>
      <c r="G6" s="79" t="s">
        <v>196</v>
      </c>
      <c r="H6" s="79" t="s">
        <v>197</v>
      </c>
      <c r="I6" s="79" t="s">
        <v>198</v>
      </c>
    </row>
    <row r="7" spans="1:9" s="91" customFormat="1" ht="50.1" customHeight="1" x14ac:dyDescent="0.25">
      <c r="A7" s="79">
        <v>2</v>
      </c>
      <c r="B7" s="80" t="s">
        <v>189</v>
      </c>
      <c r="C7" s="79">
        <v>350</v>
      </c>
      <c r="D7" s="79">
        <f>SUM('Affiliated(55m)'!M9:M18)</f>
        <v>585</v>
      </c>
      <c r="E7" s="81">
        <f t="shared" ref="E7:E12" si="0">D7/C7</f>
        <v>1.6714285714285715</v>
      </c>
      <c r="G7" s="79" t="s">
        <v>199</v>
      </c>
      <c r="H7" s="79" t="s">
        <v>206</v>
      </c>
      <c r="I7" s="79" t="s">
        <v>198</v>
      </c>
    </row>
    <row r="8" spans="1:9" s="91" customFormat="1" ht="50.1" customHeight="1" x14ac:dyDescent="0.25">
      <c r="A8" s="79">
        <v>3</v>
      </c>
      <c r="B8" s="80" t="s">
        <v>190</v>
      </c>
      <c r="C8" s="79">
        <v>110</v>
      </c>
      <c r="D8" s="79">
        <f>SUM('Affiliated(55m)'!M19:M27)</f>
        <v>115</v>
      </c>
      <c r="E8" s="81">
        <f t="shared" si="0"/>
        <v>1.0454545454545454</v>
      </c>
      <c r="G8" s="79" t="s">
        <v>200</v>
      </c>
      <c r="H8" s="79" t="s">
        <v>182</v>
      </c>
      <c r="I8" s="79" t="s">
        <v>198</v>
      </c>
    </row>
    <row r="9" spans="1:9" s="91" customFormat="1" ht="50.1" customHeight="1" x14ac:dyDescent="0.25">
      <c r="A9" s="79">
        <v>4</v>
      </c>
      <c r="B9" s="80" t="s">
        <v>191</v>
      </c>
      <c r="C9" s="79">
        <v>100</v>
      </c>
      <c r="D9" s="79">
        <f>SUM('Affiliated(55m)'!M28:M33)</f>
        <v>60</v>
      </c>
      <c r="E9" s="81">
        <f t="shared" si="0"/>
        <v>0.6</v>
      </c>
      <c r="G9" s="79" t="s">
        <v>201</v>
      </c>
      <c r="H9" s="79" t="s">
        <v>207</v>
      </c>
      <c r="I9" s="79" t="s">
        <v>198</v>
      </c>
    </row>
    <row r="10" spans="1:9" s="91" customFormat="1" ht="50.1" customHeight="1" x14ac:dyDescent="0.25">
      <c r="A10" s="79">
        <v>5</v>
      </c>
      <c r="B10" s="80" t="s">
        <v>192</v>
      </c>
      <c r="C10" s="79">
        <v>140</v>
      </c>
      <c r="D10" s="79">
        <f>SUM('Affiliated(55m)'!M34:M42)</f>
        <v>245</v>
      </c>
      <c r="E10" s="81">
        <f t="shared" si="0"/>
        <v>1.75</v>
      </c>
      <c r="G10" s="79" t="s">
        <v>202</v>
      </c>
      <c r="H10" s="79" t="s">
        <v>208</v>
      </c>
      <c r="I10" s="79" t="s">
        <v>198</v>
      </c>
    </row>
    <row r="11" spans="1:9" s="91" customFormat="1" ht="50.1" customHeight="1" x14ac:dyDescent="0.25">
      <c r="A11" s="79">
        <v>6</v>
      </c>
      <c r="B11" s="80" t="s">
        <v>193</v>
      </c>
      <c r="C11" s="79">
        <v>100</v>
      </c>
      <c r="D11" s="79">
        <f>SUM('Affiliated(55m)'!M43:M51)</f>
        <v>61</v>
      </c>
      <c r="E11" s="81">
        <f t="shared" si="0"/>
        <v>0.61</v>
      </c>
      <c r="G11" s="79" t="s">
        <v>203</v>
      </c>
      <c r="H11" s="79" t="s">
        <v>183</v>
      </c>
      <c r="I11" s="79" t="s">
        <v>198</v>
      </c>
    </row>
    <row r="12" spans="1:9" s="91" customFormat="1" ht="50.1" customHeight="1" x14ac:dyDescent="0.25">
      <c r="A12" s="79">
        <v>7</v>
      </c>
      <c r="B12" s="80" t="s">
        <v>194</v>
      </c>
      <c r="C12" s="79">
        <v>100</v>
      </c>
      <c r="D12" s="79">
        <v>400</v>
      </c>
      <c r="E12" s="81">
        <f t="shared" si="0"/>
        <v>4</v>
      </c>
      <c r="G12" s="79" t="s">
        <v>205</v>
      </c>
      <c r="H12" s="79" t="s">
        <v>185</v>
      </c>
      <c r="I12" s="79" t="s">
        <v>198</v>
      </c>
    </row>
    <row r="13" spans="1:9" ht="66" customHeight="1" x14ac:dyDescent="0.25">
      <c r="A13" s="139" t="s">
        <v>275</v>
      </c>
      <c r="B13" s="139"/>
      <c r="C13" s="82">
        <f>SUM(C6:C12)</f>
        <v>1000</v>
      </c>
      <c r="D13" s="108">
        <f>SUM(D6:D12)</f>
        <v>1546</v>
      </c>
      <c r="E13" s="81">
        <f>D13/C13</f>
        <v>1.546</v>
      </c>
      <c r="G13" s="67" t="s">
        <v>204</v>
      </c>
      <c r="H13" s="67" t="s">
        <v>184</v>
      </c>
      <c r="I13" s="67" t="s">
        <v>209</v>
      </c>
    </row>
    <row r="14" spans="1:9" s="84" customFormat="1" ht="24.75" customHeight="1" thickBot="1" x14ac:dyDescent="0.3">
      <c r="A14" s="83"/>
      <c r="C14" s="83"/>
      <c r="D14" s="83"/>
      <c r="E14" s="85"/>
    </row>
    <row r="15" spans="1:9" ht="73.5" customHeight="1" thickBot="1" x14ac:dyDescent="0.3">
      <c r="A15" s="140">
        <f>D13/C13</f>
        <v>1.546</v>
      </c>
      <c r="B15" s="141"/>
      <c r="C15" s="141"/>
      <c r="D15" s="141"/>
      <c r="E15" s="142"/>
    </row>
    <row r="16" spans="1:9" ht="18.75" thickBot="1" x14ac:dyDescent="0.3">
      <c r="D16" s="86"/>
      <c r="E16" s="83"/>
    </row>
    <row r="17" spans="1:5" ht="33.75" customHeight="1" thickBot="1" x14ac:dyDescent="0.3">
      <c r="A17" s="131" t="str">
        <f>IF(AND($A$15&lt;=4,$A$15&gt;=3.51),"A++",IF(AND($A$15&lt;=3.5,$A$15&gt;=3.26),"A+",IF(AND($A$15&lt;=3.25,$A$15&gt;3.01),"A",IF(AND($A$15&lt;=3,$A$15&gt;=2.76),"B++",IF(AND($A$15&lt;=2.75,$A$15&gt;=2.51),"B+",IF(AND($A$15&lt;=2.5,$A$15&gt;=2.01),"B",IF(AND($A$15&lt;=2,$A$15&gt;=1.51),"C","D")))))))</f>
        <v>C</v>
      </c>
      <c r="B17" s="132"/>
      <c r="C17" s="132"/>
      <c r="D17" s="132"/>
      <c r="E17" s="133"/>
    </row>
    <row r="18" spans="1:5" x14ac:dyDescent="0.25">
      <c r="D18" s="86"/>
      <c r="E18" s="83"/>
    </row>
    <row r="19" spans="1:5" ht="22.5" customHeight="1" x14ac:dyDescent="0.25">
      <c r="A19" s="143" t="s">
        <v>279</v>
      </c>
      <c r="B19" s="143"/>
      <c r="C19" s="143"/>
      <c r="D19" s="143"/>
      <c r="E19" s="143"/>
    </row>
    <row r="20" spans="1:5" ht="22.5" customHeight="1" x14ac:dyDescent="0.25">
      <c r="A20" s="137" t="s">
        <v>262</v>
      </c>
      <c r="B20" s="137"/>
      <c r="C20" s="137" t="str">
        <f>'Affiliated(55m)'!$J$2</f>
        <v>Institute
Name</v>
      </c>
      <c r="D20" s="137"/>
      <c r="E20" s="137"/>
    </row>
    <row r="21" spans="1:5" ht="22.5" customHeight="1" x14ac:dyDescent="0.25">
      <c r="A21" s="137" t="s">
        <v>263</v>
      </c>
      <c r="B21" s="137"/>
      <c r="C21" s="137" t="str">
        <f>'Affiliated(55m)'!$K$1</f>
        <v>Affiliated</v>
      </c>
      <c r="D21" s="137"/>
      <c r="E21" s="137"/>
    </row>
    <row r="22" spans="1:5" ht="22.5" customHeight="1" x14ac:dyDescent="0.25">
      <c r="A22" s="134" t="s">
        <v>264</v>
      </c>
      <c r="B22" s="134"/>
      <c r="C22" s="135"/>
      <c r="D22" s="135"/>
      <c r="E22" s="135"/>
    </row>
    <row r="23" spans="1:5" s="70" customFormat="1" ht="72" x14ac:dyDescent="0.25">
      <c r="A23" s="65" t="s">
        <v>220</v>
      </c>
      <c r="B23" s="65" t="s">
        <v>212</v>
      </c>
      <c r="C23" s="66" t="s">
        <v>266</v>
      </c>
      <c r="D23" s="144" t="s">
        <v>267</v>
      </c>
      <c r="E23" s="145"/>
    </row>
    <row r="24" spans="1:5" s="70" customFormat="1" ht="27.95" customHeight="1" x14ac:dyDescent="0.25">
      <c r="A24" s="138" t="s">
        <v>218</v>
      </c>
      <c r="B24" s="138"/>
      <c r="C24" s="138"/>
      <c r="D24" s="138"/>
      <c r="E24" s="138"/>
    </row>
    <row r="25" spans="1:5" ht="27" customHeight="1" x14ac:dyDescent="0.25">
      <c r="A25" s="67">
        <v>1.1000000000000001</v>
      </c>
      <c r="B25" s="92" t="s">
        <v>260</v>
      </c>
      <c r="C25" s="67">
        <v>20</v>
      </c>
      <c r="D25" s="146">
        <f>SUM('Affiliated(55m)'!M3)</f>
        <v>0</v>
      </c>
      <c r="E25" s="147"/>
    </row>
    <row r="26" spans="1:5" ht="27" customHeight="1" x14ac:dyDescent="0.25">
      <c r="A26" s="67">
        <v>1.2</v>
      </c>
      <c r="B26" s="92" t="s">
        <v>257</v>
      </c>
      <c r="C26" s="67">
        <v>30</v>
      </c>
      <c r="D26" s="146">
        <f>SUM('Affiliated(55m)'!M4:M5)</f>
        <v>0</v>
      </c>
      <c r="E26" s="147"/>
    </row>
    <row r="27" spans="1:5" ht="27" customHeight="1" x14ac:dyDescent="0.25">
      <c r="A27" s="67">
        <v>1.3</v>
      </c>
      <c r="B27" s="92" t="s">
        <v>258</v>
      </c>
      <c r="C27" s="67">
        <v>30</v>
      </c>
      <c r="D27" s="146">
        <f>SUM('Affiliated(55m)'!M6:M7)</f>
        <v>0</v>
      </c>
      <c r="E27" s="147"/>
    </row>
    <row r="28" spans="1:5" ht="27" customHeight="1" x14ac:dyDescent="0.25">
      <c r="A28" s="67">
        <v>1.4</v>
      </c>
      <c r="B28" s="92" t="s">
        <v>259</v>
      </c>
      <c r="C28" s="67">
        <v>20</v>
      </c>
      <c r="D28" s="146">
        <f>SUM('Affiliated(55m)'!M8)</f>
        <v>80</v>
      </c>
      <c r="E28" s="147"/>
    </row>
    <row r="29" spans="1:5" ht="30" customHeight="1" thickBot="1" x14ac:dyDescent="0.3">
      <c r="A29" s="148" t="s">
        <v>275</v>
      </c>
      <c r="B29" s="149"/>
      <c r="C29" s="115">
        <f>SUM(C25:C28)</f>
        <v>100</v>
      </c>
      <c r="D29" s="150">
        <f>SUM(D25:D28)</f>
        <v>80</v>
      </c>
      <c r="E29" s="151"/>
    </row>
    <row r="30" spans="1:5" ht="27.95" hidden="1" customHeight="1" thickBot="1" x14ac:dyDescent="0.3">
      <c r="D30" s="72" t="s">
        <v>166</v>
      </c>
      <c r="E30" s="73" t="str">
        <f>IF(AND($E$29&lt;=4,$E$29&gt;=3.51),"A++",IF(AND($E$29&lt;=3.5,$E$29&gt;=3.26),"A+",IF(AND($E$29&lt;=3.25,$E$29&gt;3.01),"A",IF(AND($E$29&lt;=3,$E$29&gt;=2.76),"B++",IF(AND($E$29&lt;=2.75,$E$29&gt;=2.51),"B+",IF(AND($E$29&lt;=2.5,$E$29&gt;=2.01),"B",IF(AND($E$29&lt;=2,$E$29&gt;=1.51),"C","D")))))))</f>
        <v>D</v>
      </c>
    </row>
    <row r="31" spans="1:5" ht="30.75" customHeight="1" thickBot="1" x14ac:dyDescent="0.3">
      <c r="A31" s="140">
        <f>80/70</f>
        <v>1.1428571428571428</v>
      </c>
      <c r="B31" s="141"/>
      <c r="C31" s="141"/>
      <c r="D31" s="141"/>
      <c r="E31" s="142"/>
    </row>
    <row r="32" spans="1:5" ht="27.95" customHeight="1" x14ac:dyDescent="0.25">
      <c r="A32" s="152" t="s">
        <v>219</v>
      </c>
      <c r="B32" s="152"/>
      <c r="C32" s="152"/>
      <c r="D32" s="152"/>
      <c r="E32" s="152"/>
    </row>
    <row r="33" spans="1:5" ht="27" customHeight="1" x14ac:dyDescent="0.25">
      <c r="A33" s="67">
        <v>2.1</v>
      </c>
      <c r="B33" s="68" t="s">
        <v>225</v>
      </c>
      <c r="C33" s="67">
        <v>40</v>
      </c>
      <c r="D33" s="146">
        <f>SUM('Affiliated(55m)'!M9:M10)</f>
        <v>140</v>
      </c>
      <c r="E33" s="147"/>
    </row>
    <row r="34" spans="1:5" ht="27" customHeight="1" x14ac:dyDescent="0.25">
      <c r="A34" s="67">
        <v>2.2000000000000002</v>
      </c>
      <c r="B34" s="68" t="s">
        <v>226</v>
      </c>
      <c r="C34" s="67">
        <v>40</v>
      </c>
      <c r="D34" s="146">
        <f>SUM('Affiliated(55m)'!M11)</f>
        <v>120</v>
      </c>
      <c r="E34" s="147"/>
    </row>
    <row r="35" spans="1:5" ht="27" customHeight="1" x14ac:dyDescent="0.25">
      <c r="A35" s="67">
        <v>2.2999999999999998</v>
      </c>
      <c r="B35" s="68" t="s">
        <v>227</v>
      </c>
      <c r="C35" s="67">
        <v>40</v>
      </c>
      <c r="D35" s="146">
        <f>SUM('Affiliated(55m)'!M12)</f>
        <v>0</v>
      </c>
      <c r="E35" s="147"/>
    </row>
    <row r="36" spans="1:5" ht="27" customHeight="1" x14ac:dyDescent="0.25">
      <c r="A36" s="67">
        <v>2.4</v>
      </c>
      <c r="B36" s="68" t="s">
        <v>221</v>
      </c>
      <c r="C36" s="67">
        <v>40</v>
      </c>
      <c r="D36" s="146">
        <f>SUM('Affiliated(55m)'!M13:M14)</f>
        <v>85</v>
      </c>
      <c r="E36" s="147"/>
    </row>
    <row r="37" spans="1:5" ht="27" customHeight="1" x14ac:dyDescent="0.25">
      <c r="A37" s="67">
        <v>2.5</v>
      </c>
      <c r="B37" s="68" t="s">
        <v>222</v>
      </c>
      <c r="C37" s="67">
        <v>40</v>
      </c>
      <c r="D37" s="146">
        <f>SUM('Affiliated(55m)'!M15)</f>
        <v>0</v>
      </c>
      <c r="E37" s="147"/>
    </row>
    <row r="38" spans="1:5" ht="27" customHeight="1" x14ac:dyDescent="0.25">
      <c r="A38" s="67">
        <v>2.6</v>
      </c>
      <c r="B38" s="68" t="s">
        <v>223</v>
      </c>
      <c r="C38" s="67">
        <v>90</v>
      </c>
      <c r="D38" s="146">
        <f>SUM('Affiliated(55m)'!M16:M17)</f>
        <v>180</v>
      </c>
      <c r="E38" s="147"/>
    </row>
    <row r="39" spans="1:5" ht="27" customHeight="1" x14ac:dyDescent="0.25">
      <c r="A39" s="67">
        <v>2.7</v>
      </c>
      <c r="B39" s="68" t="s">
        <v>224</v>
      </c>
      <c r="C39" s="67">
        <v>60</v>
      </c>
      <c r="D39" s="146">
        <f>SUM('Affiliated(55m)'!M18)</f>
        <v>60</v>
      </c>
      <c r="E39" s="147"/>
    </row>
    <row r="40" spans="1:5" ht="29.25" customHeight="1" x14ac:dyDescent="0.25">
      <c r="A40" s="154" t="s">
        <v>275</v>
      </c>
      <c r="B40" s="154"/>
      <c r="C40" s="115">
        <f>SUM(C33:C39)</f>
        <v>350</v>
      </c>
      <c r="D40" s="138">
        <f>SUM(D33:D39)</f>
        <v>585</v>
      </c>
      <c r="E40" s="138"/>
    </row>
    <row r="41" spans="1:5" ht="33.75" customHeight="1" x14ac:dyDescent="0.25">
      <c r="A41" s="155">
        <f>D40/C40</f>
        <v>1.6714285714285715</v>
      </c>
      <c r="B41" s="155"/>
      <c r="C41" s="155"/>
      <c r="D41" s="155"/>
      <c r="E41" s="155"/>
    </row>
    <row r="42" spans="1:5" ht="27.95" customHeight="1" x14ac:dyDescent="0.25">
      <c r="A42" s="138" t="s">
        <v>228</v>
      </c>
      <c r="B42" s="138"/>
      <c r="C42" s="138"/>
      <c r="D42" s="138"/>
      <c r="E42" s="138"/>
    </row>
    <row r="43" spans="1:5" ht="27" customHeight="1" x14ac:dyDescent="0.25">
      <c r="A43" s="67">
        <v>3.1</v>
      </c>
      <c r="B43" s="68" t="s">
        <v>229</v>
      </c>
      <c r="C43" s="67">
        <v>10</v>
      </c>
      <c r="D43" s="146">
        <f>SUM('Affiliated(55m)'!M19)</f>
        <v>0</v>
      </c>
      <c r="E43" s="147"/>
    </row>
    <row r="44" spans="1:5" ht="27" customHeight="1" x14ac:dyDescent="0.25">
      <c r="A44" s="67">
        <v>3.2</v>
      </c>
      <c r="B44" s="68" t="s">
        <v>230</v>
      </c>
      <c r="C44" s="67">
        <v>15</v>
      </c>
      <c r="D44" s="146">
        <f>SUM('Affiliated(55m)'!M20:M21)</f>
        <v>5</v>
      </c>
      <c r="E44" s="147"/>
    </row>
    <row r="45" spans="1:5" ht="27" customHeight="1" x14ac:dyDescent="0.25">
      <c r="A45" s="67">
        <v>3.3</v>
      </c>
      <c r="B45" s="68" t="s">
        <v>231</v>
      </c>
      <c r="C45" s="67">
        <v>25</v>
      </c>
      <c r="D45" s="146">
        <f>SUM('Affiliated(55m)'!M22:M23)</f>
        <v>30</v>
      </c>
      <c r="E45" s="147"/>
    </row>
    <row r="46" spans="1:5" ht="27" customHeight="1" x14ac:dyDescent="0.25">
      <c r="A46" s="67">
        <v>3.4</v>
      </c>
      <c r="B46" s="68" t="s">
        <v>232</v>
      </c>
      <c r="C46" s="67">
        <v>40</v>
      </c>
      <c r="D46" s="146">
        <f>SUM('Affiliated(55m)'!M24:M26)</f>
        <v>80</v>
      </c>
      <c r="E46" s="147"/>
    </row>
    <row r="47" spans="1:5" ht="27" customHeight="1" x14ac:dyDescent="0.25">
      <c r="A47" s="67">
        <v>3.5</v>
      </c>
      <c r="B47" s="68" t="s">
        <v>233</v>
      </c>
      <c r="C47" s="67">
        <v>20</v>
      </c>
      <c r="D47" s="146">
        <f>SUM('Affiliated(55m)'!M27)</f>
        <v>0</v>
      </c>
      <c r="E47" s="147"/>
    </row>
    <row r="48" spans="1:5" ht="30" customHeight="1" x14ac:dyDescent="0.25">
      <c r="A48" s="154" t="s">
        <v>275</v>
      </c>
      <c r="B48" s="154"/>
      <c r="C48" s="115">
        <f>SUM(C43:C47)</f>
        <v>110</v>
      </c>
      <c r="D48" s="138">
        <f>SUM(D43:D47)</f>
        <v>115</v>
      </c>
      <c r="E48" s="138"/>
    </row>
    <row r="49" spans="1:5" ht="34.5" customHeight="1" x14ac:dyDescent="0.25">
      <c r="A49" s="153">
        <f>D48/C48</f>
        <v>1.0454545454545454</v>
      </c>
      <c r="B49" s="153"/>
      <c r="C49" s="153"/>
      <c r="D49" s="153"/>
      <c r="E49" s="153"/>
    </row>
    <row r="50" spans="1:5" ht="27.95" customHeight="1" x14ac:dyDescent="0.25">
      <c r="A50" s="138" t="s">
        <v>234</v>
      </c>
      <c r="B50" s="138"/>
      <c r="C50" s="138"/>
      <c r="D50" s="138"/>
      <c r="E50" s="138"/>
    </row>
    <row r="51" spans="1:5" ht="27" customHeight="1" x14ac:dyDescent="0.25">
      <c r="A51" s="67">
        <v>4.0999999999999996</v>
      </c>
      <c r="B51" s="68" t="s">
        <v>235</v>
      </c>
      <c r="C51" s="67">
        <v>30</v>
      </c>
      <c r="D51" s="146">
        <f>SUM('Affiliated(55m)'!M28:M29)</f>
        <v>40</v>
      </c>
      <c r="E51" s="147"/>
    </row>
    <row r="52" spans="1:5" ht="27" customHeight="1" x14ac:dyDescent="0.25">
      <c r="A52" s="67">
        <v>4.2</v>
      </c>
      <c r="B52" s="68" t="s">
        <v>236</v>
      </c>
      <c r="C52" s="67">
        <v>20</v>
      </c>
      <c r="D52" s="146">
        <f>SUM('Affiliated(55m)'!M30)</f>
        <v>0</v>
      </c>
      <c r="E52" s="147"/>
    </row>
    <row r="53" spans="1:5" ht="27" customHeight="1" x14ac:dyDescent="0.25">
      <c r="A53" s="67">
        <v>4.3</v>
      </c>
      <c r="B53" s="68" t="s">
        <v>237</v>
      </c>
      <c r="C53" s="67">
        <v>30</v>
      </c>
      <c r="D53" s="146">
        <f>SUM('Affiliated(55m)'!M31:M32)</f>
        <v>20</v>
      </c>
      <c r="E53" s="147"/>
    </row>
    <row r="54" spans="1:5" ht="27" customHeight="1" x14ac:dyDescent="0.25">
      <c r="A54" s="67">
        <v>4.4000000000000004</v>
      </c>
      <c r="B54" s="68" t="s">
        <v>238</v>
      </c>
      <c r="C54" s="67">
        <v>20</v>
      </c>
      <c r="D54" s="146">
        <f>SUM('Affiliated(55m)'!M33)</f>
        <v>0</v>
      </c>
      <c r="E54" s="147"/>
    </row>
    <row r="55" spans="1:5" ht="27.95" customHeight="1" thickBot="1" x14ac:dyDescent="0.3">
      <c r="A55" s="148" t="s">
        <v>275</v>
      </c>
      <c r="B55" s="149"/>
      <c r="C55" s="110">
        <f>SUM(C51:C54)</f>
        <v>100</v>
      </c>
      <c r="D55" s="150">
        <f>SUM(D51:D54)</f>
        <v>60</v>
      </c>
      <c r="E55" s="151"/>
    </row>
    <row r="56" spans="1:5" ht="37.5" customHeight="1" x14ac:dyDescent="0.25">
      <c r="A56" s="135">
        <f>D55/C55</f>
        <v>0.6</v>
      </c>
      <c r="B56" s="135"/>
      <c r="C56" s="135"/>
      <c r="D56" s="135"/>
      <c r="E56" s="135"/>
    </row>
    <row r="57" spans="1:5" ht="27.95" customHeight="1" x14ac:dyDescent="0.25">
      <c r="A57" s="138" t="s">
        <v>239</v>
      </c>
      <c r="B57" s="138"/>
      <c r="C57" s="138"/>
      <c r="D57" s="138"/>
      <c r="E57" s="138"/>
    </row>
    <row r="58" spans="1:5" ht="27.95" customHeight="1" x14ac:dyDescent="0.25">
      <c r="A58" s="67">
        <v>5.0999999999999996</v>
      </c>
      <c r="B58" s="68" t="s">
        <v>240</v>
      </c>
      <c r="C58" s="67">
        <v>50</v>
      </c>
      <c r="D58" s="146">
        <f>SUM('Affiliated(55m)'!M34:M37)</f>
        <v>120</v>
      </c>
      <c r="E58" s="147"/>
    </row>
    <row r="59" spans="1:5" ht="27.95" customHeight="1" x14ac:dyDescent="0.25">
      <c r="A59" s="67">
        <v>5.2</v>
      </c>
      <c r="B59" s="68" t="s">
        <v>241</v>
      </c>
      <c r="C59" s="67">
        <v>30</v>
      </c>
      <c r="D59" s="146">
        <f>SUM('Affiliated(55m)'!M38:M39)</f>
        <v>100</v>
      </c>
      <c r="E59" s="147"/>
    </row>
    <row r="60" spans="1:5" ht="27.95" customHeight="1" x14ac:dyDescent="0.25">
      <c r="A60" s="67">
        <v>5.3</v>
      </c>
      <c r="B60" s="68" t="s">
        <v>242</v>
      </c>
      <c r="C60" s="67">
        <v>50</v>
      </c>
      <c r="D60" s="146">
        <f>SUM('Affiliated(55m)'!M40:M41)</f>
        <v>25</v>
      </c>
      <c r="E60" s="147"/>
    </row>
    <row r="61" spans="1:5" ht="27.95" customHeight="1" x14ac:dyDescent="0.25">
      <c r="A61" s="67">
        <v>5.4</v>
      </c>
      <c r="B61" s="68" t="s">
        <v>243</v>
      </c>
      <c r="C61" s="67">
        <v>10</v>
      </c>
      <c r="D61" s="146">
        <f>SUM('Affiliated(55m)'!M42)</f>
        <v>0</v>
      </c>
      <c r="E61" s="147"/>
    </row>
    <row r="62" spans="1:5" ht="30" customHeight="1" x14ac:dyDescent="0.25">
      <c r="A62" s="148" t="s">
        <v>275</v>
      </c>
      <c r="B62" s="149"/>
      <c r="C62" s="112">
        <f>SUM(C58:C61)</f>
        <v>140</v>
      </c>
      <c r="D62" s="156">
        <f>SUM(D58:D61)</f>
        <v>245</v>
      </c>
      <c r="E62" s="157"/>
    </row>
    <row r="63" spans="1:5" ht="35.25" customHeight="1" x14ac:dyDescent="0.25">
      <c r="A63" s="158">
        <f>D62/C62</f>
        <v>1.75</v>
      </c>
      <c r="B63" s="158"/>
      <c r="C63" s="158"/>
      <c r="D63" s="158"/>
      <c r="E63" s="158"/>
    </row>
    <row r="64" spans="1:5" ht="27.95" customHeight="1" x14ac:dyDescent="0.25">
      <c r="A64" s="138" t="s">
        <v>244</v>
      </c>
      <c r="B64" s="138"/>
      <c r="C64" s="138"/>
      <c r="D64" s="138"/>
      <c r="E64" s="138"/>
    </row>
    <row r="65" spans="1:5" ht="27.95" customHeight="1" x14ac:dyDescent="0.25">
      <c r="A65" s="67">
        <v>6.1</v>
      </c>
      <c r="B65" s="92" t="s">
        <v>245</v>
      </c>
      <c r="C65" s="67">
        <v>10</v>
      </c>
      <c r="D65" s="146">
        <f>SUM('Affiliated(55m)'!M43)</f>
        <v>0</v>
      </c>
      <c r="E65" s="147"/>
    </row>
    <row r="66" spans="1:5" ht="27.95" customHeight="1" x14ac:dyDescent="0.25">
      <c r="A66" s="67">
        <v>6.2</v>
      </c>
      <c r="B66" s="92" t="s">
        <v>246</v>
      </c>
      <c r="C66" s="67">
        <v>10</v>
      </c>
      <c r="D66" s="146">
        <f>SUM('Affiliated(55m)'!M44:M45)</f>
        <v>16</v>
      </c>
      <c r="E66" s="147"/>
    </row>
    <row r="67" spans="1:5" ht="27.95" customHeight="1" x14ac:dyDescent="0.25">
      <c r="A67" s="67">
        <v>6.3</v>
      </c>
      <c r="B67" s="92" t="s">
        <v>247</v>
      </c>
      <c r="C67" s="67">
        <v>35</v>
      </c>
      <c r="D67" s="146">
        <f>SUM('Affiliated(55m)'!M46:M48)</f>
        <v>0</v>
      </c>
      <c r="E67" s="147"/>
    </row>
    <row r="68" spans="1:5" ht="27.95" customHeight="1" x14ac:dyDescent="0.25">
      <c r="A68" s="67">
        <v>6.4</v>
      </c>
      <c r="B68" s="92" t="s">
        <v>248</v>
      </c>
      <c r="C68" s="67">
        <v>15</v>
      </c>
      <c r="D68" s="146">
        <f>SUM('Affiliated(55m)'!M49)</f>
        <v>0</v>
      </c>
      <c r="E68" s="147"/>
    </row>
    <row r="69" spans="1:5" ht="27.95" customHeight="1" x14ac:dyDescent="0.25">
      <c r="A69" s="67">
        <v>6.5</v>
      </c>
      <c r="B69" s="92" t="s">
        <v>249</v>
      </c>
      <c r="C69" s="67">
        <v>30</v>
      </c>
      <c r="D69" s="146">
        <f>SUM('Affiliated(55m)'!M50:M51)</f>
        <v>45</v>
      </c>
      <c r="E69" s="147"/>
    </row>
    <row r="70" spans="1:5" ht="31.5" customHeight="1" thickBot="1" x14ac:dyDescent="0.3">
      <c r="A70" s="159" t="s">
        <v>275</v>
      </c>
      <c r="B70" s="160"/>
      <c r="C70" s="113">
        <f>SUM(C65:C69)</f>
        <v>100</v>
      </c>
      <c r="D70" s="161">
        <f>SUM(D65:D69)</f>
        <v>61</v>
      </c>
      <c r="E70" s="162"/>
    </row>
    <row r="71" spans="1:5" ht="34.5" customHeight="1" thickBot="1" x14ac:dyDescent="0.3">
      <c r="A71" s="140">
        <f>D70/C70</f>
        <v>0.61</v>
      </c>
      <c r="B71" s="141"/>
      <c r="C71" s="141"/>
      <c r="D71" s="141"/>
      <c r="E71" s="142"/>
    </row>
    <row r="72" spans="1:5" ht="27.95" customHeight="1" x14ac:dyDescent="0.25">
      <c r="A72" s="138" t="s">
        <v>250</v>
      </c>
      <c r="B72" s="138"/>
      <c r="C72" s="138"/>
      <c r="D72" s="138"/>
      <c r="E72" s="138"/>
    </row>
    <row r="73" spans="1:5" ht="27.95" customHeight="1" x14ac:dyDescent="0.25">
      <c r="A73" s="92">
        <v>7.1</v>
      </c>
      <c r="B73" s="92" t="s">
        <v>251</v>
      </c>
      <c r="C73" s="67">
        <v>50</v>
      </c>
      <c r="D73" s="146">
        <f>SUM('Qn (34m)'!M35:M36)</f>
        <v>100</v>
      </c>
      <c r="E73" s="147"/>
    </row>
    <row r="74" spans="1:5" ht="27.95" customHeight="1" x14ac:dyDescent="0.25">
      <c r="A74" s="92">
        <v>7.2</v>
      </c>
      <c r="B74" s="92" t="s">
        <v>186</v>
      </c>
      <c r="C74" s="67">
        <v>30</v>
      </c>
      <c r="D74" s="146">
        <f>SUM('Qn (34m)'!M36:M37)</f>
        <v>0</v>
      </c>
      <c r="E74" s="147"/>
    </row>
    <row r="75" spans="1:5" ht="27.95" customHeight="1" x14ac:dyDescent="0.25">
      <c r="A75" s="92">
        <v>7.3</v>
      </c>
      <c r="B75" s="92" t="s">
        <v>252</v>
      </c>
      <c r="C75" s="67">
        <v>20</v>
      </c>
      <c r="D75" s="146">
        <f>SUM('Qn (34m)'!M37:M39)</f>
        <v>0</v>
      </c>
      <c r="E75" s="147"/>
    </row>
    <row r="76" spans="1:5" ht="29.25" customHeight="1" x14ac:dyDescent="0.25">
      <c r="A76" s="148" t="s">
        <v>275</v>
      </c>
      <c r="B76" s="149"/>
      <c r="C76" s="114">
        <f>SUM(C73:C75)</f>
        <v>100</v>
      </c>
      <c r="D76" s="156">
        <f>SUM(D73:D75)</f>
        <v>100</v>
      </c>
      <c r="E76" s="157"/>
    </row>
    <row r="77" spans="1:5" ht="34.5" customHeight="1" x14ac:dyDescent="0.25">
      <c r="A77" s="153">
        <f>D76/C76</f>
        <v>1</v>
      </c>
      <c r="B77" s="153"/>
      <c r="C77" s="153"/>
      <c r="D77" s="153"/>
      <c r="E77" s="153"/>
    </row>
    <row r="78" spans="1:5" ht="27.95" customHeight="1" thickBot="1" x14ac:dyDescent="0.3">
      <c r="A78" s="163" t="s">
        <v>276</v>
      </c>
      <c r="B78" s="164"/>
      <c r="C78" s="111">
        <f>SUM(C29,C40,C48,C55,C62,C70,C76)</f>
        <v>1000</v>
      </c>
      <c r="D78" s="165">
        <f>SUM(D29,D40,D48,D55,D62,D70,D76)</f>
        <v>1246</v>
      </c>
      <c r="E78" s="166"/>
    </row>
    <row r="79" spans="1:5" ht="71.25" customHeight="1" thickBot="1" x14ac:dyDescent="0.3">
      <c r="A79" s="140">
        <f>D78/C78</f>
        <v>1.246</v>
      </c>
      <c r="B79" s="141"/>
      <c r="C79" s="141"/>
      <c r="D79" s="141"/>
      <c r="E79" s="142"/>
    </row>
    <row r="80" spans="1:5" ht="35.25" customHeight="1" thickBot="1" x14ac:dyDescent="0.3">
      <c r="A80" s="131" t="str">
        <f>IF(AND($J$98&lt;=4,$J$98&gt;=3.51),"A++",IF(AND($J$98&lt;=3.5,$J$98&gt;=3.26),"A+",IF(AND($J$98&lt;=3.25,$J$98&gt;3.01),"A",IF(AND($J$98&lt;=3,$J$98&gt;=2.76),"B++",IF(AND($J$98&lt;=2.75,$J$98&gt;=2.51),"B+",IF(AND($J$98&lt;=2.5,$J$98&gt;=2.01),"B",IF(AND($J$98&lt;=2,$J$98&gt;=1.51),"C","D")))))))</f>
        <v>D</v>
      </c>
      <c r="B80" s="132"/>
      <c r="C80" s="132"/>
      <c r="D80" s="132"/>
      <c r="E80" s="133"/>
    </row>
    <row r="98" spans="10:10" x14ac:dyDescent="0.25">
      <c r="J98" s="71">
        <f>D78/C78</f>
        <v>1.246</v>
      </c>
    </row>
  </sheetData>
  <mergeCells count="82">
    <mergeCell ref="A78:B78"/>
    <mergeCell ref="D78:E78"/>
    <mergeCell ref="A79:E79"/>
    <mergeCell ref="D26:E26"/>
    <mergeCell ref="D35:E35"/>
    <mergeCell ref="D37:E37"/>
    <mergeCell ref="D52:E52"/>
    <mergeCell ref="D61:E61"/>
    <mergeCell ref="D65:E65"/>
    <mergeCell ref="D68:E68"/>
    <mergeCell ref="A71:E71"/>
    <mergeCell ref="A72:E72"/>
    <mergeCell ref="D73:E73"/>
    <mergeCell ref="A76:B76"/>
    <mergeCell ref="D76:E76"/>
    <mergeCell ref="A77:E77"/>
    <mergeCell ref="D74:E74"/>
    <mergeCell ref="D75:E75"/>
    <mergeCell ref="A63:E63"/>
    <mergeCell ref="A64:E64"/>
    <mergeCell ref="D66:E66"/>
    <mergeCell ref="D67:E67"/>
    <mergeCell ref="D69:E69"/>
    <mergeCell ref="A70:B70"/>
    <mergeCell ref="D70:E70"/>
    <mergeCell ref="A62:B62"/>
    <mergeCell ref="D62:E62"/>
    <mergeCell ref="A50:E50"/>
    <mergeCell ref="D51:E51"/>
    <mergeCell ref="D53:E53"/>
    <mergeCell ref="D54:E54"/>
    <mergeCell ref="A55:B55"/>
    <mergeCell ref="D55:E55"/>
    <mergeCell ref="A56:E56"/>
    <mergeCell ref="A57:E57"/>
    <mergeCell ref="D58:E58"/>
    <mergeCell ref="D59:E59"/>
    <mergeCell ref="D60:E60"/>
    <mergeCell ref="A49:E49"/>
    <mergeCell ref="A40:B40"/>
    <mergeCell ref="D40:E40"/>
    <mergeCell ref="A41:E41"/>
    <mergeCell ref="A42:E42"/>
    <mergeCell ref="D43:E43"/>
    <mergeCell ref="D44:E44"/>
    <mergeCell ref="D45:E45"/>
    <mergeCell ref="D46:E46"/>
    <mergeCell ref="D47:E47"/>
    <mergeCell ref="A48:B48"/>
    <mergeCell ref="D48:E48"/>
    <mergeCell ref="C21:E21"/>
    <mergeCell ref="A22:B22"/>
    <mergeCell ref="C22:E22"/>
    <mergeCell ref="D23:E23"/>
    <mergeCell ref="D39:E39"/>
    <mergeCell ref="D25:E25"/>
    <mergeCell ref="D27:E27"/>
    <mergeCell ref="D28:E28"/>
    <mergeCell ref="A29:B29"/>
    <mergeCell ref="D29:E29"/>
    <mergeCell ref="A31:E31"/>
    <mergeCell ref="A32:E32"/>
    <mergeCell ref="D33:E33"/>
    <mergeCell ref="D34:E34"/>
    <mergeCell ref="D36:E36"/>
    <mergeCell ref="D38:E38"/>
    <mergeCell ref="A80:E80"/>
    <mergeCell ref="A4:B4"/>
    <mergeCell ref="C4:E4"/>
    <mergeCell ref="A1:E1"/>
    <mergeCell ref="A2:B2"/>
    <mergeCell ref="C2:E2"/>
    <mergeCell ref="A3:B3"/>
    <mergeCell ref="C3:E3"/>
    <mergeCell ref="A24:E24"/>
    <mergeCell ref="A13:B13"/>
    <mergeCell ref="A15:E15"/>
    <mergeCell ref="A17:E17"/>
    <mergeCell ref="A19:E19"/>
    <mergeCell ref="A20:B20"/>
    <mergeCell ref="C20:E20"/>
    <mergeCell ref="A21:B21"/>
  </mergeCells>
  <printOptions horizontalCentered="1"/>
  <pageMargins left="0.19685039370078741" right="0.19685039370078741" top="0.70866141732283472" bottom="0.39370078740157483" header="0.31496062992125984" footer="0.31496062992125984"/>
  <pageSetup paperSize="9" scale="69" fitToHeight="0" orientation="portrait" r:id="rId1"/>
  <headerFooter>
    <oddHeader>&amp;C
&amp;G</oddHeader>
  </headerFooter>
  <rowBreaks count="2" manualBreakCount="2">
    <brk id="18" max="16383" man="1"/>
    <brk id="56" max="16383" man="1"/>
  </rowBreaks>
  <colBreaks count="1" manualBreakCount="1">
    <brk id="5" max="1048575" man="1"/>
  </col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I69"/>
  <sheetViews>
    <sheetView view="pageBreakPreview" topLeftCell="A52" zoomScaleNormal="100" zoomScaleSheetLayoutView="100" workbookViewId="0">
      <selection activeCell="A65" sqref="A65:C67"/>
    </sheetView>
  </sheetViews>
  <sheetFormatPr defaultRowHeight="15" x14ac:dyDescent="0.25"/>
  <cols>
    <col min="1" max="1" width="4" style="7" bestFit="1" customWidth="1"/>
    <col min="2" max="2" width="46" bestFit="1" customWidth="1"/>
    <col min="3" max="3" width="10.5703125" style="7" bestFit="1" customWidth="1"/>
    <col min="4" max="4" width="15.28515625" style="7" bestFit="1" customWidth="1"/>
    <col min="5" max="5" width="17.42578125" style="7" bestFit="1" customWidth="1"/>
    <col min="6" max="6" width="1.5703125" customWidth="1"/>
    <col min="7" max="7" width="20.28515625" bestFit="1" customWidth="1"/>
    <col min="9" max="9" width="14.42578125" bestFit="1" customWidth="1"/>
  </cols>
  <sheetData>
    <row r="5" spans="1:9" s="1" customFormat="1" ht="60" x14ac:dyDescent="0.25">
      <c r="A5" s="28" t="s">
        <v>220</v>
      </c>
      <c r="B5" s="28" t="s">
        <v>164</v>
      </c>
      <c r="C5" s="29" t="s">
        <v>187</v>
      </c>
      <c r="D5" s="29" t="s">
        <v>217</v>
      </c>
      <c r="E5" s="29" t="s">
        <v>216</v>
      </c>
      <c r="G5" s="26" t="s">
        <v>210</v>
      </c>
      <c r="H5" s="26" t="s">
        <v>211</v>
      </c>
      <c r="I5" s="27" t="s">
        <v>195</v>
      </c>
    </row>
    <row r="6" spans="1:9" x14ac:dyDescent="0.25">
      <c r="A6" s="20">
        <v>1</v>
      </c>
      <c r="B6" s="12" t="s">
        <v>188</v>
      </c>
      <c r="C6" s="20">
        <v>100</v>
      </c>
      <c r="D6" s="20">
        <f>SUM('Affiliated(55m)'!M3:M8)</f>
        <v>80</v>
      </c>
      <c r="E6" s="33">
        <f>D6/C6</f>
        <v>0.8</v>
      </c>
      <c r="G6" s="22" t="s">
        <v>196</v>
      </c>
      <c r="H6" s="22" t="s">
        <v>197</v>
      </c>
      <c r="I6" s="22" t="s">
        <v>198</v>
      </c>
    </row>
    <row r="7" spans="1:9" x14ac:dyDescent="0.25">
      <c r="A7" s="20">
        <v>2</v>
      </c>
      <c r="B7" s="21" t="s">
        <v>189</v>
      </c>
      <c r="C7" s="20">
        <v>350</v>
      </c>
      <c r="D7" s="20">
        <f>SUM('Affiliated(55m)'!M9:M18)</f>
        <v>585</v>
      </c>
      <c r="E7" s="33">
        <f t="shared" ref="E7:E12" si="0">D7/C7</f>
        <v>1.6714285714285715</v>
      </c>
      <c r="G7" s="22" t="s">
        <v>199</v>
      </c>
      <c r="H7" s="22" t="s">
        <v>206</v>
      </c>
      <c r="I7" s="22" t="s">
        <v>198</v>
      </c>
    </row>
    <row r="8" spans="1:9" x14ac:dyDescent="0.25">
      <c r="A8" s="20">
        <v>3</v>
      </c>
      <c r="B8" s="21" t="s">
        <v>190</v>
      </c>
      <c r="C8" s="20">
        <v>110</v>
      </c>
      <c r="D8" s="20">
        <f>SUM('Affiliated(55m)'!M19:M27)</f>
        <v>115</v>
      </c>
      <c r="E8" s="33">
        <f t="shared" si="0"/>
        <v>1.0454545454545454</v>
      </c>
      <c r="G8" s="22" t="s">
        <v>200</v>
      </c>
      <c r="H8" s="22" t="s">
        <v>182</v>
      </c>
      <c r="I8" s="22" t="s">
        <v>198</v>
      </c>
    </row>
    <row r="9" spans="1:9" x14ac:dyDescent="0.25">
      <c r="A9" s="20">
        <v>4</v>
      </c>
      <c r="B9" s="21" t="s">
        <v>191</v>
      </c>
      <c r="C9" s="20">
        <v>100</v>
      </c>
      <c r="D9" s="20">
        <f>SUM('Affiliated(55m)'!M28:M33)</f>
        <v>60</v>
      </c>
      <c r="E9" s="33">
        <f t="shared" si="0"/>
        <v>0.6</v>
      </c>
      <c r="G9" s="22" t="s">
        <v>201</v>
      </c>
      <c r="H9" s="22" t="s">
        <v>207</v>
      </c>
      <c r="I9" s="22" t="s">
        <v>198</v>
      </c>
    </row>
    <row r="10" spans="1:9" x14ac:dyDescent="0.25">
      <c r="A10" s="20">
        <v>5</v>
      </c>
      <c r="B10" s="21" t="s">
        <v>192</v>
      </c>
      <c r="C10" s="20">
        <v>140</v>
      </c>
      <c r="D10" s="20">
        <f>SUM('Affiliated(55m)'!M34:M42)</f>
        <v>245</v>
      </c>
      <c r="E10" s="33">
        <f t="shared" si="0"/>
        <v>1.75</v>
      </c>
      <c r="G10" s="22" t="s">
        <v>202</v>
      </c>
      <c r="H10" s="22" t="s">
        <v>208</v>
      </c>
      <c r="I10" s="22" t="s">
        <v>198</v>
      </c>
    </row>
    <row r="11" spans="1:9" x14ac:dyDescent="0.25">
      <c r="A11" s="20">
        <v>6</v>
      </c>
      <c r="B11" s="21" t="s">
        <v>193</v>
      </c>
      <c r="C11" s="20">
        <v>100</v>
      </c>
      <c r="D11" s="20">
        <f>SUM('Affiliated(55m)'!M43:M51)</f>
        <v>61</v>
      </c>
      <c r="E11" s="33">
        <f t="shared" si="0"/>
        <v>0.61</v>
      </c>
      <c r="G11" s="22" t="s">
        <v>203</v>
      </c>
      <c r="H11" s="22" t="s">
        <v>183</v>
      </c>
      <c r="I11" s="22" t="s">
        <v>198</v>
      </c>
    </row>
    <row r="12" spans="1:9" x14ac:dyDescent="0.25">
      <c r="A12" s="20">
        <v>7</v>
      </c>
      <c r="B12" s="21" t="s">
        <v>194</v>
      </c>
      <c r="C12" s="20">
        <v>100</v>
      </c>
      <c r="D12" s="20">
        <f>SUM('Affiliated(55m)'!M52:M57)</f>
        <v>100</v>
      </c>
      <c r="E12" s="33">
        <f t="shared" si="0"/>
        <v>1</v>
      </c>
      <c r="G12" s="22" t="s">
        <v>205</v>
      </c>
      <c r="H12" s="22" t="s">
        <v>185</v>
      </c>
      <c r="I12" s="22" t="s">
        <v>198</v>
      </c>
    </row>
    <row r="13" spans="1:9" ht="15.75" thickBot="1" x14ac:dyDescent="0.3">
      <c r="C13" s="22">
        <f>SUM(C6:C12)</f>
        <v>1000</v>
      </c>
      <c r="D13" s="34">
        <f>SUM(D6:D12)</f>
        <v>1246</v>
      </c>
      <c r="E13" s="35">
        <f>D13/C13</f>
        <v>1.246</v>
      </c>
      <c r="G13" s="22" t="s">
        <v>204</v>
      </c>
      <c r="H13" s="22" t="s">
        <v>184</v>
      </c>
      <c r="I13" s="22" t="s">
        <v>209</v>
      </c>
    </row>
    <row r="14" spans="1:9" ht="15.75" thickBot="1" x14ac:dyDescent="0.3">
      <c r="D14" s="36" t="s">
        <v>166</v>
      </c>
      <c r="E14" s="37" t="str">
        <f>IF(AND($E$13&lt;=4,$E$13&gt;=3.51),"A++",IF(AND($E$13&lt;=3.5,$E$13&gt;=3.26),"A+",IF(AND($E$13&lt;=3.25,$E$13&gt;3.01),"A",IF(AND($E$13&lt;=3,$E$13&gt;=2.76),"B++",IF(AND($E$13&lt;=2.75,$E$13&gt;=2.51),"B+",IF(AND($E$13&lt;=2.5,$E$13&gt;=2.01),"B",IF(AND($E$13&lt;=2,$E$13&gt;=1.51),"C","D")))))))</f>
        <v>D</v>
      </c>
    </row>
    <row r="15" spans="1:9" x14ac:dyDescent="0.25">
      <c r="D15" s="31"/>
      <c r="E15" s="30"/>
    </row>
    <row r="16" spans="1:9" s="1" customFormat="1" ht="75" x14ac:dyDescent="0.25">
      <c r="A16" s="28" t="s">
        <v>220</v>
      </c>
      <c r="B16" s="28" t="s">
        <v>212</v>
      </c>
      <c r="C16" s="29" t="s">
        <v>213</v>
      </c>
      <c r="D16" s="29" t="s">
        <v>214</v>
      </c>
      <c r="E16" s="29" t="s">
        <v>215</v>
      </c>
    </row>
    <row r="17" spans="1:5" s="1" customFormat="1" x14ac:dyDescent="0.25">
      <c r="A17" s="167" t="s">
        <v>218</v>
      </c>
      <c r="B17" s="167"/>
      <c r="C17" s="167"/>
      <c r="D17" s="167"/>
      <c r="E17" s="167"/>
    </row>
    <row r="18" spans="1:5" x14ac:dyDescent="0.25">
      <c r="A18" s="20">
        <v>1.1000000000000001</v>
      </c>
      <c r="B18" s="12" t="s">
        <v>268</v>
      </c>
      <c r="C18" s="22">
        <v>20</v>
      </c>
      <c r="D18" s="168">
        <f>SUM('Affiliated(55m)'!L3)</f>
        <v>0</v>
      </c>
      <c r="E18" s="169"/>
    </row>
    <row r="19" spans="1:5" x14ac:dyDescent="0.25">
      <c r="A19" s="20">
        <v>1.2</v>
      </c>
      <c r="B19" s="12" t="s">
        <v>269</v>
      </c>
      <c r="C19" s="22">
        <v>30</v>
      </c>
      <c r="D19" s="168">
        <f>SUM('Affiliated(55m)'!L4:L5)</f>
        <v>0</v>
      </c>
      <c r="E19" s="169"/>
    </row>
    <row r="20" spans="1:5" x14ac:dyDescent="0.25">
      <c r="A20" s="20">
        <v>1.3</v>
      </c>
      <c r="B20" s="12" t="s">
        <v>111</v>
      </c>
      <c r="C20" s="22">
        <v>30</v>
      </c>
      <c r="D20" s="168">
        <f>SUM('Affiliated(55m)'!L6:L7)</f>
        <v>0</v>
      </c>
      <c r="E20" s="169"/>
    </row>
    <row r="21" spans="1:5" x14ac:dyDescent="0.25">
      <c r="A21" s="20">
        <v>1.4</v>
      </c>
      <c r="B21" s="12" t="s">
        <v>112</v>
      </c>
      <c r="C21" s="22">
        <v>20</v>
      </c>
      <c r="D21" s="168">
        <f>SUM('Affiliated(55m)'!L8)</f>
        <v>80</v>
      </c>
      <c r="E21" s="169"/>
    </row>
    <row r="22" spans="1:5" ht="15.75" thickBot="1" x14ac:dyDescent="0.3">
      <c r="C22" s="22">
        <f>SUM(C18:C21)</f>
        <v>100</v>
      </c>
      <c r="D22" s="170">
        <f>SUM(D18:D21)</f>
        <v>80</v>
      </c>
      <c r="E22" s="171"/>
    </row>
    <row r="23" spans="1:5" ht="15.75" thickBot="1" x14ac:dyDescent="0.3">
      <c r="D23" s="36" t="s">
        <v>166</v>
      </c>
      <c r="E23" s="37" t="s">
        <v>270</v>
      </c>
    </row>
    <row r="24" spans="1:5" x14ac:dyDescent="0.25">
      <c r="A24" s="167" t="s">
        <v>219</v>
      </c>
      <c r="B24" s="167"/>
      <c r="C24" s="167"/>
      <c r="D24" s="167"/>
      <c r="E24" s="167"/>
    </row>
    <row r="25" spans="1:5" x14ac:dyDescent="0.25">
      <c r="A25" s="22">
        <v>2.1</v>
      </c>
      <c r="B25" s="12" t="s">
        <v>225</v>
      </c>
      <c r="C25" s="22">
        <v>40</v>
      </c>
      <c r="D25" s="168">
        <f>SUM('Affiliated(55m)'!L9:L10)</f>
        <v>140</v>
      </c>
      <c r="E25" s="169"/>
    </row>
    <row r="26" spans="1:5" x14ac:dyDescent="0.25">
      <c r="A26" s="22">
        <v>2.2000000000000002</v>
      </c>
      <c r="B26" s="12" t="s">
        <v>226</v>
      </c>
      <c r="C26" s="22">
        <v>40</v>
      </c>
      <c r="D26" s="168">
        <f>SUM('Affiliated(55m)'!L11)</f>
        <v>120</v>
      </c>
      <c r="E26" s="169"/>
    </row>
    <row r="27" spans="1:5" x14ac:dyDescent="0.25">
      <c r="A27" s="22">
        <v>2.2999999999999998</v>
      </c>
      <c r="B27" s="12" t="s">
        <v>227</v>
      </c>
      <c r="C27" s="22">
        <v>40</v>
      </c>
      <c r="D27" s="168">
        <f>SUM('Affiliated(55m)'!L12)</f>
        <v>0</v>
      </c>
      <c r="E27" s="169"/>
    </row>
    <row r="28" spans="1:5" x14ac:dyDescent="0.25">
      <c r="A28" s="22">
        <v>2.4</v>
      </c>
      <c r="B28" s="12" t="s">
        <v>221</v>
      </c>
      <c r="C28" s="22">
        <v>40</v>
      </c>
      <c r="D28" s="168">
        <f>SUM('Affiliated(55m)'!L13:L14)</f>
        <v>85</v>
      </c>
      <c r="E28" s="169"/>
    </row>
    <row r="29" spans="1:5" x14ac:dyDescent="0.25">
      <c r="A29" s="22">
        <v>2.5</v>
      </c>
      <c r="B29" s="12" t="s">
        <v>222</v>
      </c>
      <c r="C29" s="22">
        <v>40</v>
      </c>
      <c r="D29" s="168">
        <f>SUM('Affiliated(55m)'!L15)</f>
        <v>0</v>
      </c>
      <c r="E29" s="169"/>
    </row>
    <row r="30" spans="1:5" x14ac:dyDescent="0.25">
      <c r="A30" s="22">
        <v>2.6</v>
      </c>
      <c r="B30" s="12" t="s">
        <v>223</v>
      </c>
      <c r="C30" s="22">
        <v>90</v>
      </c>
      <c r="D30" s="168">
        <f>SUM('Affiliated(55m)'!L16:L17)</f>
        <v>180</v>
      </c>
      <c r="E30" s="169"/>
    </row>
    <row r="31" spans="1:5" x14ac:dyDescent="0.25">
      <c r="A31" s="22">
        <v>2.7</v>
      </c>
      <c r="B31" s="12" t="s">
        <v>224</v>
      </c>
      <c r="C31" s="22">
        <v>60</v>
      </c>
      <c r="D31" s="168">
        <f>SUM('Affiliated(55m)'!L18)</f>
        <v>60</v>
      </c>
      <c r="E31" s="169"/>
    </row>
    <row r="32" spans="1:5" ht="15.75" thickBot="1" x14ac:dyDescent="0.3">
      <c r="C32" s="32">
        <f>SUM(C25:C31)</f>
        <v>350</v>
      </c>
      <c r="D32" s="170">
        <f>SUM(D25:D31)</f>
        <v>585</v>
      </c>
      <c r="E32" s="171"/>
    </row>
    <row r="33" spans="1:5" ht="15.75" thickBot="1" x14ac:dyDescent="0.3">
      <c r="D33" s="36" t="s">
        <v>166</v>
      </c>
      <c r="E33" s="37" t="str">
        <f>IF(AND($E$32&lt;=4,$E$32&gt;=3.51),"A++",IF(AND($E$32&lt;=3.5,$E$32&gt;=3.26),"A+",IF(AND($E$32&lt;=3.25,$E$32&gt;3.01),"A",IF(AND($E$32&lt;=3,$E$32&gt;=2.76),"B++",IF(AND($E$32&lt;=2.75,$E$32&gt;=2.51),"B+",IF(AND($E$32&lt;=2.5,$E$32&gt;=2.01),"B",IF(AND($E$32&lt;=2,$E$32&gt;=1.51),"C","D")))))))</f>
        <v>D</v>
      </c>
    </row>
    <row r="34" spans="1:5" x14ac:dyDescent="0.25">
      <c r="A34" s="167" t="s">
        <v>228</v>
      </c>
      <c r="B34" s="167"/>
      <c r="C34" s="167"/>
      <c r="D34" s="167"/>
      <c r="E34" s="167"/>
    </row>
    <row r="35" spans="1:5" x14ac:dyDescent="0.25">
      <c r="A35" s="22">
        <v>3.1</v>
      </c>
      <c r="B35" s="12" t="s">
        <v>229</v>
      </c>
      <c r="C35" s="22">
        <v>10</v>
      </c>
      <c r="D35" s="168">
        <f>SUM('Affiliated(55m)'!L19)</f>
        <v>0</v>
      </c>
      <c r="E35" s="169"/>
    </row>
    <row r="36" spans="1:5" x14ac:dyDescent="0.25">
      <c r="A36" s="22">
        <v>3.2</v>
      </c>
      <c r="B36" s="12" t="s">
        <v>230</v>
      </c>
      <c r="C36" s="22">
        <v>15</v>
      </c>
      <c r="D36" s="168">
        <f>SUM('Affiliated(55m)'!L20:L21)</f>
        <v>5</v>
      </c>
      <c r="E36" s="169"/>
    </row>
    <row r="37" spans="1:5" x14ac:dyDescent="0.25">
      <c r="A37" s="22">
        <v>3.3</v>
      </c>
      <c r="B37" s="12" t="s">
        <v>231</v>
      </c>
      <c r="C37" s="22">
        <v>25</v>
      </c>
      <c r="D37" s="168">
        <f>SUM('Affiliated(55m)'!L22:L23)</f>
        <v>30</v>
      </c>
      <c r="E37" s="169"/>
    </row>
    <row r="38" spans="1:5" x14ac:dyDescent="0.25">
      <c r="A38" s="22">
        <v>3.4</v>
      </c>
      <c r="B38" s="12" t="s">
        <v>232</v>
      </c>
      <c r="C38" s="22">
        <v>40</v>
      </c>
      <c r="D38" s="168">
        <f>SUM('Affiliated(55m)'!L24:L26)</f>
        <v>80</v>
      </c>
      <c r="E38" s="169"/>
    </row>
    <row r="39" spans="1:5" x14ac:dyDescent="0.25">
      <c r="A39" s="22">
        <v>3.5</v>
      </c>
      <c r="B39" s="12" t="s">
        <v>233</v>
      </c>
      <c r="C39" s="22">
        <v>20</v>
      </c>
      <c r="D39" s="168">
        <f>SUM('Affiliated(55m)'!L27)</f>
        <v>0</v>
      </c>
      <c r="E39" s="169"/>
    </row>
    <row r="40" spans="1:5" ht="15.75" thickBot="1" x14ac:dyDescent="0.3">
      <c r="C40" s="32">
        <f>SUM(C35:C39)</f>
        <v>110</v>
      </c>
      <c r="D40" s="170">
        <f>SUM(D35:D39)</f>
        <v>115</v>
      </c>
      <c r="E40" s="171"/>
    </row>
    <row r="41" spans="1:5" ht="15.75" thickBot="1" x14ac:dyDescent="0.3">
      <c r="D41" s="36" t="s">
        <v>166</v>
      </c>
      <c r="E41" s="37" t="str">
        <f>IF(AND($E$47&lt;=4,$E$47&gt;=3.51),"A++",IF(AND($E$47&lt;=3.5,$E$47&gt;=3.26),"A+",IF(AND($E$47&lt;=3.25,$E$47&gt;3.01),"A",IF(AND($E$47&lt;=3,$E$47&gt;=2.76),"B++",IF(AND($E$47&lt;=2.75,$E$47&gt;=2.51),"B+",IF(AND($E$47&lt;=2.5,$E$47&gt;=2.01),"B",IF(AND($E$47&lt;=2,$E$47&gt;=1.51),"C","D")))))))</f>
        <v>D</v>
      </c>
    </row>
    <row r="42" spans="1:5" x14ac:dyDescent="0.25">
      <c r="A42" s="167" t="s">
        <v>234</v>
      </c>
      <c r="B42" s="167"/>
      <c r="C42" s="167"/>
      <c r="D42" s="167"/>
      <c r="E42" s="167"/>
    </row>
    <row r="43" spans="1:5" x14ac:dyDescent="0.25">
      <c r="A43" s="22">
        <v>4.0999999999999996</v>
      </c>
      <c r="B43" s="12" t="s">
        <v>235</v>
      </c>
      <c r="C43" s="22">
        <v>30</v>
      </c>
      <c r="D43" s="168">
        <f>SUM('Affiliated(55m)'!L28:L29)</f>
        <v>40</v>
      </c>
      <c r="E43" s="169"/>
    </row>
    <row r="44" spans="1:5" x14ac:dyDescent="0.25">
      <c r="A44" s="22">
        <v>4.2</v>
      </c>
      <c r="B44" s="12" t="s">
        <v>236</v>
      </c>
      <c r="C44" s="22">
        <v>20</v>
      </c>
      <c r="D44" s="168">
        <f>SUM('Affiliated(55m)'!L30)</f>
        <v>0</v>
      </c>
      <c r="E44" s="169"/>
    </row>
    <row r="45" spans="1:5" x14ac:dyDescent="0.25">
      <c r="A45" s="22">
        <v>4.3</v>
      </c>
      <c r="B45" s="12" t="s">
        <v>237</v>
      </c>
      <c r="C45" s="22">
        <v>30</v>
      </c>
      <c r="D45" s="168">
        <f>SUM('Affiliated(55m)'!L31:L32)</f>
        <v>20</v>
      </c>
      <c r="E45" s="169"/>
    </row>
    <row r="46" spans="1:5" x14ac:dyDescent="0.25">
      <c r="A46" s="22">
        <v>4.4000000000000004</v>
      </c>
      <c r="B46" s="12" t="s">
        <v>238</v>
      </c>
      <c r="C46" s="22">
        <v>20</v>
      </c>
      <c r="D46" s="168">
        <f>SUM('Affiliated(55m)'!L33)</f>
        <v>0</v>
      </c>
      <c r="E46" s="169"/>
    </row>
    <row r="47" spans="1:5" ht="15.75" thickBot="1" x14ac:dyDescent="0.3">
      <c r="C47" s="32">
        <f>SUM(C43:C46)</f>
        <v>100</v>
      </c>
      <c r="D47" s="170">
        <f>SUM(D43:D46)</f>
        <v>60</v>
      </c>
      <c r="E47" s="171"/>
    </row>
    <row r="48" spans="1:5" ht="15.75" thickBot="1" x14ac:dyDescent="0.3">
      <c r="D48" s="36" t="s">
        <v>166</v>
      </c>
      <c r="E48" s="37" t="str">
        <f>IF(AND($E$47&lt;=4,$E$47&gt;=3.51),"A++",IF(AND($E$47&lt;=3.5,$E$47&gt;=3.26),"A+",IF(AND($E$47&lt;=3.25,$E$47&gt;3.01),"A",IF(AND($E$47&lt;=3,$E$47&gt;=2.76),"B++",IF(AND($E$47&lt;=2.75,$E$47&gt;=2.51),"B+",IF(AND($E$47&lt;=2.5,$E$47&gt;=2.01),"B",IF(AND($E$47&lt;=2,$E$47&gt;=1.51),"C","D")))))))</f>
        <v>D</v>
      </c>
    </row>
    <row r="49" spans="1:5" x14ac:dyDescent="0.25">
      <c r="A49" s="167" t="s">
        <v>239</v>
      </c>
      <c r="B49" s="167"/>
      <c r="C49" s="167"/>
      <c r="D49" s="167"/>
      <c r="E49" s="167"/>
    </row>
    <row r="50" spans="1:5" x14ac:dyDescent="0.25">
      <c r="A50" s="22">
        <v>5.0999999999999996</v>
      </c>
      <c r="B50" s="12" t="s">
        <v>240</v>
      </c>
      <c r="C50" s="22">
        <v>50</v>
      </c>
      <c r="D50" s="168">
        <f>SUM('Affiliated(55m)'!L34:L37)</f>
        <v>120</v>
      </c>
      <c r="E50" s="169"/>
    </row>
    <row r="51" spans="1:5" x14ac:dyDescent="0.25">
      <c r="A51" s="22">
        <v>5.2</v>
      </c>
      <c r="B51" s="12" t="s">
        <v>241</v>
      </c>
      <c r="C51" s="22">
        <v>30</v>
      </c>
      <c r="D51" s="168">
        <f>SUM('Affiliated(55m)'!L38:L39)</f>
        <v>100</v>
      </c>
      <c r="E51" s="169"/>
    </row>
    <row r="52" spans="1:5" x14ac:dyDescent="0.25">
      <c r="A52" s="22">
        <v>5.3</v>
      </c>
      <c r="B52" s="12" t="s">
        <v>242</v>
      </c>
      <c r="C52" s="22">
        <v>50</v>
      </c>
      <c r="D52" s="168">
        <f>SUM('Affiliated(55m)'!L40:L41)</f>
        <v>25</v>
      </c>
      <c r="E52" s="169"/>
    </row>
    <row r="53" spans="1:5" x14ac:dyDescent="0.25">
      <c r="A53" s="22">
        <v>5.4</v>
      </c>
      <c r="B53" s="12" t="s">
        <v>243</v>
      </c>
      <c r="C53" s="22">
        <v>10</v>
      </c>
      <c r="D53" s="168">
        <f>SUM('Affiliated(55m)'!L42)</f>
        <v>0</v>
      </c>
      <c r="E53" s="169"/>
    </row>
    <row r="54" spans="1:5" ht="15.75" thickBot="1" x14ac:dyDescent="0.3">
      <c r="C54" s="32">
        <f>SUM(C50:C53)</f>
        <v>140</v>
      </c>
      <c r="D54" s="170">
        <f>SUM(D50:D53)</f>
        <v>245</v>
      </c>
      <c r="E54" s="171"/>
    </row>
    <row r="55" spans="1:5" ht="15.75" thickBot="1" x14ac:dyDescent="0.3">
      <c r="D55" s="36" t="s">
        <v>166</v>
      </c>
      <c r="E55" s="37" t="str">
        <f>IF(AND($E$54&lt;=4,$E$54&gt;=3.51),"A++",IF(AND($E$54&lt;=3.5,$E$54&gt;=3.26),"A+",IF(AND($E$54&lt;=3.25,$E$54&gt;3.01),"A",IF(AND($E$54&lt;=3,$E$54&gt;=2.76),"B++",IF(AND($E$54&lt;=2.75,$E$54&gt;=2.51),"B+",IF(AND($E$54&lt;=2.5,$E$54&gt;=2.01),"B",IF(AND($E$54&lt;=2,$E$54&gt;=1.51),"C","D")))))))</f>
        <v>D</v>
      </c>
    </row>
    <row r="56" spans="1:5" x14ac:dyDescent="0.25">
      <c r="A56" s="167" t="s">
        <v>244</v>
      </c>
      <c r="B56" s="167"/>
      <c r="C56" s="167"/>
      <c r="D56" s="167"/>
      <c r="E56" s="167"/>
    </row>
    <row r="57" spans="1:5" x14ac:dyDescent="0.25">
      <c r="A57" s="22">
        <v>6.1</v>
      </c>
      <c r="B57" s="12" t="s">
        <v>245</v>
      </c>
      <c r="C57" s="22">
        <v>10</v>
      </c>
      <c r="D57" s="168">
        <f>SUM('Affiliated(55m)'!L43)</f>
        <v>0</v>
      </c>
      <c r="E57" s="169"/>
    </row>
    <row r="58" spans="1:5" x14ac:dyDescent="0.25">
      <c r="A58" s="22">
        <v>6.2</v>
      </c>
      <c r="B58" s="12" t="s">
        <v>246</v>
      </c>
      <c r="C58" s="22">
        <v>10</v>
      </c>
      <c r="D58" s="168">
        <f>SUM('Affiliated(55m)'!L44:L45)</f>
        <v>16</v>
      </c>
      <c r="E58" s="169"/>
    </row>
    <row r="59" spans="1:5" x14ac:dyDescent="0.25">
      <c r="A59" s="22">
        <v>6.3</v>
      </c>
      <c r="B59" s="12" t="s">
        <v>247</v>
      </c>
      <c r="C59" s="22">
        <v>35</v>
      </c>
      <c r="D59" s="168">
        <f>SUM('Affiliated(55m)'!L46:L48)</f>
        <v>0</v>
      </c>
      <c r="E59" s="169"/>
    </row>
    <row r="60" spans="1:5" x14ac:dyDescent="0.25">
      <c r="A60" s="22">
        <v>6.4</v>
      </c>
      <c r="B60" s="12" t="s">
        <v>248</v>
      </c>
      <c r="C60" s="22">
        <v>15</v>
      </c>
      <c r="D60" s="168">
        <f>SUM('Affiliated(55m)'!L49)</f>
        <v>0</v>
      </c>
      <c r="E60" s="169"/>
    </row>
    <row r="61" spans="1:5" x14ac:dyDescent="0.25">
      <c r="A61" s="22">
        <v>6.5</v>
      </c>
      <c r="B61" s="12" t="s">
        <v>249</v>
      </c>
      <c r="C61" s="22">
        <v>30</v>
      </c>
      <c r="D61" s="168">
        <f>SUM('Affiliated(55m)'!L50:L51)</f>
        <v>45</v>
      </c>
      <c r="E61" s="169"/>
    </row>
    <row r="62" spans="1:5" ht="15.75" thickBot="1" x14ac:dyDescent="0.3">
      <c r="C62" s="32">
        <f>SUM(C57:C61)</f>
        <v>100</v>
      </c>
      <c r="D62" s="170">
        <f>SUM(D57:D61)</f>
        <v>61</v>
      </c>
      <c r="E62" s="171"/>
    </row>
    <row r="63" spans="1:5" ht="15.75" thickBot="1" x14ac:dyDescent="0.3">
      <c r="D63" s="36" t="s">
        <v>166</v>
      </c>
      <c r="E63" s="37" t="str">
        <f>IF(AND($E$62&lt;=4,$E$62&gt;=3.51),"A++",IF(AND($E$62&lt;=3.5,$E$62&gt;=3.26),"A+",IF(AND($E$62&lt;=3.25,$E$62&gt;3.01),"A",IF(AND($E$62&lt;=3,$E$62&gt;=2.76),"B++",IF(AND($E$62&lt;=2.75,$E$62&gt;=2.51),"B+",IF(AND($E$62&lt;=2.5,$E$62&gt;=2.01),"B",IF(AND($E$62&lt;=2,$E$62&gt;=1.51),"C","D")))))))</f>
        <v>D</v>
      </c>
    </row>
    <row r="64" spans="1:5" x14ac:dyDescent="0.25">
      <c r="A64" s="167" t="s">
        <v>250</v>
      </c>
      <c r="B64" s="167"/>
      <c r="C64" s="167"/>
      <c r="D64" s="167"/>
      <c r="E64" s="167"/>
    </row>
    <row r="65" spans="1:5" x14ac:dyDescent="0.25">
      <c r="A65" s="22">
        <v>7.1</v>
      </c>
      <c r="B65" s="12" t="s">
        <v>251</v>
      </c>
      <c r="C65" s="22">
        <v>50</v>
      </c>
      <c r="D65" s="168">
        <f>SUM('Affiliated(55m)'!L52:L55)</f>
        <v>100</v>
      </c>
      <c r="E65" s="169"/>
    </row>
    <row r="66" spans="1:5" x14ac:dyDescent="0.25">
      <c r="A66" s="22">
        <v>7.2</v>
      </c>
      <c r="B66" s="12" t="s">
        <v>186</v>
      </c>
      <c r="C66" s="22">
        <v>30</v>
      </c>
      <c r="D66" s="168">
        <f>SUM('Affiliated(55m)'!L56)</f>
        <v>0</v>
      </c>
      <c r="E66" s="169"/>
    </row>
    <row r="67" spans="1:5" x14ac:dyDescent="0.25">
      <c r="A67" s="22">
        <v>7.3</v>
      </c>
      <c r="B67" s="12" t="s">
        <v>252</v>
      </c>
      <c r="C67" s="22">
        <v>20</v>
      </c>
      <c r="D67" s="168">
        <f>SUM('Affiliated(55m)'!L57)</f>
        <v>0</v>
      </c>
      <c r="E67" s="169"/>
    </row>
    <row r="68" spans="1:5" ht="15.75" thickBot="1" x14ac:dyDescent="0.3">
      <c r="C68" s="32">
        <f>SUM(C65:C67)</f>
        <v>100</v>
      </c>
      <c r="D68" s="170">
        <f>SUM(D65:D67)</f>
        <v>100</v>
      </c>
      <c r="E68" s="171"/>
    </row>
    <row r="69" spans="1:5" ht="15.75" thickBot="1" x14ac:dyDescent="0.3">
      <c r="D69" s="36" t="s">
        <v>166</v>
      </c>
      <c r="E69" s="37" t="str">
        <f>IF(AND($E$68&lt;=4,$E$68&gt;=3.51),"A++",IF(AND($E$68&lt;=3.5,$E$68&gt;=3.26),"A+",IF(AND($E$68&lt;=3.25,$E$68&gt;3.01),"A",IF(AND($E$68&lt;=3,$E$68&gt;=2.76),"B++",IF(AND($E$68&lt;=2.75,$E$68&gt;=2.51),"B+",IF(AND($E$68&lt;=2.5,$E$68&gt;=2.01),"B",IF(AND($E$68&lt;=2,$E$68&gt;=1.51),"C","D")))))))</f>
        <v>D</v>
      </c>
    </row>
  </sheetData>
  <mergeCells count="46">
    <mergeCell ref="D65:E65"/>
    <mergeCell ref="D66:E66"/>
    <mergeCell ref="D67:E67"/>
    <mergeCell ref="D68:E68"/>
    <mergeCell ref="A64:E64"/>
    <mergeCell ref="D58:E58"/>
    <mergeCell ref="D59:E59"/>
    <mergeCell ref="D60:E60"/>
    <mergeCell ref="D61:E61"/>
    <mergeCell ref="D62:E62"/>
    <mergeCell ref="D52:E52"/>
    <mergeCell ref="D53:E53"/>
    <mergeCell ref="D54:E54"/>
    <mergeCell ref="D57:E57"/>
    <mergeCell ref="A56:E56"/>
    <mergeCell ref="D46:E46"/>
    <mergeCell ref="D47:E47"/>
    <mergeCell ref="D50:E50"/>
    <mergeCell ref="A49:E49"/>
    <mergeCell ref="D51:E51"/>
    <mergeCell ref="D39:E39"/>
    <mergeCell ref="D40:E40"/>
    <mergeCell ref="D43:E43"/>
    <mergeCell ref="D44:E44"/>
    <mergeCell ref="D45:E45"/>
    <mergeCell ref="D32:E32"/>
    <mergeCell ref="D35:E35"/>
    <mergeCell ref="D36:E36"/>
    <mergeCell ref="D37:E37"/>
    <mergeCell ref="D38:E38"/>
    <mergeCell ref="A17:E17"/>
    <mergeCell ref="A24:E24"/>
    <mergeCell ref="A34:E34"/>
    <mergeCell ref="A42:E42"/>
    <mergeCell ref="D18:E18"/>
    <mergeCell ref="D19:E19"/>
    <mergeCell ref="D20:E20"/>
    <mergeCell ref="D21:E21"/>
    <mergeCell ref="D22:E22"/>
    <mergeCell ref="D25:E25"/>
    <mergeCell ref="D26:E26"/>
    <mergeCell ref="D27:E27"/>
    <mergeCell ref="D28:E28"/>
    <mergeCell ref="D29:E29"/>
    <mergeCell ref="D30:E30"/>
    <mergeCell ref="D31:E31"/>
  </mergeCells>
  <pageMargins left="0.70866141732283472" right="0.70866141732283472" top="0.74803149606299213" bottom="0.74803149606299213" header="0.31496062992125984" footer="0.31496062992125984"/>
  <pageSetup scale="96" orientation="portrait" verticalDpi="0" r:id="rId1"/>
  <rowBreaks count="2" manualBreakCount="2">
    <brk id="15" max="16383" man="1"/>
    <brk id="55" max="16383" man="1"/>
  </rowBreaks>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118"/>
  <sheetViews>
    <sheetView topLeftCell="E13" zoomScaleNormal="100" workbookViewId="0">
      <selection activeCell="J16" sqref="J16"/>
    </sheetView>
  </sheetViews>
  <sheetFormatPr defaultRowHeight="15" x14ac:dyDescent="0.25"/>
  <cols>
    <col min="1" max="1" width="3.5703125" style="1" bestFit="1" customWidth="1"/>
    <col min="2" max="3" width="16.28515625" style="6" hidden="1" customWidth="1"/>
    <col min="4" max="5" width="6.7109375" bestFit="1" customWidth="1"/>
    <col min="6" max="6" width="57.7109375" customWidth="1"/>
    <col min="7" max="7" width="10.85546875" customWidth="1"/>
    <col min="8" max="8" width="3.5703125" bestFit="1" customWidth="1"/>
    <col min="9" max="9" width="4.42578125" bestFit="1" customWidth="1"/>
    <col min="10" max="10" width="10.85546875" style="43" bestFit="1" customWidth="1"/>
    <col min="11" max="11" width="8.85546875" style="1" bestFit="1" customWidth="1"/>
    <col min="12" max="12" width="9.28515625" style="1" bestFit="1" customWidth="1"/>
    <col min="13" max="13" width="7.7109375" style="1" customWidth="1"/>
    <col min="14" max="14" width="9.28515625" style="43" customWidth="1"/>
    <col min="15" max="15" width="8.42578125" style="1" customWidth="1"/>
    <col min="16" max="16" width="8" style="43" customWidth="1"/>
  </cols>
  <sheetData>
    <row r="2" spans="1:16" s="1" customFormat="1" ht="66" x14ac:dyDescent="0.25">
      <c r="A2" s="13" t="s">
        <v>1</v>
      </c>
      <c r="B2" s="13" t="s">
        <v>168</v>
      </c>
      <c r="C2" s="13" t="s">
        <v>170</v>
      </c>
      <c r="D2" s="13" t="s">
        <v>169</v>
      </c>
      <c r="E2" s="13" t="s">
        <v>171</v>
      </c>
      <c r="F2" s="13" t="s">
        <v>180</v>
      </c>
      <c r="G2" s="13" t="s">
        <v>178</v>
      </c>
      <c r="H2" s="13" t="s">
        <v>179</v>
      </c>
      <c r="I2" s="13" t="s">
        <v>167</v>
      </c>
      <c r="J2" s="41" t="s">
        <v>165</v>
      </c>
      <c r="K2" s="17" t="s">
        <v>177</v>
      </c>
      <c r="L2" s="18" t="s">
        <v>176</v>
      </c>
      <c r="M2" s="17" t="s">
        <v>172</v>
      </c>
      <c r="N2" s="19" t="s">
        <v>173</v>
      </c>
      <c r="O2" s="17" t="s">
        <v>175</v>
      </c>
      <c r="P2" s="19" t="s">
        <v>174</v>
      </c>
    </row>
    <row r="3" spans="1:16" ht="30" x14ac:dyDescent="0.25">
      <c r="A3" s="39">
        <f>SUBTOTAL(3,$B$3:B3)</f>
        <v>1</v>
      </c>
      <c r="B3" s="9" t="s">
        <v>141</v>
      </c>
      <c r="C3" s="9" t="s">
        <v>110</v>
      </c>
      <c r="D3" s="38" t="s">
        <v>108</v>
      </c>
      <c r="E3" s="38" t="s">
        <v>53</v>
      </c>
      <c r="F3" s="2" t="s">
        <v>4</v>
      </c>
      <c r="G3" s="38">
        <v>15</v>
      </c>
      <c r="H3" s="122">
        <v>30</v>
      </c>
      <c r="I3" s="122">
        <v>70</v>
      </c>
      <c r="J3" s="42">
        <f>VLOOKUP(E3,'Affiliated(55m)'!$E$3:$J$57,6,0)</f>
        <v>4</v>
      </c>
      <c r="K3" s="39">
        <f>IF(J3&gt;80,4,IF(AND(J3&lt;=80,J3&gt;60),3,IF(AND(J3&lt;=60,J3&gt;40),2,IF(AND(J3&lt;=40,J3&gt;20),1,IF(J3&lt;=20,0)))))</f>
        <v>0</v>
      </c>
      <c r="L3" s="39">
        <f t="shared" ref="L3:L36" si="0">K3*G3</f>
        <v>0</v>
      </c>
      <c r="M3" s="122">
        <f>SUM(L3:L4)</f>
        <v>0</v>
      </c>
      <c r="N3" s="172">
        <f>M3/H3</f>
        <v>0</v>
      </c>
      <c r="O3" s="122">
        <f>SUM(M3:M6)</f>
        <v>80</v>
      </c>
      <c r="P3" s="172">
        <f>O3/I3</f>
        <v>1.1428571428571428</v>
      </c>
    </row>
    <row r="4" spans="1:16" ht="42" customHeight="1" x14ac:dyDescent="0.25">
      <c r="A4" s="39">
        <f>SUBTOTAL(3,$B$3:B4)</f>
        <v>2</v>
      </c>
      <c r="B4" s="9" t="s">
        <v>141</v>
      </c>
      <c r="C4" s="9" t="s">
        <v>110</v>
      </c>
      <c r="D4" s="38" t="s">
        <v>108</v>
      </c>
      <c r="E4" s="38" t="s">
        <v>54</v>
      </c>
      <c r="F4" s="2" t="s">
        <v>5</v>
      </c>
      <c r="G4" s="38">
        <v>15</v>
      </c>
      <c r="H4" s="124"/>
      <c r="I4" s="123"/>
      <c r="J4" s="42">
        <f>VLOOKUP(E4,'Affiliated(55m)'!$E$3:$J$57,6,0)</f>
        <v>1.29</v>
      </c>
      <c r="K4" s="39">
        <f>IF(J4&gt;80,4,IF(AND(J4&lt;=80,J4&gt;60),3,IF(AND(J4&lt;=60,J4&gt;40),2,IF(AND(J4&lt;=40,J4&gt;20),1,IF(J4&lt;=20,0)))))</f>
        <v>0</v>
      </c>
      <c r="L4" s="39">
        <f t="shared" si="0"/>
        <v>0</v>
      </c>
      <c r="M4" s="124"/>
      <c r="N4" s="173"/>
      <c r="O4" s="123"/>
      <c r="P4" s="174"/>
    </row>
    <row r="5" spans="1:16" ht="42" customHeight="1" x14ac:dyDescent="0.25">
      <c r="A5" s="39">
        <f>SUBTOTAL(3,$B$3:B5)</f>
        <v>3</v>
      </c>
      <c r="B5" s="9" t="s">
        <v>141</v>
      </c>
      <c r="C5" s="9" t="s">
        <v>111</v>
      </c>
      <c r="D5" s="38" t="s">
        <v>108</v>
      </c>
      <c r="E5" s="38" t="s">
        <v>56</v>
      </c>
      <c r="F5" s="2" t="s">
        <v>7</v>
      </c>
      <c r="G5" s="38">
        <v>20</v>
      </c>
      <c r="H5" s="16">
        <v>20</v>
      </c>
      <c r="I5" s="123"/>
      <c r="J5" s="42">
        <f>VLOOKUP(E5,'Affiliated(55m)'!$E$3:$J$57,6,0)</f>
        <v>17.77</v>
      </c>
      <c r="K5" s="39">
        <f>IF(J5&gt;80,4,IF(AND(J5&lt;=80,J5&gt;60),3,IF(AND(J5&lt;=60,J5&gt;40),2,IF(AND(J5&lt;=40,J5&gt;20),1,IF(J5&lt;=20,0)))))</f>
        <v>0</v>
      </c>
      <c r="L5" s="39">
        <f t="shared" si="0"/>
        <v>0</v>
      </c>
      <c r="M5" s="39">
        <f>L5</f>
        <v>0</v>
      </c>
      <c r="N5" s="33">
        <f>M5/H5</f>
        <v>0</v>
      </c>
      <c r="O5" s="123"/>
      <c r="P5" s="174"/>
    </row>
    <row r="6" spans="1:16" ht="60.75" customHeight="1" x14ac:dyDescent="0.25">
      <c r="A6" s="39">
        <f>SUBTOTAL(3,$B$3:B6)</f>
        <v>4</v>
      </c>
      <c r="B6" s="9" t="s">
        <v>141</v>
      </c>
      <c r="C6" s="9" t="s">
        <v>112</v>
      </c>
      <c r="D6" s="38" t="s">
        <v>108</v>
      </c>
      <c r="E6" s="38" t="s">
        <v>57</v>
      </c>
      <c r="F6" s="2" t="s">
        <v>8</v>
      </c>
      <c r="G6" s="38">
        <v>20</v>
      </c>
      <c r="H6" s="39">
        <v>20</v>
      </c>
      <c r="I6" s="124"/>
      <c r="J6" s="42" t="str">
        <f>VLOOKUP(E6,'Affiliated(55m)'!$E$3:$J$57,6,0)</f>
        <v>Yes</v>
      </c>
      <c r="K6" s="39">
        <f>IF(EXACT(J6,"Yes"),4)</f>
        <v>4</v>
      </c>
      <c r="L6" s="39">
        <f t="shared" si="0"/>
        <v>80</v>
      </c>
      <c r="M6" s="39">
        <f>L6</f>
        <v>80</v>
      </c>
      <c r="N6" s="33">
        <f>M6/H6</f>
        <v>4</v>
      </c>
      <c r="O6" s="124"/>
      <c r="P6" s="173"/>
    </row>
    <row r="7" spans="1:16" ht="45" x14ac:dyDescent="0.25">
      <c r="A7" s="39">
        <f>SUBTOTAL(3,$B$3:B7)</f>
        <v>5</v>
      </c>
      <c r="B7" s="9" t="s">
        <v>142</v>
      </c>
      <c r="C7" s="9" t="s">
        <v>113</v>
      </c>
      <c r="D7" s="38" t="s">
        <v>108</v>
      </c>
      <c r="E7" s="38" t="s">
        <v>58</v>
      </c>
      <c r="F7" s="2" t="s">
        <v>9</v>
      </c>
      <c r="G7" s="38">
        <v>20</v>
      </c>
      <c r="H7" s="122">
        <v>40</v>
      </c>
      <c r="I7" s="122">
        <v>225</v>
      </c>
      <c r="J7" s="42">
        <f>VLOOKUP(E7,'Affiliated(55m)'!$E$3:$J$57,6,0)</f>
        <v>68.39</v>
      </c>
      <c r="K7" s="39">
        <f t="shared" ref="K7:K23" si="1">IF(J7&gt;80,4,IF(AND(J7&lt;=80,J7&gt;60),3,IF(AND(J7&lt;=60,J7&gt;40),2,IF(AND(J7&lt;=40,J7&gt;20),1,IF(J7&lt;=20,0)))))</f>
        <v>3</v>
      </c>
      <c r="L7" s="39">
        <f t="shared" si="0"/>
        <v>60</v>
      </c>
      <c r="M7" s="122">
        <f>SUM(L7:L8)</f>
        <v>140</v>
      </c>
      <c r="N7" s="172">
        <f>M7/H7</f>
        <v>3.5</v>
      </c>
      <c r="O7" s="122">
        <f>SUM(M7:M13)</f>
        <v>585</v>
      </c>
      <c r="P7" s="172">
        <f>O7/I7</f>
        <v>2.6</v>
      </c>
    </row>
    <row r="8" spans="1:16" ht="51" x14ac:dyDescent="0.25">
      <c r="A8" s="39">
        <f>SUBTOTAL(3,$B$3:B8)</f>
        <v>6</v>
      </c>
      <c r="B8" s="9" t="s">
        <v>142</v>
      </c>
      <c r="C8" s="9" t="s">
        <v>113</v>
      </c>
      <c r="D8" s="38" t="s">
        <v>108</v>
      </c>
      <c r="E8" s="38" t="s">
        <v>59</v>
      </c>
      <c r="F8" s="2" t="s">
        <v>254</v>
      </c>
      <c r="G8" s="38">
        <v>20</v>
      </c>
      <c r="H8" s="124"/>
      <c r="I8" s="123"/>
      <c r="J8" s="42">
        <f>VLOOKUP(E8,'Affiliated(55m)'!$E$3:$J$57,6,0)</f>
        <v>96.16</v>
      </c>
      <c r="K8" s="39">
        <f t="shared" si="1"/>
        <v>4</v>
      </c>
      <c r="L8" s="39">
        <f t="shared" si="0"/>
        <v>80</v>
      </c>
      <c r="M8" s="124"/>
      <c r="N8" s="173"/>
      <c r="O8" s="123"/>
      <c r="P8" s="174"/>
    </row>
    <row r="9" spans="1:16" ht="45" x14ac:dyDescent="0.25">
      <c r="A9" s="39">
        <f>SUBTOTAL(3,$B$3:B9)</f>
        <v>7</v>
      </c>
      <c r="B9" s="9" t="s">
        <v>142</v>
      </c>
      <c r="C9" s="9" t="s">
        <v>114</v>
      </c>
      <c r="D9" s="38" t="s">
        <v>108</v>
      </c>
      <c r="E9" s="38" t="s">
        <v>60</v>
      </c>
      <c r="F9" s="2" t="s">
        <v>10</v>
      </c>
      <c r="G9" s="38">
        <v>40</v>
      </c>
      <c r="H9" s="39">
        <v>40</v>
      </c>
      <c r="I9" s="123"/>
      <c r="J9" s="42">
        <f>VLOOKUP(E9,'Affiliated(55m)'!$E$3:$J$57,6,0)</f>
        <v>60.5</v>
      </c>
      <c r="K9" s="39">
        <f t="shared" si="1"/>
        <v>3</v>
      </c>
      <c r="L9" s="39">
        <f t="shared" si="0"/>
        <v>120</v>
      </c>
      <c r="M9" s="39">
        <f>L9</f>
        <v>120</v>
      </c>
      <c r="N9" s="33">
        <f>M9/H9</f>
        <v>3</v>
      </c>
      <c r="O9" s="123"/>
      <c r="P9" s="174"/>
    </row>
    <row r="10" spans="1:16" ht="45" x14ac:dyDescent="0.25">
      <c r="A10" s="39">
        <f>SUBTOTAL(3,$B$3:B10)</f>
        <v>8</v>
      </c>
      <c r="B10" s="9" t="s">
        <v>142</v>
      </c>
      <c r="C10" s="9" t="s">
        <v>116</v>
      </c>
      <c r="D10" s="38" t="s">
        <v>108</v>
      </c>
      <c r="E10" s="38" t="s">
        <v>62</v>
      </c>
      <c r="F10" s="2" t="s">
        <v>12</v>
      </c>
      <c r="G10" s="38">
        <v>15</v>
      </c>
      <c r="H10" s="122">
        <v>40</v>
      </c>
      <c r="I10" s="123"/>
      <c r="J10" s="42">
        <f>VLOOKUP(E10,'Affiliated(55m)'!$E$3:$J$57,6,0)</f>
        <v>100</v>
      </c>
      <c r="K10" s="39">
        <f t="shared" si="1"/>
        <v>4</v>
      </c>
      <c r="L10" s="39">
        <f t="shared" si="0"/>
        <v>60</v>
      </c>
      <c r="M10" s="122">
        <f>SUM(L10:L11)</f>
        <v>85</v>
      </c>
      <c r="N10" s="172">
        <f>M10/H10</f>
        <v>2.125</v>
      </c>
      <c r="O10" s="123"/>
      <c r="P10" s="174"/>
    </row>
    <row r="11" spans="1:16" ht="45" x14ac:dyDescent="0.25">
      <c r="A11" s="39">
        <f>SUBTOTAL(3,$B$3:B11)</f>
        <v>9</v>
      </c>
      <c r="B11" s="9" t="s">
        <v>142</v>
      </c>
      <c r="C11" s="9" t="s">
        <v>116</v>
      </c>
      <c r="D11" s="38" t="s">
        <v>108</v>
      </c>
      <c r="E11" s="4" t="s">
        <v>63</v>
      </c>
      <c r="F11" s="2" t="s">
        <v>13</v>
      </c>
      <c r="G11" s="38">
        <v>25</v>
      </c>
      <c r="H11" s="124"/>
      <c r="I11" s="123"/>
      <c r="J11" s="42">
        <f>VLOOKUP(E11,'Affiliated(55m)'!$E$3:$J$57,6,0)</f>
        <v>23.85</v>
      </c>
      <c r="K11" s="39">
        <f t="shared" si="1"/>
        <v>1</v>
      </c>
      <c r="L11" s="39">
        <f t="shared" si="0"/>
        <v>25</v>
      </c>
      <c r="M11" s="124"/>
      <c r="N11" s="173"/>
      <c r="O11" s="123"/>
      <c r="P11" s="174"/>
    </row>
    <row r="12" spans="1:16" ht="60" x14ac:dyDescent="0.25">
      <c r="A12" s="39">
        <f>SUBTOTAL(3,$B$3:B12)</f>
        <v>10</v>
      </c>
      <c r="B12" s="9" t="s">
        <v>142</v>
      </c>
      <c r="C12" s="9" t="s">
        <v>118</v>
      </c>
      <c r="D12" s="38" t="s">
        <v>108</v>
      </c>
      <c r="E12" s="4" t="s">
        <v>66</v>
      </c>
      <c r="F12" s="2" t="s">
        <v>16</v>
      </c>
      <c r="G12" s="38">
        <v>45</v>
      </c>
      <c r="H12" s="39">
        <v>45</v>
      </c>
      <c r="I12" s="123"/>
      <c r="J12" s="42">
        <f>VLOOKUP(E12,'Affiliated(55m)'!$E$3:$J$57,6,0)</f>
        <v>98.36</v>
      </c>
      <c r="K12" s="39">
        <f t="shared" si="1"/>
        <v>4</v>
      </c>
      <c r="L12" s="39">
        <f t="shared" si="0"/>
        <v>180</v>
      </c>
      <c r="M12" s="39">
        <f>L12</f>
        <v>180</v>
      </c>
      <c r="N12" s="33">
        <f>M12/H12</f>
        <v>4</v>
      </c>
      <c r="O12" s="123"/>
      <c r="P12" s="174"/>
    </row>
    <row r="13" spans="1:16" ht="45" x14ac:dyDescent="0.25">
      <c r="A13" s="39">
        <f>SUBTOTAL(3,$B$3:B13)</f>
        <v>11</v>
      </c>
      <c r="B13" s="9" t="s">
        <v>142</v>
      </c>
      <c r="C13" s="9" t="s">
        <v>119</v>
      </c>
      <c r="D13" s="38" t="s">
        <v>108</v>
      </c>
      <c r="E13" s="4" t="s">
        <v>67</v>
      </c>
      <c r="F13" s="2" t="s">
        <v>17</v>
      </c>
      <c r="G13" s="38">
        <v>60</v>
      </c>
      <c r="H13" s="39">
        <v>60</v>
      </c>
      <c r="I13" s="124"/>
      <c r="J13" s="42">
        <f>VLOOKUP(E13,'Affiliated(55m)'!$E$3:$J$57,6,0)</f>
        <v>29</v>
      </c>
      <c r="K13" s="39">
        <f t="shared" si="1"/>
        <v>1</v>
      </c>
      <c r="L13" s="39">
        <f t="shared" si="0"/>
        <v>60</v>
      </c>
      <c r="M13" s="39">
        <f>L13</f>
        <v>60</v>
      </c>
      <c r="N13" s="33">
        <f>M13/H13</f>
        <v>1</v>
      </c>
      <c r="O13" s="124"/>
      <c r="P13" s="173"/>
    </row>
    <row r="14" spans="1:16" ht="45" x14ac:dyDescent="0.25">
      <c r="A14" s="39">
        <f>SUBTOTAL(3,$B$3:B14)</f>
        <v>12</v>
      </c>
      <c r="B14" s="9" t="s">
        <v>143</v>
      </c>
      <c r="C14" s="9" t="s">
        <v>120</v>
      </c>
      <c r="D14" s="38" t="s">
        <v>108</v>
      </c>
      <c r="E14" s="5" t="s">
        <v>68</v>
      </c>
      <c r="F14" s="2" t="s">
        <v>18</v>
      </c>
      <c r="G14" s="38">
        <v>10</v>
      </c>
      <c r="H14" s="39">
        <v>10</v>
      </c>
      <c r="I14" s="122">
        <v>80</v>
      </c>
      <c r="J14" s="42">
        <f>VLOOKUP(E14,'Affiliated(55m)'!$E$3:$J$57,6,0)</f>
        <v>0</v>
      </c>
      <c r="K14" s="39">
        <f t="shared" si="1"/>
        <v>0</v>
      </c>
      <c r="L14" s="39">
        <f t="shared" si="0"/>
        <v>0</v>
      </c>
      <c r="M14" s="39">
        <f>L14</f>
        <v>0</v>
      </c>
      <c r="N14" s="33">
        <f>M14/H14</f>
        <v>0</v>
      </c>
      <c r="O14" s="122">
        <f>SUM(M14:M19)</f>
        <v>115</v>
      </c>
      <c r="P14" s="172">
        <f>O14/I14</f>
        <v>1.4375</v>
      </c>
    </row>
    <row r="15" spans="1:16" ht="45" x14ac:dyDescent="0.25">
      <c r="A15" s="39">
        <f>SUBTOTAL(3,$B$3:B15)</f>
        <v>13</v>
      </c>
      <c r="B15" s="9" t="s">
        <v>143</v>
      </c>
      <c r="C15" s="9" t="s">
        <v>121</v>
      </c>
      <c r="D15" s="38" t="s">
        <v>108</v>
      </c>
      <c r="E15" s="4" t="s">
        <v>70</v>
      </c>
      <c r="F15" s="2" t="s">
        <v>20</v>
      </c>
      <c r="G15" s="38">
        <v>5</v>
      </c>
      <c r="H15" s="39">
        <v>5</v>
      </c>
      <c r="I15" s="123"/>
      <c r="J15" s="42">
        <f>VLOOKUP(E15,'Affiliated(55m)'!$E$3:$J$57,6,0)</f>
        <v>26</v>
      </c>
      <c r="K15" s="39">
        <f t="shared" si="1"/>
        <v>1</v>
      </c>
      <c r="L15" s="39">
        <f t="shared" si="0"/>
        <v>5</v>
      </c>
      <c r="M15" s="39">
        <f>L15</f>
        <v>5</v>
      </c>
      <c r="N15" s="33">
        <f>M15/H15</f>
        <v>1</v>
      </c>
      <c r="O15" s="123"/>
      <c r="P15" s="174"/>
    </row>
    <row r="16" spans="1:16" ht="45" x14ac:dyDescent="0.25">
      <c r="A16" s="39">
        <f>SUBTOTAL(3,$B$3:B16)</f>
        <v>14</v>
      </c>
      <c r="B16" s="9" t="s">
        <v>143</v>
      </c>
      <c r="C16" s="9" t="s">
        <v>122</v>
      </c>
      <c r="D16" s="38" t="s">
        <v>108</v>
      </c>
      <c r="E16" s="4" t="s">
        <v>71</v>
      </c>
      <c r="F16" s="2" t="s">
        <v>21</v>
      </c>
      <c r="G16" s="38">
        <v>10</v>
      </c>
      <c r="H16" s="122">
        <v>25</v>
      </c>
      <c r="I16" s="123"/>
      <c r="J16" s="42">
        <f>VLOOKUP(E16,'Affiliated(55m)'!$E$3:$J$57,6,0)</f>
        <v>11.54</v>
      </c>
      <c r="K16" s="39">
        <f t="shared" si="1"/>
        <v>0</v>
      </c>
      <c r="L16" s="39">
        <f t="shared" si="0"/>
        <v>0</v>
      </c>
      <c r="M16" s="122">
        <f>SUM(L16:L17)</f>
        <v>30</v>
      </c>
      <c r="N16" s="172">
        <f>M16/H16</f>
        <v>1.2</v>
      </c>
      <c r="O16" s="123"/>
      <c r="P16" s="174"/>
    </row>
    <row r="17" spans="1:16" ht="45" x14ac:dyDescent="0.25">
      <c r="A17" s="39">
        <f>SUBTOTAL(3,$B$3:B17)</f>
        <v>15</v>
      </c>
      <c r="B17" s="9" t="s">
        <v>143</v>
      </c>
      <c r="C17" s="9" t="s">
        <v>122</v>
      </c>
      <c r="D17" s="38" t="s">
        <v>108</v>
      </c>
      <c r="E17" s="4" t="s">
        <v>72</v>
      </c>
      <c r="F17" s="2" t="s">
        <v>22</v>
      </c>
      <c r="G17" s="38">
        <v>15</v>
      </c>
      <c r="H17" s="124"/>
      <c r="I17" s="123"/>
      <c r="J17" s="42">
        <f>VLOOKUP(E17,'Affiliated(55m)'!$E$3:$J$57,6,0)</f>
        <v>53.85</v>
      </c>
      <c r="K17" s="39">
        <f t="shared" si="1"/>
        <v>2</v>
      </c>
      <c r="L17" s="39">
        <f t="shared" si="0"/>
        <v>30</v>
      </c>
      <c r="M17" s="124"/>
      <c r="N17" s="173"/>
      <c r="O17" s="123"/>
      <c r="P17" s="174"/>
    </row>
    <row r="18" spans="1:16" ht="77.25" customHeight="1" x14ac:dyDescent="0.25">
      <c r="A18" s="39">
        <f>SUBTOTAL(3,$B$3:B18)</f>
        <v>16</v>
      </c>
      <c r="B18" s="9" t="s">
        <v>143</v>
      </c>
      <c r="C18" s="9" t="s">
        <v>123</v>
      </c>
      <c r="D18" s="38" t="s">
        <v>108</v>
      </c>
      <c r="E18" s="4" t="s">
        <v>75</v>
      </c>
      <c r="F18" s="2" t="s">
        <v>253</v>
      </c>
      <c r="G18" s="38">
        <v>20</v>
      </c>
      <c r="H18" s="39">
        <v>20</v>
      </c>
      <c r="I18" s="123"/>
      <c r="J18" s="42">
        <f>VLOOKUP(E18,'Affiliated(55m)'!$E$3:$J$57,6,0)</f>
        <v>90</v>
      </c>
      <c r="K18" s="39">
        <f t="shared" si="1"/>
        <v>4</v>
      </c>
      <c r="L18" s="39">
        <f t="shared" si="0"/>
        <v>80</v>
      </c>
      <c r="M18" s="39">
        <f>L18</f>
        <v>80</v>
      </c>
      <c r="N18" s="33">
        <f t="shared" ref="N18:N23" si="2">M18/H18</f>
        <v>4</v>
      </c>
      <c r="O18" s="123"/>
      <c r="P18" s="174"/>
    </row>
    <row r="19" spans="1:16" ht="51" x14ac:dyDescent="0.25">
      <c r="A19" s="39">
        <f>SUBTOTAL(3,$B$3:B19)</f>
        <v>17</v>
      </c>
      <c r="B19" s="9" t="s">
        <v>143</v>
      </c>
      <c r="C19" s="9" t="s">
        <v>124</v>
      </c>
      <c r="D19" s="38" t="s">
        <v>108</v>
      </c>
      <c r="E19" s="4" t="s">
        <v>76</v>
      </c>
      <c r="F19" s="2" t="s">
        <v>25</v>
      </c>
      <c r="G19" s="38">
        <v>20</v>
      </c>
      <c r="H19" s="39">
        <v>20</v>
      </c>
      <c r="I19" s="124"/>
      <c r="J19" s="42">
        <f>VLOOKUP(E19,'Affiliated(55m)'!$E$3:$J$57,6,0)</f>
        <v>1</v>
      </c>
      <c r="K19" s="39">
        <f t="shared" si="1"/>
        <v>0</v>
      </c>
      <c r="L19" s="39">
        <f t="shared" si="0"/>
        <v>0</v>
      </c>
      <c r="M19" s="39">
        <f>L19</f>
        <v>0</v>
      </c>
      <c r="N19" s="33">
        <f t="shared" si="2"/>
        <v>0</v>
      </c>
      <c r="O19" s="124"/>
      <c r="P19" s="173"/>
    </row>
    <row r="20" spans="1:16" ht="45" x14ac:dyDescent="0.25">
      <c r="A20" s="39">
        <f>SUBTOTAL(3,$B$3:B20)</f>
        <v>18</v>
      </c>
      <c r="B20" s="9" t="s">
        <v>144</v>
      </c>
      <c r="C20" s="9" t="s">
        <v>125</v>
      </c>
      <c r="D20" s="38" t="s">
        <v>108</v>
      </c>
      <c r="E20" s="4" t="s">
        <v>78</v>
      </c>
      <c r="F20" s="2" t="s">
        <v>27</v>
      </c>
      <c r="G20" s="38">
        <v>10</v>
      </c>
      <c r="H20" s="39">
        <v>10</v>
      </c>
      <c r="I20" s="122">
        <v>40</v>
      </c>
      <c r="J20" s="42">
        <f>VLOOKUP(E20,'Affiliated(55m)'!$E$3:$J$57,6,0)</f>
        <v>100</v>
      </c>
      <c r="K20" s="39">
        <f t="shared" si="1"/>
        <v>4</v>
      </c>
      <c r="L20" s="39">
        <f t="shared" si="0"/>
        <v>40</v>
      </c>
      <c r="M20" s="39">
        <f>L20</f>
        <v>40</v>
      </c>
      <c r="N20" s="33">
        <f t="shared" si="2"/>
        <v>4</v>
      </c>
      <c r="O20" s="122">
        <f>SUM(M20:M22)</f>
        <v>60</v>
      </c>
      <c r="P20" s="172">
        <f>O20/I20</f>
        <v>1.5</v>
      </c>
    </row>
    <row r="21" spans="1:16" ht="45" x14ac:dyDescent="0.25">
      <c r="A21" s="39">
        <f>SUBTOTAL(3,$B$3:B21)</f>
        <v>19</v>
      </c>
      <c r="B21" s="9" t="s">
        <v>144</v>
      </c>
      <c r="C21" s="9" t="s">
        <v>127</v>
      </c>
      <c r="D21" s="38" t="s">
        <v>108</v>
      </c>
      <c r="E21" s="4" t="s">
        <v>81</v>
      </c>
      <c r="F21" s="2" t="s">
        <v>30</v>
      </c>
      <c r="G21" s="38">
        <v>10</v>
      </c>
      <c r="H21" s="39">
        <v>10</v>
      </c>
      <c r="I21" s="123"/>
      <c r="J21" s="42">
        <f>VLOOKUP(E21,'Affiliated(55m)'!$E$3:$J$57,6,0)</f>
        <v>45.38</v>
      </c>
      <c r="K21" s="39">
        <f t="shared" si="1"/>
        <v>2</v>
      </c>
      <c r="L21" s="39">
        <f t="shared" si="0"/>
        <v>20</v>
      </c>
      <c r="M21" s="39">
        <f>L21</f>
        <v>20</v>
      </c>
      <c r="N21" s="33">
        <f t="shared" si="2"/>
        <v>2</v>
      </c>
      <c r="O21" s="123"/>
      <c r="P21" s="174"/>
    </row>
    <row r="22" spans="1:16" ht="45" x14ac:dyDescent="0.25">
      <c r="A22" s="39">
        <f>SUBTOTAL(3,$B$3:B22)</f>
        <v>20</v>
      </c>
      <c r="B22" s="9" t="s">
        <v>144</v>
      </c>
      <c r="C22" s="9" t="s">
        <v>128</v>
      </c>
      <c r="D22" s="38" t="s">
        <v>108</v>
      </c>
      <c r="E22" s="4" t="s">
        <v>82</v>
      </c>
      <c r="F22" s="2" t="s">
        <v>31</v>
      </c>
      <c r="G22" s="38">
        <v>20</v>
      </c>
      <c r="H22" s="39">
        <v>20</v>
      </c>
      <c r="I22" s="124"/>
      <c r="J22" s="42">
        <f>VLOOKUP(E22,'Affiliated(55m)'!$E$3:$J$57,6,0)</f>
        <v>0.38</v>
      </c>
      <c r="K22" s="39">
        <f t="shared" si="1"/>
        <v>0</v>
      </c>
      <c r="L22" s="39">
        <f t="shared" si="0"/>
        <v>0</v>
      </c>
      <c r="M22" s="39">
        <f>L22</f>
        <v>0</v>
      </c>
      <c r="N22" s="33">
        <f t="shared" si="2"/>
        <v>0</v>
      </c>
      <c r="O22" s="124"/>
      <c r="P22" s="173"/>
    </row>
    <row r="23" spans="1:16" ht="45" x14ac:dyDescent="0.25">
      <c r="A23" s="39">
        <f>SUBTOTAL(3,$B$3:B23)</f>
        <v>21</v>
      </c>
      <c r="B23" s="10" t="s">
        <v>145</v>
      </c>
      <c r="C23" s="9" t="s">
        <v>129</v>
      </c>
      <c r="D23" s="38" t="s">
        <v>108</v>
      </c>
      <c r="E23" s="4" t="s">
        <v>83</v>
      </c>
      <c r="F23" s="2" t="s">
        <v>32</v>
      </c>
      <c r="G23" s="38">
        <v>20</v>
      </c>
      <c r="H23" s="122">
        <v>50</v>
      </c>
      <c r="I23" s="122">
        <v>130</v>
      </c>
      <c r="J23" s="42">
        <f>VLOOKUP(E23,'Affiliated(55m)'!$E$3:$J$57,6,0)</f>
        <v>65.790000000000006</v>
      </c>
      <c r="K23" s="39">
        <f t="shared" si="1"/>
        <v>3</v>
      </c>
      <c r="L23" s="39">
        <f t="shared" si="0"/>
        <v>60</v>
      </c>
      <c r="M23" s="122">
        <f>SUM(L23:L26)</f>
        <v>120</v>
      </c>
      <c r="N23" s="172">
        <f t="shared" si="2"/>
        <v>2.4</v>
      </c>
      <c r="O23" s="122">
        <f>SUM(M23:M30)</f>
        <v>245</v>
      </c>
      <c r="P23" s="172">
        <f>O23/I23</f>
        <v>1.8846153846153846</v>
      </c>
    </row>
    <row r="24" spans="1:16" ht="89.25" x14ac:dyDescent="0.25">
      <c r="A24" s="39">
        <f>SUBTOTAL(3,$B$3:B24)</f>
        <v>22</v>
      </c>
      <c r="B24" s="10" t="s">
        <v>145</v>
      </c>
      <c r="C24" s="9" t="s">
        <v>129</v>
      </c>
      <c r="D24" s="38" t="s">
        <v>108</v>
      </c>
      <c r="E24" s="4" t="s">
        <v>84</v>
      </c>
      <c r="F24" s="2" t="s">
        <v>149</v>
      </c>
      <c r="G24" s="38">
        <v>10</v>
      </c>
      <c r="H24" s="123"/>
      <c r="I24" s="123"/>
      <c r="J24" s="42" t="str">
        <f>VLOOKUP(E24,'Affiliated(55m)'!$E$3:$J$57,6,0)</f>
        <v>C</v>
      </c>
      <c r="K24" s="39">
        <f>IF(EXACT(J24,"A"),4,IF(EXACT(J24,"B"),3,IF(EXACT(J24,"C"),2,IF(EXACT(J24,"D"),1,0))))</f>
        <v>2</v>
      </c>
      <c r="L24" s="39">
        <f t="shared" si="0"/>
        <v>20</v>
      </c>
      <c r="M24" s="123"/>
      <c r="N24" s="174"/>
      <c r="O24" s="123"/>
      <c r="P24" s="174"/>
    </row>
    <row r="25" spans="1:16" ht="45" x14ac:dyDescent="0.25">
      <c r="A25" s="39">
        <f>SUBTOTAL(3,$B$3:B25)</f>
        <v>23</v>
      </c>
      <c r="B25" s="10" t="s">
        <v>145</v>
      </c>
      <c r="C25" s="9" t="s">
        <v>129</v>
      </c>
      <c r="D25" s="38" t="s">
        <v>108</v>
      </c>
      <c r="E25" s="4" t="s">
        <v>85</v>
      </c>
      <c r="F25" s="2" t="s">
        <v>33</v>
      </c>
      <c r="G25" s="38">
        <v>10</v>
      </c>
      <c r="H25" s="123"/>
      <c r="I25" s="123"/>
      <c r="J25" s="42">
        <f>VLOOKUP(E25,'Affiliated(55m)'!$E$3:$J$57,6,0)</f>
        <v>4.3499999999999996</v>
      </c>
      <c r="K25" s="39">
        <f>IF(J25&gt;80,4,IF(AND(J25&lt;=80,J25&gt;60),3,IF(AND(J25&lt;=60,J25&gt;40),2,IF(AND(J25&lt;=40,J25&gt;20),1,IF(J25&lt;=20,0)))))</f>
        <v>0</v>
      </c>
      <c r="L25" s="39">
        <f t="shared" si="0"/>
        <v>0</v>
      </c>
      <c r="M25" s="123"/>
      <c r="N25" s="174"/>
      <c r="O25" s="123"/>
      <c r="P25" s="174"/>
    </row>
    <row r="26" spans="1:16" ht="99.75" customHeight="1" x14ac:dyDescent="0.25">
      <c r="A26" s="39">
        <f>SUBTOTAL(3,$B$3:B26)</f>
        <v>24</v>
      </c>
      <c r="B26" s="10" t="s">
        <v>145</v>
      </c>
      <c r="C26" s="9" t="s">
        <v>129</v>
      </c>
      <c r="D26" s="38" t="s">
        <v>108</v>
      </c>
      <c r="E26" s="4" t="s">
        <v>86</v>
      </c>
      <c r="F26" s="2" t="s">
        <v>148</v>
      </c>
      <c r="G26" s="38">
        <v>10</v>
      </c>
      <c r="H26" s="124"/>
      <c r="I26" s="123"/>
      <c r="J26" s="42" t="str">
        <f>VLOOKUP(E26,'Affiliated(55m)'!$E$3:$J$57,6,0)</f>
        <v>A</v>
      </c>
      <c r="K26" s="39">
        <f>IF(EXACT(J26,"A"),4,IF(EXACT(J26,"B"),3,IF(EXACT(J26,"C"),2,IF(EXACT(J26,"D"),1,0))))</f>
        <v>4</v>
      </c>
      <c r="L26" s="39">
        <f t="shared" si="0"/>
        <v>40</v>
      </c>
      <c r="M26" s="124"/>
      <c r="N26" s="173"/>
      <c r="O26" s="123"/>
      <c r="P26" s="174"/>
    </row>
    <row r="27" spans="1:16" ht="45" x14ac:dyDescent="0.25">
      <c r="A27" s="39">
        <f>SUBTOTAL(3,$B$3:B27)</f>
        <v>25</v>
      </c>
      <c r="B27" s="10" t="s">
        <v>145</v>
      </c>
      <c r="C27" s="9" t="s">
        <v>130</v>
      </c>
      <c r="D27" s="38" t="s">
        <v>108</v>
      </c>
      <c r="E27" s="4" t="s">
        <v>87</v>
      </c>
      <c r="F27" s="2" t="s">
        <v>34</v>
      </c>
      <c r="G27" s="38">
        <v>20</v>
      </c>
      <c r="H27" s="122">
        <v>30</v>
      </c>
      <c r="I27" s="123"/>
      <c r="J27" s="42">
        <f>VLOOKUP(E27,'Affiliated(55m)'!$E$3:$J$57,6,0)</f>
        <v>74.900000000000006</v>
      </c>
      <c r="K27" s="39">
        <f>IF(J27&gt;80,4,IF(AND(J27&lt;=80,J27&gt;60),3,IF(AND(J27&lt;=60,J27&gt;40),2,IF(AND(J27&lt;=40,J27&gt;20),1,IF(J27&lt;=20,0)))))</f>
        <v>3</v>
      </c>
      <c r="L27" s="39">
        <f t="shared" si="0"/>
        <v>60</v>
      </c>
      <c r="M27" s="122">
        <f>SUM(L27:L28)</f>
        <v>100</v>
      </c>
      <c r="N27" s="172">
        <f>M27/H27</f>
        <v>3.3333333333333335</v>
      </c>
      <c r="O27" s="123"/>
      <c r="P27" s="174"/>
    </row>
    <row r="28" spans="1:16" ht="51" x14ac:dyDescent="0.25">
      <c r="A28" s="39">
        <f>SUBTOTAL(3,$B$3:B28)</f>
        <v>26</v>
      </c>
      <c r="B28" s="10" t="s">
        <v>145</v>
      </c>
      <c r="C28" s="9" t="s">
        <v>130</v>
      </c>
      <c r="D28" s="38" t="s">
        <v>108</v>
      </c>
      <c r="E28" s="4" t="s">
        <v>88</v>
      </c>
      <c r="F28" s="2" t="s">
        <v>35</v>
      </c>
      <c r="G28" s="38">
        <v>10</v>
      </c>
      <c r="H28" s="124"/>
      <c r="I28" s="123"/>
      <c r="J28" s="42">
        <f>VLOOKUP(E28,'Affiliated(55m)'!$E$3:$J$57,6,0)</f>
        <v>100</v>
      </c>
      <c r="K28" s="39">
        <f>IF(J28&gt;80,4,IF(AND(J28&lt;=80,J28&gt;60),3,IF(AND(J28&lt;=60,J28&gt;40),2,IF(AND(J28&lt;=40,J28&gt;20),1,IF(J28&lt;=20,0)))))</f>
        <v>4</v>
      </c>
      <c r="L28" s="39">
        <f t="shared" si="0"/>
        <v>40</v>
      </c>
      <c r="M28" s="124"/>
      <c r="N28" s="173"/>
      <c r="O28" s="123"/>
      <c r="P28" s="174"/>
    </row>
    <row r="29" spans="1:16" ht="51" x14ac:dyDescent="0.25">
      <c r="A29" s="39">
        <f>SUBTOTAL(3,$B$3:B29)</f>
        <v>27</v>
      </c>
      <c r="B29" s="10" t="s">
        <v>145</v>
      </c>
      <c r="C29" s="9" t="s">
        <v>131</v>
      </c>
      <c r="D29" s="38" t="s">
        <v>108</v>
      </c>
      <c r="E29" s="4" t="s">
        <v>89</v>
      </c>
      <c r="F29" s="2" t="s">
        <v>36</v>
      </c>
      <c r="G29" s="38">
        <v>25</v>
      </c>
      <c r="H29" s="122">
        <v>50</v>
      </c>
      <c r="I29" s="123"/>
      <c r="J29" s="42">
        <f>VLOOKUP(E29,'Affiliated(55m)'!$E$3:$J$57,6,0)</f>
        <v>11</v>
      </c>
      <c r="K29" s="39">
        <f>IF(J29&gt;80,4,IF(AND(J29&lt;=80,J29&gt;60),3,IF(AND(J29&lt;=60,J29&gt;40),2,IF(AND(J29&lt;=40,J29&gt;20),1,IF(J29&lt;=20,0)))))</f>
        <v>0</v>
      </c>
      <c r="L29" s="39">
        <f t="shared" si="0"/>
        <v>0</v>
      </c>
      <c r="M29" s="122">
        <f>SUM(L29:L30)</f>
        <v>25</v>
      </c>
      <c r="N29" s="172">
        <f>M29/H29</f>
        <v>0.5</v>
      </c>
      <c r="O29" s="123"/>
      <c r="P29" s="174"/>
    </row>
    <row r="30" spans="1:16" ht="45" x14ac:dyDescent="0.25">
      <c r="A30" s="39">
        <f>SUBTOTAL(3,$B$3:B30)</f>
        <v>28</v>
      </c>
      <c r="B30" s="10" t="s">
        <v>145</v>
      </c>
      <c r="C30" s="9" t="s">
        <v>131</v>
      </c>
      <c r="D30" s="38" t="s">
        <v>108</v>
      </c>
      <c r="E30" s="4" t="s">
        <v>90</v>
      </c>
      <c r="F30" s="2" t="s">
        <v>37</v>
      </c>
      <c r="G30" s="38">
        <v>25</v>
      </c>
      <c r="H30" s="124"/>
      <c r="I30" s="124"/>
      <c r="J30" s="42">
        <f>VLOOKUP(E30,'Affiliated(55m)'!$E$3:$J$57,6,0)</f>
        <v>22.4</v>
      </c>
      <c r="K30" s="39">
        <f>IF(J30&gt;80,4,IF(AND(J30&lt;=80,J30&gt;60),3,IF(AND(J30&lt;=60,J30&gt;40),2,IF(AND(J30&lt;=40,J30&gt;20),1,IF(J30&lt;=20,0)))))</f>
        <v>1</v>
      </c>
      <c r="L30" s="39">
        <f t="shared" si="0"/>
        <v>25</v>
      </c>
      <c r="M30" s="124"/>
      <c r="N30" s="173"/>
      <c r="O30" s="124"/>
      <c r="P30" s="173"/>
    </row>
    <row r="31" spans="1:16" ht="76.5" x14ac:dyDescent="0.25">
      <c r="A31" s="39">
        <f>SUBTOTAL(3,$B$3:B31)</f>
        <v>29</v>
      </c>
      <c r="B31" s="9" t="s">
        <v>146</v>
      </c>
      <c r="C31" s="9" t="s">
        <v>134</v>
      </c>
      <c r="D31" s="38" t="s">
        <v>108</v>
      </c>
      <c r="E31" s="4" t="s">
        <v>94</v>
      </c>
      <c r="F31" s="2" t="s">
        <v>39</v>
      </c>
      <c r="G31" s="38">
        <v>4</v>
      </c>
      <c r="H31" s="39">
        <v>4</v>
      </c>
      <c r="I31" s="122">
        <v>46</v>
      </c>
      <c r="J31" s="42" t="str">
        <f>VLOOKUP(E31,'Affiliated(55m)'!$E$3:$J$57,6,0)</f>
        <v>A</v>
      </c>
      <c r="K31" s="39">
        <f>IF(EXACT(J31,"A"),4,IF(EXACT(J31,"B"),3,IF(EXACT(J31,"C"),2,IF(EXACT(J31,"D"),1,0))))</f>
        <v>4</v>
      </c>
      <c r="L31" s="39">
        <f t="shared" si="0"/>
        <v>16</v>
      </c>
      <c r="M31" s="39">
        <f>L31</f>
        <v>16</v>
      </c>
      <c r="N31" s="33">
        <f>M31/H31</f>
        <v>4</v>
      </c>
      <c r="O31" s="122">
        <f>SUM(M31:M34)</f>
        <v>61</v>
      </c>
      <c r="P31" s="172">
        <f>O31/I31</f>
        <v>1.326086956521739</v>
      </c>
    </row>
    <row r="32" spans="1:16" ht="45" x14ac:dyDescent="0.25">
      <c r="A32" s="39">
        <f>SUBTOTAL(3,$B$3:B32)</f>
        <v>30</v>
      </c>
      <c r="B32" s="9" t="s">
        <v>146</v>
      </c>
      <c r="C32" s="9" t="s">
        <v>135</v>
      </c>
      <c r="D32" s="38" t="s">
        <v>108</v>
      </c>
      <c r="E32" s="4" t="s">
        <v>96</v>
      </c>
      <c r="F32" s="2" t="s">
        <v>41</v>
      </c>
      <c r="G32" s="38">
        <v>12</v>
      </c>
      <c r="H32" s="122">
        <v>27</v>
      </c>
      <c r="I32" s="123"/>
      <c r="J32" s="42">
        <f>VLOOKUP(E32,'Affiliated(55m)'!$E$3:$J$57,6,0)</f>
        <v>0</v>
      </c>
      <c r="K32" s="39">
        <f>IF(J32&gt;80,4,IF(AND(J32&lt;=80,J32&gt;60),3,IF(AND(J32&lt;=60,J32&gt;40),2,IF(AND(J32&lt;=40,J32&gt;20),1,IF(J32&lt;=20,0)))))</f>
        <v>0</v>
      </c>
      <c r="L32" s="39">
        <f t="shared" si="0"/>
        <v>0</v>
      </c>
      <c r="M32" s="122">
        <f>SUM(L32:L33)</f>
        <v>0</v>
      </c>
      <c r="N32" s="172">
        <f>M32/H32</f>
        <v>0</v>
      </c>
      <c r="O32" s="123"/>
      <c r="P32" s="174"/>
    </row>
    <row r="33" spans="1:22" ht="51" x14ac:dyDescent="0.25">
      <c r="A33" s="39">
        <f>SUBTOTAL(3,$B$3:B33)</f>
        <v>31</v>
      </c>
      <c r="B33" s="9" t="s">
        <v>146</v>
      </c>
      <c r="C33" s="9" t="s">
        <v>135</v>
      </c>
      <c r="D33" s="38" t="s">
        <v>108</v>
      </c>
      <c r="E33" s="4" t="s">
        <v>97</v>
      </c>
      <c r="F33" s="2" t="s">
        <v>42</v>
      </c>
      <c r="G33" s="38">
        <v>15</v>
      </c>
      <c r="H33" s="124"/>
      <c r="I33" s="123"/>
      <c r="J33" s="42">
        <f>VLOOKUP(E33,'Affiliated(55m)'!$E$3:$J$57,6,0)</f>
        <v>5.52</v>
      </c>
      <c r="K33" s="39">
        <f>IF(J33&gt;80,4,IF(AND(J33&lt;=80,J33&gt;60),3,IF(AND(J33&lt;=60,J33&gt;40),2,IF(AND(J33&lt;=40,J33&gt;20),1,IF(J33&lt;=20,0)))))</f>
        <v>0</v>
      </c>
      <c r="L33" s="39">
        <f t="shared" si="0"/>
        <v>0</v>
      </c>
      <c r="M33" s="124"/>
      <c r="N33" s="173"/>
      <c r="O33" s="123"/>
      <c r="P33" s="174"/>
    </row>
    <row r="34" spans="1:22" ht="127.5" x14ac:dyDescent="0.25">
      <c r="A34" s="39">
        <f>SUBTOTAL(3,$B$3:B34)</f>
        <v>32</v>
      </c>
      <c r="B34" s="9" t="s">
        <v>146</v>
      </c>
      <c r="C34" s="9" t="s">
        <v>137</v>
      </c>
      <c r="D34" s="38" t="s">
        <v>108</v>
      </c>
      <c r="E34" s="4" t="s">
        <v>100</v>
      </c>
      <c r="F34" s="2" t="s">
        <v>45</v>
      </c>
      <c r="G34" s="38">
        <v>15</v>
      </c>
      <c r="H34" s="39">
        <v>15</v>
      </c>
      <c r="I34" s="124"/>
      <c r="J34" s="42" t="str">
        <f>VLOOKUP(E34,'Affiliated(55m)'!$E$3:$J$57,6,0)</f>
        <v>B</v>
      </c>
      <c r="K34" s="39">
        <f>IF(EXACT(J34,"A"),4,IF(EXACT(J34,"B"),3,IF(EXACT(J34,"C"),2,IF(EXACT(J34,"D"),1,0))))</f>
        <v>3</v>
      </c>
      <c r="L34" s="39">
        <f t="shared" si="0"/>
        <v>45</v>
      </c>
      <c r="M34" s="39">
        <f>L34</f>
        <v>45</v>
      </c>
      <c r="N34" s="33">
        <f>M34/H34</f>
        <v>3</v>
      </c>
      <c r="O34" s="124"/>
      <c r="P34" s="173"/>
    </row>
    <row r="35" spans="1:22" ht="111" customHeight="1" x14ac:dyDescent="0.25">
      <c r="A35" s="39">
        <f>SUBTOTAL(3,$B$3:B35)</f>
        <v>33</v>
      </c>
      <c r="B35" s="9" t="s">
        <v>147</v>
      </c>
      <c r="C35" s="9" t="s">
        <v>138</v>
      </c>
      <c r="D35" s="38" t="s">
        <v>108</v>
      </c>
      <c r="E35" s="4" t="s">
        <v>102</v>
      </c>
      <c r="F35" s="2" t="s">
        <v>47</v>
      </c>
      <c r="G35" s="38">
        <v>20</v>
      </c>
      <c r="H35" s="122">
        <v>30</v>
      </c>
      <c r="I35" s="122">
        <v>30</v>
      </c>
      <c r="J35" s="42" t="str">
        <f>VLOOKUP(E35,'Affiliated(55m)'!$E$3:$J$57,6,0)</f>
        <v>A</v>
      </c>
      <c r="K35" s="39">
        <f>IF(EXACT(J35,"A"),4,IF(EXACT(J35,"B"),3,IF(EXACT(J35,"C"),2,IF(EXACT(J35,"D"),1,0))))</f>
        <v>4</v>
      </c>
      <c r="L35" s="39">
        <f t="shared" si="0"/>
        <v>80</v>
      </c>
      <c r="M35" s="122">
        <f>SUM(L35:L36)</f>
        <v>100</v>
      </c>
      <c r="N35" s="172">
        <f>M35/H35</f>
        <v>3.3333333333333335</v>
      </c>
      <c r="O35" s="122">
        <f>SUM(M35:M36)</f>
        <v>100</v>
      </c>
      <c r="P35" s="172">
        <f>O35/I35</f>
        <v>3.3333333333333335</v>
      </c>
    </row>
    <row r="36" spans="1:22" ht="114.75" customHeight="1" x14ac:dyDescent="0.25">
      <c r="A36" s="39">
        <f>SUBTOTAL(3,$B$3:B36)</f>
        <v>34</v>
      </c>
      <c r="B36" s="9" t="s">
        <v>147</v>
      </c>
      <c r="C36" s="9" t="s">
        <v>138</v>
      </c>
      <c r="D36" s="38" t="s">
        <v>108</v>
      </c>
      <c r="E36" s="38" t="s">
        <v>103</v>
      </c>
      <c r="F36" s="2" t="s">
        <v>48</v>
      </c>
      <c r="G36" s="38">
        <v>10</v>
      </c>
      <c r="H36" s="124"/>
      <c r="I36" s="124"/>
      <c r="J36" s="42" t="str">
        <f>VLOOKUP(E36,'Affiliated(55m)'!$E$3:$J$57,6,0)</f>
        <v>C</v>
      </c>
      <c r="K36" s="39">
        <f>IF(EXACT(J36,"A"),4,IF(EXACT(J36,"B"),3,IF(EXACT(J36,"C"),2,IF(EXACT(J36,"D"),1,0))))</f>
        <v>2</v>
      </c>
      <c r="L36" s="39">
        <f t="shared" si="0"/>
        <v>20</v>
      </c>
      <c r="M36" s="124"/>
      <c r="N36" s="173"/>
      <c r="O36" s="124"/>
      <c r="P36" s="173"/>
      <c r="S36" s="98"/>
      <c r="T36" s="98"/>
      <c r="U36" s="98"/>
      <c r="V36" s="98"/>
    </row>
    <row r="37" spans="1:22" ht="15" customHeight="1" x14ac:dyDescent="0.25">
      <c r="S37" s="98"/>
      <c r="T37" s="98"/>
      <c r="U37" s="98"/>
      <c r="V37" s="98"/>
    </row>
    <row r="38" spans="1:22" ht="15" customHeight="1" thickBot="1" x14ac:dyDescent="0.3">
      <c r="S38" s="98"/>
      <c r="T38" s="98"/>
      <c r="U38" s="98"/>
      <c r="V38" s="98"/>
    </row>
    <row r="39" spans="1:22" ht="23.25" thickBot="1" x14ac:dyDescent="0.3">
      <c r="J39" s="125" t="s">
        <v>282</v>
      </c>
      <c r="K39" s="126"/>
      <c r="L39" s="126"/>
      <c r="M39" s="126"/>
      <c r="N39" s="126"/>
      <c r="O39" s="126"/>
      <c r="P39" s="126"/>
      <c r="Q39" s="126"/>
      <c r="R39" s="127"/>
      <c r="S39" s="99"/>
      <c r="T39" s="99"/>
      <c r="U39" s="99"/>
      <c r="V39" s="98"/>
    </row>
    <row r="40" spans="1:22" x14ac:dyDescent="0.25">
      <c r="S40" s="98"/>
      <c r="T40" s="98"/>
      <c r="U40" s="98"/>
      <c r="V40" s="98"/>
    </row>
    <row r="41" spans="1:22" ht="15.75" thickBot="1" x14ac:dyDescent="0.3">
      <c r="S41" s="101"/>
      <c r="T41" s="101"/>
      <c r="U41" s="101"/>
      <c r="V41" s="98"/>
    </row>
    <row r="42" spans="1:22" ht="19.5" thickBot="1" x14ac:dyDescent="0.35">
      <c r="F42" s="93" t="s">
        <v>280</v>
      </c>
      <c r="G42" s="100" t="s">
        <v>281</v>
      </c>
      <c r="J42" s="128" t="s">
        <v>285</v>
      </c>
      <c r="K42" s="129"/>
      <c r="L42" s="129"/>
      <c r="M42" s="129"/>
      <c r="N42" s="129"/>
      <c r="O42" s="129"/>
      <c r="P42" s="129"/>
      <c r="Q42" s="129"/>
      <c r="R42" s="130"/>
      <c r="S42" s="102"/>
      <c r="T42" s="102"/>
      <c r="U42" s="102"/>
    </row>
    <row r="43" spans="1:22" x14ac:dyDescent="0.25">
      <c r="F43" s="94" t="s">
        <v>141</v>
      </c>
      <c r="G43" s="95">
        <v>1</v>
      </c>
      <c r="S43" s="101"/>
      <c r="T43" s="101"/>
      <c r="U43" s="101"/>
    </row>
    <row r="44" spans="1:22" x14ac:dyDescent="0.25">
      <c r="F44" s="94" t="s">
        <v>142</v>
      </c>
      <c r="G44" s="96">
        <v>2.1428571428571428</v>
      </c>
      <c r="S44" s="101"/>
      <c r="T44" s="101"/>
      <c r="U44" s="101"/>
    </row>
    <row r="45" spans="1:22" x14ac:dyDescent="0.25">
      <c r="F45" s="94" t="s">
        <v>143</v>
      </c>
      <c r="G45" s="95">
        <v>1</v>
      </c>
    </row>
    <row r="46" spans="1:22" x14ac:dyDescent="0.25">
      <c r="F46" s="94" t="s">
        <v>144</v>
      </c>
      <c r="G46" s="96">
        <v>2.3333333333333335</v>
      </c>
    </row>
    <row r="47" spans="1:22" x14ac:dyDescent="0.25">
      <c r="F47" s="94" t="s">
        <v>145</v>
      </c>
      <c r="G47" s="96">
        <v>1.875</v>
      </c>
    </row>
    <row r="48" spans="1:22" x14ac:dyDescent="0.25">
      <c r="F48" s="94" t="s">
        <v>146</v>
      </c>
      <c r="G48" s="95">
        <v>1</v>
      </c>
    </row>
    <row r="49" spans="6:18" x14ac:dyDescent="0.25">
      <c r="F49" s="94" t="s">
        <v>147</v>
      </c>
      <c r="G49" s="95">
        <v>3.5</v>
      </c>
    </row>
    <row r="50" spans="6:18" x14ac:dyDescent="0.25">
      <c r="F50" s="94" t="s">
        <v>276</v>
      </c>
      <c r="G50" s="95">
        <v>1.7058823529411764</v>
      </c>
    </row>
    <row r="57" spans="6:18" ht="30" x14ac:dyDescent="0.25">
      <c r="F57" s="93" t="s">
        <v>280</v>
      </c>
      <c r="G57" s="97" t="s">
        <v>281</v>
      </c>
    </row>
    <row r="58" spans="6:18" x14ac:dyDescent="0.25">
      <c r="F58" s="94" t="s">
        <v>110</v>
      </c>
      <c r="G58" s="95">
        <v>0</v>
      </c>
    </row>
    <row r="59" spans="6:18" x14ac:dyDescent="0.25">
      <c r="F59" s="94" t="s">
        <v>111</v>
      </c>
      <c r="G59" s="95">
        <v>0</v>
      </c>
    </row>
    <row r="60" spans="6:18" x14ac:dyDescent="0.25">
      <c r="F60" s="94" t="s">
        <v>112</v>
      </c>
      <c r="G60" s="95">
        <v>4</v>
      </c>
    </row>
    <row r="61" spans="6:18" x14ac:dyDescent="0.25">
      <c r="F61" s="94" t="s">
        <v>113</v>
      </c>
      <c r="G61" s="95">
        <v>2.5</v>
      </c>
    </row>
    <row r="62" spans="6:18" x14ac:dyDescent="0.25">
      <c r="F62" s="94" t="s">
        <v>114</v>
      </c>
      <c r="G62" s="95">
        <v>3</v>
      </c>
    </row>
    <row r="63" spans="6:18" ht="15.75" thickBot="1" x14ac:dyDescent="0.3">
      <c r="F63" s="94" t="s">
        <v>116</v>
      </c>
      <c r="G63" s="95">
        <v>2.5</v>
      </c>
    </row>
    <row r="64" spans="6:18" ht="19.5" thickBot="1" x14ac:dyDescent="0.35">
      <c r="F64" s="94" t="s">
        <v>118</v>
      </c>
      <c r="G64" s="95">
        <v>2</v>
      </c>
      <c r="J64" s="128" t="s">
        <v>284</v>
      </c>
      <c r="K64" s="129"/>
      <c r="L64" s="129"/>
      <c r="M64" s="129"/>
      <c r="N64" s="129"/>
      <c r="O64" s="129"/>
      <c r="P64" s="129"/>
      <c r="Q64" s="129"/>
      <c r="R64" s="130"/>
    </row>
    <row r="65" spans="6:7" x14ac:dyDescent="0.25">
      <c r="F65" s="94" t="s">
        <v>119</v>
      </c>
      <c r="G65" s="95">
        <v>0</v>
      </c>
    </row>
    <row r="66" spans="6:7" x14ac:dyDescent="0.25">
      <c r="F66" s="94" t="s">
        <v>120</v>
      </c>
      <c r="G66" s="95">
        <v>0</v>
      </c>
    </row>
    <row r="67" spans="6:7" x14ac:dyDescent="0.25">
      <c r="F67" s="94" t="s">
        <v>121</v>
      </c>
      <c r="G67" s="95">
        <v>0</v>
      </c>
    </row>
    <row r="68" spans="6:7" x14ac:dyDescent="0.25">
      <c r="F68" s="94" t="s">
        <v>122</v>
      </c>
      <c r="G68" s="95">
        <v>3</v>
      </c>
    </row>
    <row r="69" spans="6:7" x14ac:dyDescent="0.25">
      <c r="F69" s="94" t="s">
        <v>123</v>
      </c>
      <c r="G69" s="95">
        <v>0</v>
      </c>
    </row>
    <row r="70" spans="6:7" x14ac:dyDescent="0.25">
      <c r="F70" s="94" t="s">
        <v>124</v>
      </c>
      <c r="G70" s="95">
        <v>0</v>
      </c>
    </row>
    <row r="71" spans="6:7" x14ac:dyDescent="0.25">
      <c r="F71" s="94" t="s">
        <v>125</v>
      </c>
      <c r="G71" s="95">
        <v>2</v>
      </c>
    </row>
    <row r="72" spans="6:7" x14ac:dyDescent="0.25">
      <c r="F72" s="94" t="s">
        <v>127</v>
      </c>
      <c r="G72" s="95">
        <v>3</v>
      </c>
    </row>
    <row r="73" spans="6:7" x14ac:dyDescent="0.25">
      <c r="F73" s="94" t="s">
        <v>128</v>
      </c>
      <c r="G73" s="95">
        <v>2</v>
      </c>
    </row>
    <row r="74" spans="6:7" x14ac:dyDescent="0.25">
      <c r="F74" s="94" t="s">
        <v>129</v>
      </c>
      <c r="G74" s="95">
        <v>2.75</v>
      </c>
    </row>
    <row r="75" spans="6:7" x14ac:dyDescent="0.25">
      <c r="F75" s="94" t="s">
        <v>130</v>
      </c>
      <c r="G75" s="95">
        <v>2</v>
      </c>
    </row>
    <row r="76" spans="6:7" x14ac:dyDescent="0.25">
      <c r="F76" s="94" t="s">
        <v>131</v>
      </c>
      <c r="G76" s="95">
        <v>0</v>
      </c>
    </row>
    <row r="77" spans="6:7" x14ac:dyDescent="0.25">
      <c r="F77" s="94" t="s">
        <v>134</v>
      </c>
      <c r="G77" s="95">
        <v>3</v>
      </c>
    </row>
    <row r="78" spans="6:7" x14ac:dyDescent="0.25">
      <c r="F78" s="94" t="s">
        <v>135</v>
      </c>
      <c r="G78" s="95">
        <v>0</v>
      </c>
    </row>
    <row r="79" spans="6:7" x14ac:dyDescent="0.25">
      <c r="F79" s="94" t="s">
        <v>137</v>
      </c>
      <c r="G79" s="95">
        <v>1</v>
      </c>
    </row>
    <row r="80" spans="6:7" x14ac:dyDescent="0.25">
      <c r="F80" s="94" t="s">
        <v>138</v>
      </c>
      <c r="G80" s="95">
        <v>3.5</v>
      </c>
    </row>
    <row r="81" spans="6:18" x14ac:dyDescent="0.25">
      <c r="F81" s="94" t="s">
        <v>276</v>
      </c>
      <c r="G81" s="95">
        <v>1.7058823529411764</v>
      </c>
    </row>
    <row r="83" spans="6:18" ht="30" x14ac:dyDescent="0.25">
      <c r="F83" s="93" t="s">
        <v>280</v>
      </c>
      <c r="G83" s="97" t="s">
        <v>281</v>
      </c>
    </row>
    <row r="84" spans="6:18" x14ac:dyDescent="0.25">
      <c r="F84" s="94" t="s">
        <v>53</v>
      </c>
      <c r="G84" s="95">
        <v>0</v>
      </c>
    </row>
    <row r="85" spans="6:18" x14ac:dyDescent="0.25">
      <c r="F85" s="94" t="s">
        <v>54</v>
      </c>
      <c r="G85" s="95">
        <v>0</v>
      </c>
    </row>
    <row r="86" spans="6:18" x14ac:dyDescent="0.25">
      <c r="F86" s="94" t="s">
        <v>56</v>
      </c>
      <c r="G86" s="95">
        <v>0</v>
      </c>
    </row>
    <row r="87" spans="6:18" ht="15.75" thickBot="1" x14ac:dyDescent="0.3">
      <c r="F87" s="94" t="s">
        <v>57</v>
      </c>
      <c r="G87" s="95">
        <v>4</v>
      </c>
    </row>
    <row r="88" spans="6:18" ht="19.5" thickBot="1" x14ac:dyDescent="0.35">
      <c r="F88" s="94" t="s">
        <v>58</v>
      </c>
      <c r="G88" s="95">
        <v>4</v>
      </c>
      <c r="J88" s="128" t="s">
        <v>283</v>
      </c>
      <c r="K88" s="129"/>
      <c r="L88" s="129"/>
      <c r="M88" s="129"/>
      <c r="N88" s="129"/>
      <c r="O88" s="129"/>
      <c r="P88" s="129"/>
      <c r="Q88" s="129"/>
      <c r="R88" s="130"/>
    </row>
    <row r="89" spans="6:18" x14ac:dyDescent="0.25">
      <c r="F89" s="94" t="s">
        <v>59</v>
      </c>
      <c r="G89" s="95">
        <v>1</v>
      </c>
    </row>
    <row r="90" spans="6:18" x14ac:dyDescent="0.25">
      <c r="F90" s="94" t="s">
        <v>60</v>
      </c>
      <c r="G90" s="95">
        <v>3</v>
      </c>
    </row>
    <row r="91" spans="6:18" x14ac:dyDescent="0.25">
      <c r="F91" s="94" t="s">
        <v>62</v>
      </c>
      <c r="G91" s="95">
        <v>4</v>
      </c>
    </row>
    <row r="92" spans="6:18" x14ac:dyDescent="0.25">
      <c r="F92" s="94" t="s">
        <v>63</v>
      </c>
      <c r="G92" s="95">
        <v>1</v>
      </c>
    </row>
    <row r="93" spans="6:18" x14ac:dyDescent="0.25">
      <c r="F93" s="94" t="s">
        <v>66</v>
      </c>
      <c r="G93" s="95">
        <v>2</v>
      </c>
    </row>
    <row r="94" spans="6:18" x14ac:dyDescent="0.25">
      <c r="F94" s="94" t="s">
        <v>67</v>
      </c>
      <c r="G94" s="95">
        <v>0</v>
      </c>
    </row>
    <row r="95" spans="6:18" x14ac:dyDescent="0.25">
      <c r="F95" s="94" t="s">
        <v>68</v>
      </c>
      <c r="G95" s="95">
        <v>0</v>
      </c>
    </row>
    <row r="96" spans="6:18" x14ac:dyDescent="0.25">
      <c r="F96" s="94" t="s">
        <v>70</v>
      </c>
      <c r="G96" s="95">
        <v>0</v>
      </c>
    </row>
    <row r="97" spans="6:7" x14ac:dyDescent="0.25">
      <c r="F97" s="94" t="s">
        <v>71</v>
      </c>
      <c r="G97" s="95">
        <v>2</v>
      </c>
    </row>
    <row r="98" spans="6:7" x14ac:dyDescent="0.25">
      <c r="F98" s="94" t="s">
        <v>72</v>
      </c>
      <c r="G98" s="95">
        <v>4</v>
      </c>
    </row>
    <row r="99" spans="6:7" x14ac:dyDescent="0.25">
      <c r="F99" s="94" t="s">
        <v>75</v>
      </c>
      <c r="G99" s="95">
        <v>0</v>
      </c>
    </row>
    <row r="100" spans="6:7" x14ac:dyDescent="0.25">
      <c r="F100" s="94" t="s">
        <v>76</v>
      </c>
      <c r="G100" s="95">
        <v>0</v>
      </c>
    </row>
    <row r="101" spans="6:7" x14ac:dyDescent="0.25">
      <c r="F101" s="94" t="s">
        <v>78</v>
      </c>
      <c r="G101" s="95">
        <v>2</v>
      </c>
    </row>
    <row r="102" spans="6:7" x14ac:dyDescent="0.25">
      <c r="F102" s="94" t="s">
        <v>81</v>
      </c>
      <c r="G102" s="95">
        <v>3</v>
      </c>
    </row>
    <row r="103" spans="6:7" x14ac:dyDescent="0.25">
      <c r="F103" s="94" t="s">
        <v>82</v>
      </c>
      <c r="G103" s="95">
        <v>2</v>
      </c>
    </row>
    <row r="104" spans="6:7" x14ac:dyDescent="0.25">
      <c r="F104" s="94" t="s">
        <v>83</v>
      </c>
      <c r="G104" s="95">
        <v>3</v>
      </c>
    </row>
    <row r="105" spans="6:7" x14ac:dyDescent="0.25">
      <c r="F105" s="94" t="s">
        <v>84</v>
      </c>
      <c r="G105" s="95">
        <v>4</v>
      </c>
    </row>
    <row r="106" spans="6:7" x14ac:dyDescent="0.25">
      <c r="F106" s="94" t="s">
        <v>85</v>
      </c>
      <c r="G106" s="95">
        <v>0</v>
      </c>
    </row>
    <row r="107" spans="6:7" x14ac:dyDescent="0.25">
      <c r="F107" s="94" t="s">
        <v>86</v>
      </c>
      <c r="G107" s="95">
        <v>4</v>
      </c>
    </row>
    <row r="108" spans="6:7" x14ac:dyDescent="0.25">
      <c r="F108" s="94" t="s">
        <v>87</v>
      </c>
      <c r="G108" s="95">
        <v>0</v>
      </c>
    </row>
    <row r="109" spans="6:7" x14ac:dyDescent="0.25">
      <c r="F109" s="94" t="s">
        <v>88</v>
      </c>
      <c r="G109" s="95">
        <v>4</v>
      </c>
    </row>
    <row r="110" spans="6:7" x14ac:dyDescent="0.25">
      <c r="F110" s="94" t="s">
        <v>89</v>
      </c>
      <c r="G110" s="95">
        <v>0</v>
      </c>
    </row>
    <row r="111" spans="6:7" x14ac:dyDescent="0.25">
      <c r="F111" s="94" t="s">
        <v>90</v>
      </c>
      <c r="G111" s="95">
        <v>0</v>
      </c>
    </row>
    <row r="112" spans="6:7" x14ac:dyDescent="0.25">
      <c r="F112" s="94" t="s">
        <v>94</v>
      </c>
      <c r="G112" s="95">
        <v>3</v>
      </c>
    </row>
    <row r="113" spans="6:7" x14ac:dyDescent="0.25">
      <c r="F113" s="94" t="s">
        <v>96</v>
      </c>
      <c r="G113" s="95">
        <v>0</v>
      </c>
    </row>
    <row r="114" spans="6:7" x14ac:dyDescent="0.25">
      <c r="F114" s="94" t="s">
        <v>97</v>
      </c>
      <c r="G114" s="95">
        <v>0</v>
      </c>
    </row>
    <row r="115" spans="6:7" x14ac:dyDescent="0.25">
      <c r="F115" s="94" t="s">
        <v>100</v>
      </c>
      <c r="G115" s="95">
        <v>1</v>
      </c>
    </row>
    <row r="116" spans="6:7" x14ac:dyDescent="0.25">
      <c r="F116" s="94" t="s">
        <v>102</v>
      </c>
      <c r="G116" s="95">
        <v>4</v>
      </c>
    </row>
    <row r="117" spans="6:7" x14ac:dyDescent="0.25">
      <c r="F117" s="94" t="s">
        <v>103</v>
      </c>
      <c r="G117" s="95">
        <v>3</v>
      </c>
    </row>
    <row r="118" spans="6:7" x14ac:dyDescent="0.25">
      <c r="F118" s="94" t="s">
        <v>276</v>
      </c>
      <c r="G118" s="95">
        <v>1.7058823529411764</v>
      </c>
    </row>
  </sheetData>
  <mergeCells count="52">
    <mergeCell ref="J88:R88"/>
    <mergeCell ref="J39:R39"/>
    <mergeCell ref="J42:R42"/>
    <mergeCell ref="J64:R64"/>
    <mergeCell ref="P7:P13"/>
    <mergeCell ref="P35:P36"/>
    <mergeCell ref="O31:O34"/>
    <mergeCell ref="P31:P34"/>
    <mergeCell ref="O35:O36"/>
    <mergeCell ref="O3:O6"/>
    <mergeCell ref="P3:P6"/>
    <mergeCell ref="H7:H8"/>
    <mergeCell ref="I7:I13"/>
    <mergeCell ref="M7:M8"/>
    <mergeCell ref="N7:N8"/>
    <mergeCell ref="O7:O13"/>
    <mergeCell ref="H10:H11"/>
    <mergeCell ref="M10:M11"/>
    <mergeCell ref="N10:N11"/>
    <mergeCell ref="H3:H4"/>
    <mergeCell ref="I3:I6"/>
    <mergeCell ref="M3:M4"/>
    <mergeCell ref="N3:N4"/>
    <mergeCell ref="I14:I19"/>
    <mergeCell ref="O14:O19"/>
    <mergeCell ref="P14:P19"/>
    <mergeCell ref="H16:H17"/>
    <mergeCell ref="M16:M17"/>
    <mergeCell ref="N16:N17"/>
    <mergeCell ref="I20:I22"/>
    <mergeCell ref="O20:O22"/>
    <mergeCell ref="P20:P22"/>
    <mergeCell ref="H23:H26"/>
    <mergeCell ref="I23:I30"/>
    <mergeCell ref="M23:M26"/>
    <mergeCell ref="N23:N26"/>
    <mergeCell ref="O23:O30"/>
    <mergeCell ref="P23:P30"/>
    <mergeCell ref="H27:H28"/>
    <mergeCell ref="M27:M28"/>
    <mergeCell ref="N27:N28"/>
    <mergeCell ref="H29:H30"/>
    <mergeCell ref="M29:M30"/>
    <mergeCell ref="N29:N30"/>
    <mergeCell ref="H32:H33"/>
    <mergeCell ref="M32:M33"/>
    <mergeCell ref="N32:N33"/>
    <mergeCell ref="H35:H36"/>
    <mergeCell ref="I35:I36"/>
    <mergeCell ref="M35:M36"/>
    <mergeCell ref="N35:N36"/>
    <mergeCell ref="I31:I34"/>
  </mergeCells>
  <pageMargins left="0.70866141732283472" right="0.70866141732283472" top="0.74803149606299213" bottom="0.55118110236220474" header="0.31496062992125984" footer="0.31496062992125984"/>
  <pageSetup paperSize="9" orientation="portrait" verticalDpi="0"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
  <sheetViews>
    <sheetView view="pageBreakPreview" zoomScaleNormal="100" zoomScaleSheetLayoutView="100" zoomScalePageLayoutView="80" workbookViewId="0">
      <selection activeCell="A17" sqref="A17:E17"/>
    </sheetView>
  </sheetViews>
  <sheetFormatPr defaultColWidth="9.140625" defaultRowHeight="18" x14ac:dyDescent="0.25"/>
  <cols>
    <col min="1" max="1" width="6" style="70" bestFit="1" customWidth="1"/>
    <col min="2" max="2" width="62.28515625" style="71" bestFit="1" customWidth="1"/>
    <col min="3" max="3" width="17.7109375" style="70" customWidth="1"/>
    <col min="4" max="4" width="19.7109375" style="70" customWidth="1"/>
    <col min="5" max="5" width="17.28515625" style="70" customWidth="1"/>
    <col min="6" max="6" width="1.5703125" style="71" customWidth="1"/>
    <col min="7" max="7" width="20.28515625" style="71" hidden="1" customWidth="1"/>
    <col min="8" max="8" width="0" style="71" hidden="1" customWidth="1"/>
    <col min="9" max="9" width="14.42578125" style="71" hidden="1" customWidth="1"/>
    <col min="10" max="16384" width="9.140625" style="71"/>
  </cols>
  <sheetData>
    <row r="1" spans="1:9" ht="34.5" customHeight="1" x14ac:dyDescent="0.25">
      <c r="A1" s="136" t="s">
        <v>278</v>
      </c>
      <c r="B1" s="136"/>
      <c r="C1" s="136"/>
      <c r="D1" s="136"/>
      <c r="E1" s="136"/>
    </row>
    <row r="2" spans="1:9" ht="20.100000000000001" customHeight="1" x14ac:dyDescent="0.25">
      <c r="A2" s="137" t="s">
        <v>262</v>
      </c>
      <c r="B2" s="137"/>
      <c r="C2" s="137" t="str">
        <f>'Affiliated(55m)'!$J$2</f>
        <v>Institute
Name</v>
      </c>
      <c r="D2" s="137"/>
      <c r="E2" s="137"/>
    </row>
    <row r="3" spans="1:9" ht="20.100000000000001" customHeight="1" x14ac:dyDescent="0.25">
      <c r="A3" s="137" t="s">
        <v>263</v>
      </c>
      <c r="B3" s="137"/>
      <c r="C3" s="137" t="str">
        <f>'Affiliated(55m)'!K$1</f>
        <v>Affiliated</v>
      </c>
      <c r="D3" s="137"/>
      <c r="E3" s="137"/>
    </row>
    <row r="4" spans="1:9" ht="20.100000000000001" customHeight="1" x14ac:dyDescent="0.25">
      <c r="A4" s="134" t="s">
        <v>264</v>
      </c>
      <c r="B4" s="134"/>
      <c r="C4" s="135"/>
      <c r="D4" s="135"/>
      <c r="E4" s="135"/>
    </row>
    <row r="5" spans="1:9" s="70" customFormat="1" ht="96" customHeight="1" x14ac:dyDescent="0.25">
      <c r="A5" s="87" t="s">
        <v>220</v>
      </c>
      <c r="B5" s="87" t="s">
        <v>164</v>
      </c>
      <c r="C5" s="88" t="s">
        <v>187</v>
      </c>
      <c r="D5" s="88" t="s">
        <v>217</v>
      </c>
      <c r="E5" s="88" t="s">
        <v>274</v>
      </c>
      <c r="G5" s="89" t="s">
        <v>210</v>
      </c>
      <c r="H5" s="89" t="s">
        <v>211</v>
      </c>
      <c r="I5" s="90" t="s">
        <v>195</v>
      </c>
    </row>
    <row r="6" spans="1:9" s="91" customFormat="1" ht="50.1" customHeight="1" x14ac:dyDescent="0.25">
      <c r="A6" s="79">
        <v>1</v>
      </c>
      <c r="B6" s="80" t="s">
        <v>188</v>
      </c>
      <c r="C6" s="79">
        <v>70</v>
      </c>
      <c r="D6" s="79">
        <f>SUM('Qn (34m)'!O3:O6)</f>
        <v>80</v>
      </c>
      <c r="E6" s="81">
        <f>D6/C6</f>
        <v>1.1428571428571428</v>
      </c>
      <c r="G6" s="79" t="s">
        <v>196</v>
      </c>
      <c r="H6" s="79" t="s">
        <v>197</v>
      </c>
      <c r="I6" s="79" t="s">
        <v>198</v>
      </c>
    </row>
    <row r="7" spans="1:9" s="91" customFormat="1" ht="50.1" customHeight="1" x14ac:dyDescent="0.25">
      <c r="A7" s="79">
        <v>2</v>
      </c>
      <c r="B7" s="80" t="s">
        <v>189</v>
      </c>
      <c r="C7" s="79">
        <v>225</v>
      </c>
      <c r="D7" s="79">
        <f>SUM('Qn (34m)'!O7:O13)</f>
        <v>585</v>
      </c>
      <c r="E7" s="81">
        <f t="shared" ref="E7:E12" si="0">D7/C7</f>
        <v>2.6</v>
      </c>
      <c r="G7" s="79" t="s">
        <v>199</v>
      </c>
      <c r="H7" s="79" t="s">
        <v>206</v>
      </c>
      <c r="I7" s="79" t="s">
        <v>198</v>
      </c>
    </row>
    <row r="8" spans="1:9" s="91" customFormat="1" ht="50.1" customHeight="1" x14ac:dyDescent="0.25">
      <c r="A8" s="79">
        <v>3</v>
      </c>
      <c r="B8" s="80" t="s">
        <v>190</v>
      </c>
      <c r="C8" s="79">
        <v>80</v>
      </c>
      <c r="D8" s="79">
        <f>SUM('Qn (34m)'!O14:O19)</f>
        <v>115</v>
      </c>
      <c r="E8" s="81">
        <f t="shared" si="0"/>
        <v>1.4375</v>
      </c>
      <c r="G8" s="79" t="s">
        <v>200</v>
      </c>
      <c r="H8" s="79" t="s">
        <v>182</v>
      </c>
      <c r="I8" s="79" t="s">
        <v>198</v>
      </c>
    </row>
    <row r="9" spans="1:9" s="91" customFormat="1" ht="50.1" customHeight="1" x14ac:dyDescent="0.25">
      <c r="A9" s="79">
        <v>4</v>
      </c>
      <c r="B9" s="80" t="s">
        <v>191</v>
      </c>
      <c r="C9" s="79">
        <v>40</v>
      </c>
      <c r="D9" s="79">
        <f>SUM('Qn (34m)'!O20:O22)</f>
        <v>60</v>
      </c>
      <c r="E9" s="81">
        <f t="shared" si="0"/>
        <v>1.5</v>
      </c>
      <c r="G9" s="79" t="s">
        <v>201</v>
      </c>
      <c r="H9" s="79" t="s">
        <v>207</v>
      </c>
      <c r="I9" s="79" t="s">
        <v>198</v>
      </c>
    </row>
    <row r="10" spans="1:9" s="91" customFormat="1" ht="50.1" customHeight="1" x14ac:dyDescent="0.25">
      <c r="A10" s="79">
        <v>5</v>
      </c>
      <c r="B10" s="80" t="s">
        <v>192</v>
      </c>
      <c r="C10" s="79">
        <v>130</v>
      </c>
      <c r="D10" s="79">
        <f>SUM('Qn (34m)'!O23:O30)</f>
        <v>245</v>
      </c>
      <c r="E10" s="81">
        <f t="shared" si="0"/>
        <v>1.8846153846153846</v>
      </c>
      <c r="G10" s="79" t="s">
        <v>202</v>
      </c>
      <c r="H10" s="79" t="s">
        <v>208</v>
      </c>
      <c r="I10" s="79" t="s">
        <v>198</v>
      </c>
    </row>
    <row r="11" spans="1:9" s="91" customFormat="1" ht="50.1" customHeight="1" x14ac:dyDescent="0.25">
      <c r="A11" s="79">
        <v>6</v>
      </c>
      <c r="B11" s="80" t="s">
        <v>193</v>
      </c>
      <c r="C11" s="79">
        <v>46</v>
      </c>
      <c r="D11" s="79">
        <f>SUM('Qn (34m)'!O31:O34)</f>
        <v>61</v>
      </c>
      <c r="E11" s="81">
        <f t="shared" si="0"/>
        <v>1.326086956521739</v>
      </c>
      <c r="G11" s="79" t="s">
        <v>203</v>
      </c>
      <c r="H11" s="79" t="s">
        <v>183</v>
      </c>
      <c r="I11" s="79" t="s">
        <v>198</v>
      </c>
    </row>
    <row r="12" spans="1:9" s="91" customFormat="1" ht="50.1" customHeight="1" x14ac:dyDescent="0.25">
      <c r="A12" s="79">
        <v>7</v>
      </c>
      <c r="B12" s="80" t="s">
        <v>194</v>
      </c>
      <c r="C12" s="79">
        <v>30</v>
      </c>
      <c r="D12" s="79">
        <f>SUM('Qn (34m)'!O35:O36)</f>
        <v>100</v>
      </c>
      <c r="E12" s="81">
        <f t="shared" si="0"/>
        <v>3.3333333333333335</v>
      </c>
      <c r="G12" s="79" t="s">
        <v>205</v>
      </c>
      <c r="H12" s="79" t="s">
        <v>185</v>
      </c>
      <c r="I12" s="79" t="s">
        <v>198</v>
      </c>
    </row>
    <row r="13" spans="1:9" ht="66" customHeight="1" x14ac:dyDescent="0.25">
      <c r="A13" s="139" t="s">
        <v>275</v>
      </c>
      <c r="B13" s="139"/>
      <c r="C13" s="105">
        <f>SUM(C6:C12)</f>
        <v>621</v>
      </c>
      <c r="D13" s="105">
        <f>SUM(D6:D12)</f>
        <v>1246</v>
      </c>
      <c r="E13" s="81">
        <f>D13/C13</f>
        <v>2.0064412238325282</v>
      </c>
      <c r="G13" s="67" t="s">
        <v>204</v>
      </c>
      <c r="H13" s="67" t="s">
        <v>184</v>
      </c>
      <c r="I13" s="67" t="s">
        <v>209</v>
      </c>
    </row>
    <row r="14" spans="1:9" s="84" customFormat="1" ht="24.75" customHeight="1" thickBot="1" x14ac:dyDescent="0.3">
      <c r="A14" s="83"/>
      <c r="C14" s="83"/>
      <c r="D14" s="83"/>
      <c r="E14" s="85"/>
    </row>
    <row r="15" spans="1:9" ht="73.5" customHeight="1" thickBot="1" x14ac:dyDescent="0.3">
      <c r="A15" s="197">
        <f>D13/C13</f>
        <v>2.0064412238325282</v>
      </c>
      <c r="B15" s="198"/>
      <c r="C15" s="198"/>
      <c r="D15" s="198"/>
      <c r="E15" s="199"/>
    </row>
    <row r="16" spans="1:9" ht="18.75" thickBot="1" x14ac:dyDescent="0.3">
      <c r="D16" s="86"/>
      <c r="E16" s="83"/>
    </row>
    <row r="17" spans="1:5" ht="33.75" customHeight="1" thickBot="1" x14ac:dyDescent="0.3">
      <c r="A17" s="131" t="str">
        <f>IF(AND($A$15&lt;=4,$A$15&gt;=3.51),"A++",IF(AND($A$15&lt;=3.5,$A$15&gt;=3.26),"A+",IF(AND($A$15&lt;=3.25,$A$15&gt;3.01),"A",IF(AND($A$15&lt;=3,$A$15&gt;=2.76),"B++",IF(AND($A$15&lt;=2.75,$A$15&gt;=2.51),"B+",IF(AND($A$15&lt;=2.5,$A$15&gt;=2.01),"B",IF(AND($A$15&lt;=2,$A$15&gt;=1.51),"C","D")))))))</f>
        <v>D</v>
      </c>
      <c r="B17" s="132"/>
      <c r="C17" s="132"/>
      <c r="D17" s="132"/>
      <c r="E17" s="133"/>
    </row>
    <row r="18" spans="1:5" x14ac:dyDescent="0.25">
      <c r="D18" s="86"/>
      <c r="E18" s="44"/>
    </row>
    <row r="19" spans="1:5" ht="22.5" customHeight="1" x14ac:dyDescent="0.25">
      <c r="A19" s="143" t="s">
        <v>279</v>
      </c>
      <c r="B19" s="143"/>
      <c r="C19" s="143"/>
      <c r="D19" s="143"/>
      <c r="E19" s="143"/>
    </row>
    <row r="20" spans="1:5" ht="22.5" customHeight="1" x14ac:dyDescent="0.25">
      <c r="A20" s="137" t="s">
        <v>262</v>
      </c>
      <c r="B20" s="137"/>
      <c r="C20" s="137" t="str">
        <f>'Affiliated(55m)'!$J$2</f>
        <v>Institute
Name</v>
      </c>
      <c r="D20" s="137"/>
      <c r="E20" s="137"/>
    </row>
    <row r="21" spans="1:5" ht="22.5" customHeight="1" x14ac:dyDescent="0.25">
      <c r="A21" s="137" t="s">
        <v>263</v>
      </c>
      <c r="B21" s="137"/>
      <c r="C21" s="137" t="str">
        <f>'Affiliated(55m)'!$K$1</f>
        <v>Affiliated</v>
      </c>
      <c r="D21" s="137"/>
      <c r="E21" s="137"/>
    </row>
    <row r="22" spans="1:5" ht="22.5" customHeight="1" x14ac:dyDescent="0.25">
      <c r="A22" s="134" t="s">
        <v>264</v>
      </c>
      <c r="B22" s="134"/>
      <c r="C22" s="135"/>
      <c r="D22" s="135"/>
      <c r="E22" s="135"/>
    </row>
    <row r="23" spans="1:5" s="70" customFormat="1" ht="72" x14ac:dyDescent="0.25">
      <c r="A23" s="65" t="s">
        <v>220</v>
      </c>
      <c r="B23" s="65" t="s">
        <v>212</v>
      </c>
      <c r="C23" s="66" t="s">
        <v>266</v>
      </c>
      <c r="D23" s="144" t="s">
        <v>267</v>
      </c>
      <c r="E23" s="145"/>
    </row>
    <row r="24" spans="1:5" s="70" customFormat="1" ht="27.95" customHeight="1" x14ac:dyDescent="0.25">
      <c r="A24" s="138" t="s">
        <v>218</v>
      </c>
      <c r="B24" s="138"/>
      <c r="C24" s="138"/>
      <c r="D24" s="138"/>
      <c r="E24" s="138"/>
    </row>
    <row r="25" spans="1:5" ht="27" customHeight="1" x14ac:dyDescent="0.25">
      <c r="A25" s="67">
        <v>1.1000000000000001</v>
      </c>
      <c r="B25" s="92" t="s">
        <v>260</v>
      </c>
      <c r="C25" s="67">
        <v>20</v>
      </c>
      <c r="D25" s="146">
        <f>SUM('Affiliated(55m)'!M3)</f>
        <v>0</v>
      </c>
      <c r="E25" s="147"/>
    </row>
    <row r="26" spans="1:5" ht="27" customHeight="1" x14ac:dyDescent="0.25">
      <c r="A26" s="67">
        <v>1.2</v>
      </c>
      <c r="B26" s="92" t="s">
        <v>257</v>
      </c>
      <c r="C26" s="67">
        <v>30</v>
      </c>
      <c r="D26" s="146">
        <f>SUM('Affiliated(55m)'!M4:M5)</f>
        <v>0</v>
      </c>
      <c r="E26" s="147"/>
    </row>
    <row r="27" spans="1:5" ht="27" customHeight="1" x14ac:dyDescent="0.25">
      <c r="A27" s="67">
        <v>1.3</v>
      </c>
      <c r="B27" s="92" t="s">
        <v>258</v>
      </c>
      <c r="C27" s="67">
        <v>30</v>
      </c>
      <c r="D27" s="146">
        <f>SUM('Affiliated(55m)'!M6:M7)</f>
        <v>0</v>
      </c>
      <c r="E27" s="147"/>
    </row>
    <row r="28" spans="1:5" ht="27" customHeight="1" x14ac:dyDescent="0.25">
      <c r="A28" s="67">
        <v>1.4</v>
      </c>
      <c r="B28" s="92" t="s">
        <v>259</v>
      </c>
      <c r="C28" s="67">
        <v>20</v>
      </c>
      <c r="D28" s="146">
        <f>SUM('Affiliated(55m)'!M8)</f>
        <v>80</v>
      </c>
      <c r="E28" s="147"/>
    </row>
    <row r="29" spans="1:5" ht="30" customHeight="1" thickBot="1" x14ac:dyDescent="0.3">
      <c r="A29" s="148" t="s">
        <v>275</v>
      </c>
      <c r="B29" s="149"/>
      <c r="C29" s="69">
        <f>SUM(C25:C28)</f>
        <v>100</v>
      </c>
      <c r="D29" s="195">
        <f>SUM(D25:D28)</f>
        <v>80</v>
      </c>
      <c r="E29" s="196"/>
    </row>
    <row r="30" spans="1:5" ht="27.95" hidden="1" customHeight="1" thickBot="1" x14ac:dyDescent="0.3">
      <c r="D30" s="72" t="s">
        <v>166</v>
      </c>
      <c r="E30" s="73" t="str">
        <f>IF(AND($E$29&lt;=4,$E$29&gt;=3.51),"A++",IF(AND($E$29&lt;=3.5,$E$29&gt;=3.26),"A+",IF(AND($E$29&lt;=3.25,$E$29&gt;3.01),"A",IF(AND($E$29&lt;=3,$E$29&gt;=2.76),"B++",IF(AND($E$29&lt;=2.75,$E$29&gt;=2.51),"B+",IF(AND($E$29&lt;=2.5,$E$29&gt;=2.01),"B",IF(AND($E$29&lt;=2,$E$29&gt;=1.51),"C","D")))))))</f>
        <v>D</v>
      </c>
    </row>
    <row r="31" spans="1:5" ht="30.75" customHeight="1" thickBot="1" x14ac:dyDescent="0.3">
      <c r="A31" s="175">
        <f>80/70</f>
        <v>1.1428571428571428</v>
      </c>
      <c r="B31" s="176"/>
      <c r="C31" s="176"/>
      <c r="D31" s="176"/>
      <c r="E31" s="177"/>
    </row>
    <row r="32" spans="1:5" ht="27.95" customHeight="1" x14ac:dyDescent="0.25">
      <c r="A32" s="152" t="s">
        <v>219</v>
      </c>
      <c r="B32" s="152"/>
      <c r="C32" s="152"/>
      <c r="D32" s="152"/>
      <c r="E32" s="152"/>
    </row>
    <row r="33" spans="1:5" ht="27" customHeight="1" x14ac:dyDescent="0.25">
      <c r="A33" s="67">
        <v>2.1</v>
      </c>
      <c r="B33" s="68" t="s">
        <v>225</v>
      </c>
      <c r="C33" s="67">
        <v>40</v>
      </c>
      <c r="D33" s="146">
        <f>SUM('Affiliated(55m)'!M9:M10)</f>
        <v>140</v>
      </c>
      <c r="E33" s="147"/>
    </row>
    <row r="34" spans="1:5" ht="27" customHeight="1" x14ac:dyDescent="0.25">
      <c r="A34" s="67">
        <v>2.2000000000000002</v>
      </c>
      <c r="B34" s="68" t="s">
        <v>226</v>
      </c>
      <c r="C34" s="67">
        <v>40</v>
      </c>
      <c r="D34" s="146">
        <f>SUM('Affiliated(55m)'!M11)</f>
        <v>120</v>
      </c>
      <c r="E34" s="147"/>
    </row>
    <row r="35" spans="1:5" ht="27" customHeight="1" x14ac:dyDescent="0.25">
      <c r="A35" s="67">
        <v>2.2999999999999998</v>
      </c>
      <c r="B35" s="68" t="s">
        <v>227</v>
      </c>
      <c r="C35" s="67">
        <v>40</v>
      </c>
      <c r="D35" s="146">
        <f>SUM('Affiliated(55m)'!M12)</f>
        <v>0</v>
      </c>
      <c r="E35" s="147"/>
    </row>
    <row r="36" spans="1:5" ht="27" customHeight="1" x14ac:dyDescent="0.25">
      <c r="A36" s="67">
        <v>2.4</v>
      </c>
      <c r="B36" s="68" t="s">
        <v>221</v>
      </c>
      <c r="C36" s="67">
        <v>40</v>
      </c>
      <c r="D36" s="146">
        <f>SUM('Affiliated(55m)'!M13:M14)</f>
        <v>85</v>
      </c>
      <c r="E36" s="147"/>
    </row>
    <row r="37" spans="1:5" ht="27" customHeight="1" x14ac:dyDescent="0.25">
      <c r="A37" s="67">
        <v>2.5</v>
      </c>
      <c r="B37" s="68" t="s">
        <v>222</v>
      </c>
      <c r="C37" s="67">
        <v>40</v>
      </c>
      <c r="D37" s="146">
        <f>SUM('Affiliated(55m)'!M15)</f>
        <v>0</v>
      </c>
      <c r="E37" s="147"/>
    </row>
    <row r="38" spans="1:5" ht="27" customHeight="1" x14ac:dyDescent="0.25">
      <c r="A38" s="67">
        <v>2.6</v>
      </c>
      <c r="B38" s="68" t="s">
        <v>223</v>
      </c>
      <c r="C38" s="67">
        <v>90</v>
      </c>
      <c r="D38" s="146">
        <f>SUM('Affiliated(55m)'!M16:M17)</f>
        <v>180</v>
      </c>
      <c r="E38" s="147"/>
    </row>
    <row r="39" spans="1:5" ht="27" customHeight="1" x14ac:dyDescent="0.25">
      <c r="A39" s="67">
        <v>2.7</v>
      </c>
      <c r="B39" s="68" t="s">
        <v>224</v>
      </c>
      <c r="C39" s="67">
        <v>60</v>
      </c>
      <c r="D39" s="146">
        <f>SUM('Affiliated(55m)'!M18)</f>
        <v>60</v>
      </c>
      <c r="E39" s="147"/>
    </row>
    <row r="40" spans="1:5" ht="29.25" customHeight="1" x14ac:dyDescent="0.25">
      <c r="A40" s="154" t="s">
        <v>275</v>
      </c>
      <c r="B40" s="154"/>
      <c r="C40" s="74">
        <f>SUM(C33:C39)</f>
        <v>350</v>
      </c>
      <c r="D40" s="189">
        <f>SUM(D33:D39)</f>
        <v>585</v>
      </c>
      <c r="E40" s="189"/>
    </row>
    <row r="41" spans="1:5" ht="33.75" customHeight="1" x14ac:dyDescent="0.25">
      <c r="A41" s="194">
        <f>D40/C40</f>
        <v>1.6714285714285715</v>
      </c>
      <c r="B41" s="194"/>
      <c r="C41" s="194"/>
      <c r="D41" s="194"/>
      <c r="E41" s="194"/>
    </row>
    <row r="42" spans="1:5" ht="27.95" customHeight="1" x14ac:dyDescent="0.25">
      <c r="A42" s="138" t="s">
        <v>228</v>
      </c>
      <c r="B42" s="138"/>
      <c r="C42" s="138"/>
      <c r="D42" s="138"/>
      <c r="E42" s="138"/>
    </row>
    <row r="43" spans="1:5" ht="27" customHeight="1" x14ac:dyDescent="0.25">
      <c r="A43" s="67">
        <v>3.1</v>
      </c>
      <c r="B43" s="68" t="s">
        <v>229</v>
      </c>
      <c r="C43" s="67">
        <v>10</v>
      </c>
      <c r="D43" s="146">
        <f>SUM('Affiliated(55m)'!M19)</f>
        <v>0</v>
      </c>
      <c r="E43" s="147"/>
    </row>
    <row r="44" spans="1:5" ht="27" customHeight="1" x14ac:dyDescent="0.25">
      <c r="A44" s="67">
        <v>3.2</v>
      </c>
      <c r="B44" s="68" t="s">
        <v>230</v>
      </c>
      <c r="C44" s="67">
        <v>15</v>
      </c>
      <c r="D44" s="146">
        <f>SUM('Affiliated(55m)'!M20:M21)</f>
        <v>5</v>
      </c>
      <c r="E44" s="147"/>
    </row>
    <row r="45" spans="1:5" ht="27" customHeight="1" x14ac:dyDescent="0.25">
      <c r="A45" s="67">
        <v>3.3</v>
      </c>
      <c r="B45" s="68" t="s">
        <v>231</v>
      </c>
      <c r="C45" s="67">
        <v>25</v>
      </c>
      <c r="D45" s="146">
        <f>SUM('Affiliated(55m)'!M22:M23)</f>
        <v>30</v>
      </c>
      <c r="E45" s="147"/>
    </row>
    <row r="46" spans="1:5" ht="27" customHeight="1" x14ac:dyDescent="0.25">
      <c r="A46" s="67">
        <v>3.4</v>
      </c>
      <c r="B46" s="68" t="s">
        <v>232</v>
      </c>
      <c r="C46" s="67">
        <v>40</v>
      </c>
      <c r="D46" s="146">
        <f>SUM('Affiliated(55m)'!M24:M26)</f>
        <v>80</v>
      </c>
      <c r="E46" s="147"/>
    </row>
    <row r="47" spans="1:5" ht="27" customHeight="1" x14ac:dyDescent="0.25">
      <c r="A47" s="67">
        <v>3.5</v>
      </c>
      <c r="B47" s="68" t="s">
        <v>233</v>
      </c>
      <c r="C47" s="67">
        <v>20</v>
      </c>
      <c r="D47" s="146">
        <f>SUM('Affiliated(55m)'!M27)</f>
        <v>0</v>
      </c>
      <c r="E47" s="147"/>
    </row>
    <row r="48" spans="1:5" ht="30" customHeight="1" x14ac:dyDescent="0.25">
      <c r="A48" s="154" t="s">
        <v>275</v>
      </c>
      <c r="B48" s="154"/>
      <c r="C48" s="74">
        <f>SUM(C43:C47)</f>
        <v>110</v>
      </c>
      <c r="D48" s="189">
        <f>SUM(D43:D47)</f>
        <v>115</v>
      </c>
      <c r="E48" s="189"/>
    </row>
    <row r="49" spans="1:5" ht="34.5" customHeight="1" x14ac:dyDescent="0.25">
      <c r="A49" s="190">
        <f>D48/C48</f>
        <v>1.0454545454545454</v>
      </c>
      <c r="B49" s="190"/>
      <c r="C49" s="190"/>
      <c r="D49" s="190"/>
      <c r="E49" s="190"/>
    </row>
    <row r="50" spans="1:5" ht="27.95" customHeight="1" x14ac:dyDescent="0.25">
      <c r="A50" s="138" t="s">
        <v>234</v>
      </c>
      <c r="B50" s="138"/>
      <c r="C50" s="138"/>
      <c r="D50" s="138"/>
      <c r="E50" s="138"/>
    </row>
    <row r="51" spans="1:5" ht="27" customHeight="1" x14ac:dyDescent="0.25">
      <c r="A51" s="67">
        <v>4.0999999999999996</v>
      </c>
      <c r="B51" s="68" t="s">
        <v>235</v>
      </c>
      <c r="C51" s="67">
        <v>30</v>
      </c>
      <c r="D51" s="146">
        <f>SUM('Affiliated(55m)'!M28:M29)</f>
        <v>40</v>
      </c>
      <c r="E51" s="147"/>
    </row>
    <row r="52" spans="1:5" ht="27" customHeight="1" x14ac:dyDescent="0.25">
      <c r="A52" s="67">
        <v>4.2</v>
      </c>
      <c r="B52" s="68" t="s">
        <v>236</v>
      </c>
      <c r="C52" s="67">
        <v>20</v>
      </c>
      <c r="D52" s="146">
        <f>SUM('Affiliated(55m)'!M30)</f>
        <v>0</v>
      </c>
      <c r="E52" s="147"/>
    </row>
    <row r="53" spans="1:5" ht="27" customHeight="1" x14ac:dyDescent="0.25">
      <c r="A53" s="67">
        <v>4.3</v>
      </c>
      <c r="B53" s="68" t="s">
        <v>237</v>
      </c>
      <c r="C53" s="67">
        <v>30</v>
      </c>
      <c r="D53" s="146">
        <f>SUM('Affiliated(55m)'!M31:M32)</f>
        <v>20</v>
      </c>
      <c r="E53" s="147"/>
    </row>
    <row r="54" spans="1:5" ht="27" customHeight="1" x14ac:dyDescent="0.25">
      <c r="A54" s="67">
        <v>4.4000000000000004</v>
      </c>
      <c r="B54" s="68" t="s">
        <v>238</v>
      </c>
      <c r="C54" s="67">
        <v>20</v>
      </c>
      <c r="D54" s="146">
        <f>SUM('Affiliated(55m)'!M33)</f>
        <v>0</v>
      </c>
      <c r="E54" s="147"/>
    </row>
    <row r="55" spans="1:5" ht="27.95" customHeight="1" thickBot="1" x14ac:dyDescent="0.3">
      <c r="A55" s="148" t="s">
        <v>275</v>
      </c>
      <c r="B55" s="149"/>
      <c r="C55" s="75">
        <f>SUM(C51:C54)</f>
        <v>100</v>
      </c>
      <c r="D55" s="191">
        <f>SUM(D51:D54)</f>
        <v>60</v>
      </c>
      <c r="E55" s="192"/>
    </row>
    <row r="56" spans="1:5" ht="37.5" customHeight="1" x14ac:dyDescent="0.25">
      <c r="A56" s="193">
        <f>D55/C55</f>
        <v>0.6</v>
      </c>
      <c r="B56" s="193"/>
      <c r="C56" s="193"/>
      <c r="D56" s="193"/>
      <c r="E56" s="193"/>
    </row>
    <row r="57" spans="1:5" ht="27.95" customHeight="1" x14ac:dyDescent="0.25">
      <c r="A57" s="138" t="s">
        <v>239</v>
      </c>
      <c r="B57" s="138"/>
      <c r="C57" s="138"/>
      <c r="D57" s="138"/>
      <c r="E57" s="138"/>
    </row>
    <row r="58" spans="1:5" ht="27.95" customHeight="1" x14ac:dyDescent="0.25">
      <c r="A58" s="67">
        <v>5.0999999999999996</v>
      </c>
      <c r="B58" s="68" t="s">
        <v>240</v>
      </c>
      <c r="C58" s="67">
        <v>50</v>
      </c>
      <c r="D58" s="146">
        <f>SUM('Affiliated(55m)'!M34:M37)</f>
        <v>120</v>
      </c>
      <c r="E58" s="147"/>
    </row>
    <row r="59" spans="1:5" ht="27.95" customHeight="1" x14ac:dyDescent="0.25">
      <c r="A59" s="67">
        <v>5.2</v>
      </c>
      <c r="B59" s="68" t="s">
        <v>241</v>
      </c>
      <c r="C59" s="67">
        <v>30</v>
      </c>
      <c r="D59" s="146">
        <f>SUM('Affiliated(55m)'!M38:M39)</f>
        <v>100</v>
      </c>
      <c r="E59" s="147"/>
    </row>
    <row r="60" spans="1:5" ht="27.95" customHeight="1" x14ac:dyDescent="0.25">
      <c r="A60" s="67">
        <v>5.3</v>
      </c>
      <c r="B60" s="68" t="s">
        <v>242</v>
      </c>
      <c r="C60" s="67">
        <v>50</v>
      </c>
      <c r="D60" s="146">
        <f>SUM('Affiliated(55m)'!M40:M41)</f>
        <v>25</v>
      </c>
      <c r="E60" s="147"/>
    </row>
    <row r="61" spans="1:5" ht="27.95" customHeight="1" x14ac:dyDescent="0.25">
      <c r="A61" s="67">
        <v>5.4</v>
      </c>
      <c r="B61" s="68" t="s">
        <v>243</v>
      </c>
      <c r="C61" s="67">
        <v>10</v>
      </c>
      <c r="D61" s="146">
        <f>SUM('Affiliated(55m)'!M42)</f>
        <v>0</v>
      </c>
      <c r="E61" s="147"/>
    </row>
    <row r="62" spans="1:5" ht="30" customHeight="1" x14ac:dyDescent="0.25">
      <c r="A62" s="148" t="s">
        <v>275</v>
      </c>
      <c r="B62" s="149"/>
      <c r="C62" s="76">
        <f>SUM(C58:C61)</f>
        <v>140</v>
      </c>
      <c r="D62" s="187">
        <f>SUM(D58:D61)</f>
        <v>245</v>
      </c>
      <c r="E62" s="188"/>
    </row>
    <row r="63" spans="1:5" ht="35.25" customHeight="1" x14ac:dyDescent="0.25">
      <c r="A63" s="181">
        <f>D62/C62</f>
        <v>1.75</v>
      </c>
      <c r="B63" s="181"/>
      <c r="C63" s="181"/>
      <c r="D63" s="181"/>
      <c r="E63" s="181"/>
    </row>
    <row r="64" spans="1:5" ht="27.95" customHeight="1" x14ac:dyDescent="0.25">
      <c r="A64" s="138" t="s">
        <v>244</v>
      </c>
      <c r="B64" s="138"/>
      <c r="C64" s="138"/>
      <c r="D64" s="138"/>
      <c r="E64" s="138"/>
    </row>
    <row r="65" spans="1:5" ht="27.95" customHeight="1" x14ac:dyDescent="0.25">
      <c r="A65" s="67">
        <v>6.1</v>
      </c>
      <c r="B65" s="92" t="s">
        <v>245</v>
      </c>
      <c r="C65" s="67">
        <v>10</v>
      </c>
      <c r="D65" s="146">
        <f>SUM('Affiliated(55m)'!M43)</f>
        <v>0</v>
      </c>
      <c r="E65" s="147"/>
    </row>
    <row r="66" spans="1:5" ht="27.95" customHeight="1" x14ac:dyDescent="0.25">
      <c r="A66" s="67">
        <v>6.2</v>
      </c>
      <c r="B66" s="92" t="s">
        <v>246</v>
      </c>
      <c r="C66" s="67">
        <v>10</v>
      </c>
      <c r="D66" s="146">
        <f>SUM('Affiliated(55m)'!M44:M45)</f>
        <v>16</v>
      </c>
      <c r="E66" s="147"/>
    </row>
    <row r="67" spans="1:5" ht="27.95" customHeight="1" x14ac:dyDescent="0.25">
      <c r="A67" s="67">
        <v>6.3</v>
      </c>
      <c r="B67" s="92" t="s">
        <v>247</v>
      </c>
      <c r="C67" s="67">
        <v>35</v>
      </c>
      <c r="D67" s="146">
        <f>SUM('Affiliated(55m)'!M46:M48)</f>
        <v>0</v>
      </c>
      <c r="E67" s="147"/>
    </row>
    <row r="68" spans="1:5" ht="27.95" customHeight="1" x14ac:dyDescent="0.25">
      <c r="A68" s="67">
        <v>6.4</v>
      </c>
      <c r="B68" s="92" t="s">
        <v>248</v>
      </c>
      <c r="C68" s="67">
        <v>15</v>
      </c>
      <c r="D68" s="146">
        <f>SUM('Affiliated(55m)'!M49)</f>
        <v>0</v>
      </c>
      <c r="E68" s="147"/>
    </row>
    <row r="69" spans="1:5" ht="27.95" customHeight="1" x14ac:dyDescent="0.25">
      <c r="A69" s="67">
        <v>6.5</v>
      </c>
      <c r="B69" s="92" t="s">
        <v>249</v>
      </c>
      <c r="C69" s="67">
        <v>30</v>
      </c>
      <c r="D69" s="146">
        <f>SUM('Affiliated(55m)'!M50:M51)</f>
        <v>45</v>
      </c>
      <c r="E69" s="147"/>
    </row>
    <row r="70" spans="1:5" ht="31.5" customHeight="1" thickBot="1" x14ac:dyDescent="0.3">
      <c r="A70" s="159" t="s">
        <v>275</v>
      </c>
      <c r="B70" s="160"/>
      <c r="C70" s="77">
        <f>SUM(C65:C69)</f>
        <v>100</v>
      </c>
      <c r="D70" s="182">
        <f>SUM(D65:D69)</f>
        <v>61</v>
      </c>
      <c r="E70" s="183"/>
    </row>
    <row r="71" spans="1:5" ht="34.5" customHeight="1" thickBot="1" x14ac:dyDescent="0.3">
      <c r="A71" s="184">
        <f>D70/C70</f>
        <v>0.61</v>
      </c>
      <c r="B71" s="185"/>
      <c r="C71" s="185"/>
      <c r="D71" s="185"/>
      <c r="E71" s="186"/>
    </row>
    <row r="72" spans="1:5" ht="27.95" customHeight="1" x14ac:dyDescent="0.25">
      <c r="A72" s="138" t="s">
        <v>250</v>
      </c>
      <c r="B72" s="138"/>
      <c r="C72" s="138"/>
      <c r="D72" s="138"/>
      <c r="E72" s="138"/>
    </row>
    <row r="73" spans="1:5" ht="27.95" customHeight="1" x14ac:dyDescent="0.25">
      <c r="A73" s="92">
        <v>7.1</v>
      </c>
      <c r="B73" s="92" t="s">
        <v>251</v>
      </c>
      <c r="C73" s="67">
        <v>50</v>
      </c>
      <c r="D73" s="146">
        <f>SUM('Qn (34m)'!M35:M36)</f>
        <v>100</v>
      </c>
      <c r="E73" s="147"/>
    </row>
    <row r="74" spans="1:5" ht="27.95" customHeight="1" x14ac:dyDescent="0.25">
      <c r="A74" s="92">
        <v>7.2</v>
      </c>
      <c r="B74" s="92" t="s">
        <v>186</v>
      </c>
      <c r="C74" s="67">
        <v>30</v>
      </c>
      <c r="D74" s="146">
        <f>SUM('Qn (34m)'!M36:M37)</f>
        <v>0</v>
      </c>
      <c r="E74" s="147"/>
    </row>
    <row r="75" spans="1:5" ht="27.95" customHeight="1" x14ac:dyDescent="0.25">
      <c r="A75" s="92">
        <v>7.3</v>
      </c>
      <c r="B75" s="92" t="s">
        <v>252</v>
      </c>
      <c r="C75" s="67">
        <v>20</v>
      </c>
      <c r="D75" s="146">
        <f>SUM('Qn (34m)'!M37:M39)</f>
        <v>0</v>
      </c>
      <c r="E75" s="147"/>
    </row>
    <row r="76" spans="1:5" ht="29.25" customHeight="1" x14ac:dyDescent="0.25">
      <c r="A76" s="148" t="s">
        <v>275</v>
      </c>
      <c r="B76" s="149"/>
      <c r="C76" s="78">
        <f>SUM(C73:C75)</f>
        <v>100</v>
      </c>
      <c r="D76" s="178">
        <f>SUM(D73:D75)</f>
        <v>100</v>
      </c>
      <c r="E76" s="179"/>
    </row>
    <row r="77" spans="1:5" ht="34.5" customHeight="1" x14ac:dyDescent="0.25">
      <c r="A77" s="180">
        <f>D76/C76</f>
        <v>1</v>
      </c>
      <c r="B77" s="180"/>
      <c r="C77" s="180"/>
      <c r="D77" s="180"/>
      <c r="E77" s="180"/>
    </row>
    <row r="78" spans="1:5" ht="27.95" customHeight="1" thickBot="1" x14ac:dyDescent="0.3">
      <c r="A78" s="163" t="s">
        <v>276</v>
      </c>
      <c r="B78" s="164"/>
      <c r="C78" s="104">
        <f>SUM(C29,C40,C48,C55,C62,C70,C76)</f>
        <v>1000</v>
      </c>
      <c r="D78" s="165">
        <f>SUM(D29,D40,D48,D55,D62,D70,D76)</f>
        <v>1246</v>
      </c>
      <c r="E78" s="166"/>
    </row>
    <row r="79" spans="1:5" ht="71.25" customHeight="1" thickBot="1" x14ac:dyDescent="0.3">
      <c r="A79" s="175">
        <f>D78/C78</f>
        <v>1.246</v>
      </c>
      <c r="B79" s="176"/>
      <c r="C79" s="176"/>
      <c r="D79" s="176"/>
      <c r="E79" s="177"/>
    </row>
    <row r="80" spans="1:5" ht="35.25" customHeight="1" thickBot="1" x14ac:dyDescent="0.3">
      <c r="A80" s="131" t="str">
        <f>IF(AND($J$98&lt;=4,$J$98&gt;=3.51),"A++",IF(AND($J$98&lt;=3.5,$J$98&gt;=3.26),"A+",IF(AND($J$98&lt;=3.25,$J$98&gt;3.01),"A",IF(AND($J$98&lt;=3,$J$98&gt;=2.76),"B++",IF(AND($J$98&lt;=2.75,$J$98&gt;=2.51),"B+",IF(AND($J$98&lt;=2.5,$J$98&gt;=2.01),"B",IF(AND($J$98&lt;=2,$J$98&gt;=1.51),"C","D")))))))</f>
        <v>D</v>
      </c>
      <c r="B80" s="132"/>
      <c r="C80" s="132"/>
      <c r="D80" s="132"/>
      <c r="E80" s="133"/>
    </row>
    <row r="98" spans="10:10" x14ac:dyDescent="0.25">
      <c r="J98" s="71">
        <f>D78/C78</f>
        <v>1.246</v>
      </c>
    </row>
  </sheetData>
  <mergeCells count="82">
    <mergeCell ref="A4:B4"/>
    <mergeCell ref="C4:E4"/>
    <mergeCell ref="A1:E1"/>
    <mergeCell ref="A2:B2"/>
    <mergeCell ref="C2:E2"/>
    <mergeCell ref="A3:B3"/>
    <mergeCell ref="C3:E3"/>
    <mergeCell ref="A24:E24"/>
    <mergeCell ref="A13:B13"/>
    <mergeCell ref="A15:E15"/>
    <mergeCell ref="A17:E17"/>
    <mergeCell ref="A19:E19"/>
    <mergeCell ref="A20:B20"/>
    <mergeCell ref="C20:E20"/>
    <mergeCell ref="A21:B21"/>
    <mergeCell ref="C21:E21"/>
    <mergeCell ref="A22:B22"/>
    <mergeCell ref="C22:E22"/>
    <mergeCell ref="D23:E23"/>
    <mergeCell ref="D36:E36"/>
    <mergeCell ref="D25:E25"/>
    <mergeCell ref="D26:E26"/>
    <mergeCell ref="D27:E27"/>
    <mergeCell ref="D28:E28"/>
    <mergeCell ref="A31:E31"/>
    <mergeCell ref="A32:E32"/>
    <mergeCell ref="D33:E33"/>
    <mergeCell ref="D34:E34"/>
    <mergeCell ref="D35:E35"/>
    <mergeCell ref="A29:B29"/>
    <mergeCell ref="D29:E29"/>
    <mergeCell ref="D47:E47"/>
    <mergeCell ref="D37:E37"/>
    <mergeCell ref="D38:E38"/>
    <mergeCell ref="D39:E39"/>
    <mergeCell ref="A40:B40"/>
    <mergeCell ref="D40:E40"/>
    <mergeCell ref="A41:E41"/>
    <mergeCell ref="A42:E42"/>
    <mergeCell ref="D43:E43"/>
    <mergeCell ref="D44:E44"/>
    <mergeCell ref="D45:E45"/>
    <mergeCell ref="D46:E46"/>
    <mergeCell ref="A57:E57"/>
    <mergeCell ref="A48:B48"/>
    <mergeCell ref="D48:E48"/>
    <mergeCell ref="A49:E49"/>
    <mergeCell ref="A50:E50"/>
    <mergeCell ref="D51:E51"/>
    <mergeCell ref="D52:E52"/>
    <mergeCell ref="D53:E53"/>
    <mergeCell ref="D54:E54"/>
    <mergeCell ref="A55:B55"/>
    <mergeCell ref="D55:E55"/>
    <mergeCell ref="A56:E56"/>
    <mergeCell ref="D58:E58"/>
    <mergeCell ref="D59:E59"/>
    <mergeCell ref="D60:E60"/>
    <mergeCell ref="D61:E61"/>
    <mergeCell ref="A62:B62"/>
    <mergeCell ref="D62:E62"/>
    <mergeCell ref="D73:E73"/>
    <mergeCell ref="A63:E63"/>
    <mergeCell ref="A64:E64"/>
    <mergeCell ref="D65:E65"/>
    <mergeCell ref="D66:E66"/>
    <mergeCell ref="D67:E67"/>
    <mergeCell ref="D68:E68"/>
    <mergeCell ref="D69:E69"/>
    <mergeCell ref="A70:B70"/>
    <mergeCell ref="D70:E70"/>
    <mergeCell ref="A71:E71"/>
    <mergeCell ref="A72:E72"/>
    <mergeCell ref="A79:E79"/>
    <mergeCell ref="A80:E80"/>
    <mergeCell ref="D74:E74"/>
    <mergeCell ref="D75:E75"/>
    <mergeCell ref="A76:B76"/>
    <mergeCell ref="D76:E76"/>
    <mergeCell ref="A77:E77"/>
    <mergeCell ref="A78:B78"/>
    <mergeCell ref="D78:E78"/>
  </mergeCells>
  <printOptions horizontalCentered="1"/>
  <pageMargins left="0.19685039370078741" right="0.19685039370078741" top="0.70866141732283472" bottom="0.39370078740157483" header="0.31496062992125984" footer="0.31496062992125984"/>
  <pageSetup paperSize="9" scale="69" fitToHeight="0" orientation="portrait" r:id="rId1"/>
  <headerFooter>
    <oddHeader>&amp;C
&amp;G</oddHeader>
  </headerFooter>
  <rowBreaks count="2" manualBreakCount="2">
    <brk id="18" max="16383" man="1"/>
    <brk id="56" max="16383" man="1"/>
  </rowBreaks>
  <colBreaks count="1" manualBreakCount="1">
    <brk id="5" max="1048575" man="1"/>
  </col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view="pageBreakPreview" topLeftCell="A64" zoomScaleNormal="100" zoomScaleSheetLayoutView="100" zoomScalePageLayoutView="80" workbookViewId="0">
      <selection activeCell="A72" sqref="A72"/>
    </sheetView>
  </sheetViews>
  <sheetFormatPr defaultColWidth="9.140625" defaultRowHeight="18" x14ac:dyDescent="0.25"/>
  <cols>
    <col min="1" max="1" width="6" style="70" bestFit="1" customWidth="1"/>
    <col min="2" max="2" width="59.140625" style="71" customWidth="1"/>
    <col min="3" max="3" width="17.7109375" style="70" customWidth="1"/>
    <col min="4" max="4" width="19.7109375" style="70" customWidth="1"/>
    <col min="5" max="5" width="17.28515625" style="70" customWidth="1"/>
    <col min="6" max="6" width="1.5703125" style="71" customWidth="1"/>
    <col min="7" max="7" width="20.28515625" style="71" hidden="1" customWidth="1"/>
    <col min="8" max="8" width="0" style="71" hidden="1" customWidth="1"/>
    <col min="9" max="9" width="14.42578125" style="71" hidden="1" customWidth="1"/>
    <col min="10" max="16384" width="9.140625" style="71"/>
  </cols>
  <sheetData>
    <row r="1" spans="1:9" x14ac:dyDescent="0.25">
      <c r="A1" s="200" t="s">
        <v>265</v>
      </c>
      <c r="B1" s="200"/>
      <c r="C1" s="200"/>
      <c r="D1" s="200"/>
      <c r="E1" s="200"/>
    </row>
    <row r="2" spans="1:9" ht="20.100000000000001" customHeight="1" x14ac:dyDescent="0.25">
      <c r="A2" s="137" t="s">
        <v>262</v>
      </c>
      <c r="B2" s="137"/>
      <c r="C2" s="137" t="str">
        <f>'Affiliated(55m)'!$J$2</f>
        <v>Institute
Name</v>
      </c>
      <c r="D2" s="137"/>
      <c r="E2" s="137"/>
    </row>
    <row r="3" spans="1:9" ht="20.100000000000001" customHeight="1" x14ac:dyDescent="0.25">
      <c r="A3" s="137" t="s">
        <v>263</v>
      </c>
      <c r="B3" s="137"/>
      <c r="C3" s="137" t="str">
        <f>'Affiliated(55m)'!K$1</f>
        <v>Affiliated</v>
      </c>
      <c r="D3" s="137"/>
      <c r="E3" s="137"/>
    </row>
    <row r="4" spans="1:9" ht="20.100000000000001" customHeight="1" x14ac:dyDescent="0.25">
      <c r="A4" s="134" t="s">
        <v>264</v>
      </c>
      <c r="B4" s="134"/>
      <c r="C4" s="135"/>
      <c r="D4" s="135"/>
      <c r="E4" s="135"/>
    </row>
    <row r="5" spans="1:9" s="70" customFormat="1" ht="108" x14ac:dyDescent="0.25">
      <c r="A5" s="87" t="s">
        <v>220</v>
      </c>
      <c r="B5" s="87" t="s">
        <v>164</v>
      </c>
      <c r="C5" s="88" t="s">
        <v>187</v>
      </c>
      <c r="D5" s="88" t="s">
        <v>217</v>
      </c>
      <c r="E5" s="88" t="s">
        <v>274</v>
      </c>
      <c r="G5" s="89" t="s">
        <v>210</v>
      </c>
      <c r="H5" s="89" t="s">
        <v>211</v>
      </c>
      <c r="I5" s="90" t="s">
        <v>195</v>
      </c>
    </row>
    <row r="6" spans="1:9" s="91" customFormat="1" ht="50.1" customHeight="1" x14ac:dyDescent="0.25">
      <c r="A6" s="79">
        <v>1</v>
      </c>
      <c r="B6" s="80" t="s">
        <v>188</v>
      </c>
      <c r="C6" s="79">
        <v>70</v>
      </c>
      <c r="D6" s="79">
        <f>SUM('Qn (34m)'!O3:O6)</f>
        <v>80</v>
      </c>
      <c r="E6" s="81">
        <f>D6/C6</f>
        <v>1.1428571428571428</v>
      </c>
      <c r="G6" s="79" t="s">
        <v>196</v>
      </c>
      <c r="H6" s="79" t="s">
        <v>197</v>
      </c>
      <c r="I6" s="79" t="s">
        <v>198</v>
      </c>
    </row>
    <row r="7" spans="1:9" s="91" customFormat="1" ht="50.1" customHeight="1" x14ac:dyDescent="0.25">
      <c r="A7" s="79">
        <v>2</v>
      </c>
      <c r="B7" s="80" t="s">
        <v>189</v>
      </c>
      <c r="C7" s="79">
        <v>225</v>
      </c>
      <c r="D7" s="79">
        <f>SUM('Qn (34m)'!O7:O13)</f>
        <v>585</v>
      </c>
      <c r="E7" s="81">
        <f t="shared" ref="E7:E12" si="0">D7/C7</f>
        <v>2.6</v>
      </c>
      <c r="G7" s="79" t="s">
        <v>199</v>
      </c>
      <c r="H7" s="79" t="s">
        <v>206</v>
      </c>
      <c r="I7" s="79" t="s">
        <v>198</v>
      </c>
    </row>
    <row r="8" spans="1:9" s="91" customFormat="1" ht="50.1" customHeight="1" x14ac:dyDescent="0.25">
      <c r="A8" s="79">
        <v>3</v>
      </c>
      <c r="B8" s="80" t="s">
        <v>190</v>
      </c>
      <c r="C8" s="79">
        <v>80</v>
      </c>
      <c r="D8" s="79">
        <f>SUM('Qn (34m)'!O14:O19)</f>
        <v>115</v>
      </c>
      <c r="E8" s="81">
        <f t="shared" si="0"/>
        <v>1.4375</v>
      </c>
      <c r="G8" s="79" t="s">
        <v>200</v>
      </c>
      <c r="H8" s="79" t="s">
        <v>182</v>
      </c>
      <c r="I8" s="79" t="s">
        <v>198</v>
      </c>
    </row>
    <row r="9" spans="1:9" s="91" customFormat="1" ht="50.1" customHeight="1" x14ac:dyDescent="0.25">
      <c r="A9" s="79">
        <v>4</v>
      </c>
      <c r="B9" s="80" t="s">
        <v>191</v>
      </c>
      <c r="C9" s="79">
        <v>40</v>
      </c>
      <c r="D9" s="79">
        <f>SUM('Qn (34m)'!O20:O22)</f>
        <v>60</v>
      </c>
      <c r="E9" s="81">
        <f t="shared" si="0"/>
        <v>1.5</v>
      </c>
      <c r="G9" s="79" t="s">
        <v>201</v>
      </c>
      <c r="H9" s="79" t="s">
        <v>207</v>
      </c>
      <c r="I9" s="79" t="s">
        <v>198</v>
      </c>
    </row>
    <row r="10" spans="1:9" s="91" customFormat="1" ht="50.1" customHeight="1" x14ac:dyDescent="0.25">
      <c r="A10" s="79">
        <v>5</v>
      </c>
      <c r="B10" s="80" t="s">
        <v>192</v>
      </c>
      <c r="C10" s="79">
        <v>130</v>
      </c>
      <c r="D10" s="79">
        <f>SUM('Qn (34m)'!O23:O30)</f>
        <v>245</v>
      </c>
      <c r="E10" s="81">
        <f t="shared" si="0"/>
        <v>1.8846153846153846</v>
      </c>
      <c r="G10" s="79" t="s">
        <v>202</v>
      </c>
      <c r="H10" s="79" t="s">
        <v>208</v>
      </c>
      <c r="I10" s="79" t="s">
        <v>198</v>
      </c>
    </row>
    <row r="11" spans="1:9" s="91" customFormat="1" ht="50.1" customHeight="1" x14ac:dyDescent="0.25">
      <c r="A11" s="79">
        <v>6</v>
      </c>
      <c r="B11" s="80" t="s">
        <v>193</v>
      </c>
      <c r="C11" s="79">
        <v>46</v>
      </c>
      <c r="D11" s="79">
        <f>SUM('Qn (34m)'!O31:O34)</f>
        <v>61</v>
      </c>
      <c r="E11" s="81">
        <f t="shared" si="0"/>
        <v>1.326086956521739</v>
      </c>
      <c r="G11" s="79" t="s">
        <v>203</v>
      </c>
      <c r="H11" s="79" t="s">
        <v>183</v>
      </c>
      <c r="I11" s="79" t="s">
        <v>198</v>
      </c>
    </row>
    <row r="12" spans="1:9" s="91" customFormat="1" ht="50.1" customHeight="1" x14ac:dyDescent="0.25">
      <c r="A12" s="79">
        <v>7</v>
      </c>
      <c r="B12" s="80" t="s">
        <v>194</v>
      </c>
      <c r="C12" s="79">
        <v>30</v>
      </c>
      <c r="D12" s="79">
        <f>SUM('Qn (34m)'!O35:O36)</f>
        <v>100</v>
      </c>
      <c r="E12" s="81">
        <f t="shared" si="0"/>
        <v>3.3333333333333335</v>
      </c>
      <c r="G12" s="79" t="s">
        <v>205</v>
      </c>
      <c r="H12" s="79" t="s">
        <v>185</v>
      </c>
      <c r="I12" s="79" t="s">
        <v>198</v>
      </c>
    </row>
    <row r="13" spans="1:9" ht="66" customHeight="1" x14ac:dyDescent="0.25">
      <c r="A13" s="139" t="s">
        <v>275</v>
      </c>
      <c r="B13" s="139"/>
      <c r="C13" s="82">
        <f>SUM(C6:C12)</f>
        <v>621</v>
      </c>
      <c r="D13" s="82">
        <f>SUM(D6:D12)</f>
        <v>1246</v>
      </c>
      <c r="E13" s="81">
        <f>D13/C13</f>
        <v>2.0064412238325282</v>
      </c>
      <c r="G13" s="67" t="s">
        <v>204</v>
      </c>
      <c r="H13" s="67" t="s">
        <v>184</v>
      </c>
      <c r="I13" s="67" t="s">
        <v>209</v>
      </c>
    </row>
    <row r="14" spans="1:9" ht="15" customHeight="1" thickBot="1" x14ac:dyDescent="0.3">
      <c r="A14" s="106"/>
      <c r="B14" s="106"/>
      <c r="C14" s="106"/>
      <c r="D14" s="106"/>
      <c r="E14" s="107"/>
      <c r="G14" s="86"/>
      <c r="H14" s="86"/>
      <c r="I14" s="86"/>
    </row>
    <row r="15" spans="1:9" ht="69.75" customHeight="1" thickBot="1" x14ac:dyDescent="0.3">
      <c r="A15" s="140">
        <f>D13/C13</f>
        <v>2.0064412238325282</v>
      </c>
      <c r="B15" s="141"/>
      <c r="C15" s="141"/>
      <c r="D15" s="141"/>
      <c r="E15" s="142"/>
    </row>
    <row r="16" spans="1:9" ht="18.75" thickBot="1" x14ac:dyDescent="0.3">
      <c r="D16" s="86"/>
      <c r="E16" s="83"/>
    </row>
    <row r="17" spans="1:5" ht="33.75" customHeight="1" thickBot="1" x14ac:dyDescent="0.3">
      <c r="A17" s="131" t="str">
        <f>IF(AND($A$15&lt;=4,$A$15&gt;=3.51),"A++",IF(AND($A$15&lt;=3.5,$A$15&gt;=3.26),"A+",IF(AND($A$15&lt;=3.25,$A$15&gt;3.01),"A",IF(AND($A$15&lt;=3,$A$15&gt;=2.76),"B++",IF(AND($A$15&lt;=2.75,$A$15&gt;=2.51),"B+",IF(AND($A$15&lt;=2.5,$A$15&gt;=2),"B",IF(AND($A$15&lt;=2,$A$15&gt;=1.51),"C","D")))))))</f>
        <v>B</v>
      </c>
      <c r="B17" s="132"/>
      <c r="C17" s="132"/>
      <c r="D17" s="132"/>
      <c r="E17" s="133"/>
    </row>
    <row r="18" spans="1:5" x14ac:dyDescent="0.25">
      <c r="D18" s="86"/>
      <c r="E18" s="83"/>
    </row>
    <row r="19" spans="1:5" ht="22.5" customHeight="1" x14ac:dyDescent="0.25">
      <c r="A19" s="143" t="s">
        <v>277</v>
      </c>
      <c r="B19" s="143"/>
      <c r="C19" s="143"/>
      <c r="D19" s="143"/>
      <c r="E19" s="143"/>
    </row>
    <row r="20" spans="1:5" ht="22.5" customHeight="1" x14ac:dyDescent="0.25">
      <c r="A20" s="137" t="s">
        <v>262</v>
      </c>
      <c r="B20" s="137"/>
      <c r="C20" s="137" t="str">
        <f>'Affiliated(55m)'!$J$2</f>
        <v>Institute
Name</v>
      </c>
      <c r="D20" s="137"/>
      <c r="E20" s="137"/>
    </row>
    <row r="21" spans="1:5" ht="22.5" customHeight="1" x14ac:dyDescent="0.25">
      <c r="A21" s="137" t="s">
        <v>263</v>
      </c>
      <c r="B21" s="137"/>
      <c r="C21" s="137" t="str">
        <f>'Affiliated(55m)'!$K$1</f>
        <v>Affiliated</v>
      </c>
      <c r="D21" s="137"/>
      <c r="E21" s="137"/>
    </row>
    <row r="22" spans="1:5" ht="22.5" customHeight="1" x14ac:dyDescent="0.25">
      <c r="A22" s="134" t="s">
        <v>264</v>
      </c>
      <c r="B22" s="134"/>
      <c r="C22" s="135"/>
      <c r="D22" s="135"/>
      <c r="E22" s="135"/>
    </row>
    <row r="23" spans="1:5" s="70" customFormat="1" ht="72" x14ac:dyDescent="0.25">
      <c r="A23" s="65" t="s">
        <v>220</v>
      </c>
      <c r="B23" s="65" t="s">
        <v>212</v>
      </c>
      <c r="C23" s="66" t="s">
        <v>266</v>
      </c>
      <c r="D23" s="144" t="s">
        <v>267</v>
      </c>
      <c r="E23" s="145"/>
    </row>
    <row r="24" spans="1:5" s="70" customFormat="1" ht="27.95" customHeight="1" x14ac:dyDescent="0.25">
      <c r="A24" s="138" t="s">
        <v>218</v>
      </c>
      <c r="B24" s="138"/>
      <c r="C24" s="138"/>
      <c r="D24" s="138"/>
      <c r="E24" s="138"/>
    </row>
    <row r="25" spans="1:5" ht="27" customHeight="1" x14ac:dyDescent="0.25">
      <c r="A25" s="67">
        <v>1.2</v>
      </c>
      <c r="B25" s="68" t="s">
        <v>257</v>
      </c>
      <c r="C25" s="67">
        <v>30</v>
      </c>
      <c r="D25" s="146">
        <v>0</v>
      </c>
      <c r="E25" s="147"/>
    </row>
    <row r="26" spans="1:5" ht="27" customHeight="1" x14ac:dyDescent="0.25">
      <c r="A26" s="67">
        <v>1.3</v>
      </c>
      <c r="B26" s="68" t="s">
        <v>258</v>
      </c>
      <c r="C26" s="67">
        <v>20</v>
      </c>
      <c r="D26" s="146">
        <f>SUM('Qn (34m)'!M5)</f>
        <v>0</v>
      </c>
      <c r="E26" s="147"/>
    </row>
    <row r="27" spans="1:5" ht="27" customHeight="1" x14ac:dyDescent="0.25">
      <c r="A27" s="67">
        <v>1.4</v>
      </c>
      <c r="B27" s="68" t="s">
        <v>259</v>
      </c>
      <c r="C27" s="67">
        <v>20</v>
      </c>
      <c r="D27" s="146">
        <f>SUM('Qn (34m)'!M6)</f>
        <v>80</v>
      </c>
      <c r="E27" s="147"/>
    </row>
    <row r="28" spans="1:5" ht="30" customHeight="1" thickBot="1" x14ac:dyDescent="0.3">
      <c r="A28" s="148" t="s">
        <v>275</v>
      </c>
      <c r="B28" s="149"/>
      <c r="C28" s="69">
        <f>SUM(C25:C27)</f>
        <v>70</v>
      </c>
      <c r="D28" s="195">
        <f>SUM(D25:D27)</f>
        <v>80</v>
      </c>
      <c r="E28" s="196"/>
    </row>
    <row r="29" spans="1:5" ht="27.95" hidden="1" customHeight="1" thickBot="1" x14ac:dyDescent="0.3">
      <c r="D29" s="72" t="s">
        <v>166</v>
      </c>
      <c r="E29" s="73" t="str">
        <f>IF(AND($E$28&lt;=4,$E$28&gt;=3.51),"A++",IF(AND($E$28&lt;=3.5,$E$28&gt;=3.26),"A+",IF(AND($E$28&lt;=3.25,$E$28&gt;3.01),"A",IF(AND($E$28&lt;=3,$E$28&gt;=2.76),"B++",IF(AND($E$28&lt;=2.75,$E$28&gt;=2.51),"B+",IF(AND($E$28&lt;=2.5,$E$28&gt;=2.01),"B",IF(AND($E$28&lt;=2,$E$28&gt;=1.51),"C","D")))))))</f>
        <v>D</v>
      </c>
    </row>
    <row r="30" spans="1:5" ht="30.75" customHeight="1" thickBot="1" x14ac:dyDescent="0.3">
      <c r="A30" s="140">
        <f>80/70</f>
        <v>1.1428571428571428</v>
      </c>
      <c r="B30" s="141"/>
      <c r="C30" s="141"/>
      <c r="D30" s="141"/>
      <c r="E30" s="142"/>
    </row>
    <row r="31" spans="1:5" ht="27.95" customHeight="1" x14ac:dyDescent="0.25">
      <c r="A31" s="152" t="s">
        <v>219</v>
      </c>
      <c r="B31" s="152"/>
      <c r="C31" s="152"/>
      <c r="D31" s="152"/>
      <c r="E31" s="152"/>
    </row>
    <row r="32" spans="1:5" ht="27" customHeight="1" x14ac:dyDescent="0.25">
      <c r="A32" s="67">
        <v>2.1</v>
      </c>
      <c r="B32" s="68" t="s">
        <v>225</v>
      </c>
      <c r="C32" s="67">
        <v>40</v>
      </c>
      <c r="D32" s="146">
        <f>SUM('Qn (34m)'!M7:M8)</f>
        <v>140</v>
      </c>
      <c r="E32" s="147"/>
    </row>
    <row r="33" spans="1:5" ht="27" customHeight="1" x14ac:dyDescent="0.25">
      <c r="A33" s="67">
        <v>2.2000000000000002</v>
      </c>
      <c r="B33" s="68" t="s">
        <v>226</v>
      </c>
      <c r="C33" s="67">
        <v>40</v>
      </c>
      <c r="D33" s="146">
        <f>SUM('Qn (34m)'!M9)</f>
        <v>120</v>
      </c>
      <c r="E33" s="147"/>
    </row>
    <row r="34" spans="1:5" ht="27" customHeight="1" x14ac:dyDescent="0.25">
      <c r="A34" s="67">
        <v>2.4</v>
      </c>
      <c r="B34" s="68" t="s">
        <v>221</v>
      </c>
      <c r="C34" s="67">
        <v>40</v>
      </c>
      <c r="D34" s="146">
        <f>SUM('Qn (34m)'!M10:M11)</f>
        <v>85</v>
      </c>
      <c r="E34" s="147"/>
    </row>
    <row r="35" spans="1:5" ht="27" customHeight="1" x14ac:dyDescent="0.25">
      <c r="A35" s="67">
        <v>2.6</v>
      </c>
      <c r="B35" s="68" t="s">
        <v>223</v>
      </c>
      <c r="C35" s="67">
        <v>45</v>
      </c>
      <c r="D35" s="146">
        <f>SUM('Qn (34m)'!M12)</f>
        <v>180</v>
      </c>
      <c r="E35" s="147"/>
    </row>
    <row r="36" spans="1:5" ht="27" customHeight="1" x14ac:dyDescent="0.25">
      <c r="A36" s="67">
        <v>2.7</v>
      </c>
      <c r="B36" s="68" t="s">
        <v>224</v>
      </c>
      <c r="C36" s="67">
        <v>60</v>
      </c>
      <c r="D36" s="146">
        <f>SUM('Qn (34m)'!M13)</f>
        <v>60</v>
      </c>
      <c r="E36" s="147"/>
    </row>
    <row r="37" spans="1:5" ht="29.25" customHeight="1" x14ac:dyDescent="0.25">
      <c r="A37" s="154" t="s">
        <v>275</v>
      </c>
      <c r="B37" s="154"/>
      <c r="C37" s="74">
        <f>SUM(C32:C36)</f>
        <v>225</v>
      </c>
      <c r="D37" s="189">
        <f>SUM(D32:D36)</f>
        <v>585</v>
      </c>
      <c r="E37" s="189"/>
    </row>
    <row r="38" spans="1:5" ht="33.75" customHeight="1" x14ac:dyDescent="0.25">
      <c r="A38" s="155">
        <f>D37/C37</f>
        <v>2.6</v>
      </c>
      <c r="B38" s="155"/>
      <c r="C38" s="155"/>
      <c r="D38" s="155"/>
      <c r="E38" s="155"/>
    </row>
    <row r="39" spans="1:5" ht="27.95" customHeight="1" x14ac:dyDescent="0.25">
      <c r="A39" s="138" t="s">
        <v>228</v>
      </c>
      <c r="B39" s="138"/>
      <c r="C39" s="138"/>
      <c r="D39" s="138"/>
      <c r="E39" s="138"/>
    </row>
    <row r="40" spans="1:5" ht="27" customHeight="1" x14ac:dyDescent="0.25">
      <c r="A40" s="67">
        <v>3.1</v>
      </c>
      <c r="B40" s="68" t="s">
        <v>229</v>
      </c>
      <c r="C40" s="67">
        <v>10</v>
      </c>
      <c r="D40" s="146">
        <f>SUM('Qn (34m)'!M14)</f>
        <v>0</v>
      </c>
      <c r="E40" s="147"/>
    </row>
    <row r="41" spans="1:5" ht="27" customHeight="1" x14ac:dyDescent="0.25">
      <c r="A41" s="67">
        <v>3.2</v>
      </c>
      <c r="B41" s="68" t="s">
        <v>230</v>
      </c>
      <c r="C41" s="67">
        <v>5</v>
      </c>
      <c r="D41" s="146">
        <f>SUM('Qn (34m)'!M15)</f>
        <v>5</v>
      </c>
      <c r="E41" s="147"/>
    </row>
    <row r="42" spans="1:5" ht="27" customHeight="1" x14ac:dyDescent="0.25">
      <c r="A42" s="67">
        <v>3.3</v>
      </c>
      <c r="B42" s="68" t="s">
        <v>231</v>
      </c>
      <c r="C42" s="67">
        <v>25</v>
      </c>
      <c r="D42" s="146">
        <f>SUM('Qn (34m)'!M16:M17)</f>
        <v>30</v>
      </c>
      <c r="E42" s="147"/>
    </row>
    <row r="43" spans="1:5" ht="27" customHeight="1" x14ac:dyDescent="0.25">
      <c r="A43" s="67">
        <v>3.4</v>
      </c>
      <c r="B43" s="68" t="s">
        <v>232</v>
      </c>
      <c r="C43" s="67">
        <v>20</v>
      </c>
      <c r="D43" s="146">
        <f>SUM('Qn (34m)'!M18)</f>
        <v>80</v>
      </c>
      <c r="E43" s="147"/>
    </row>
    <row r="44" spans="1:5" ht="27" customHeight="1" x14ac:dyDescent="0.25">
      <c r="A44" s="67">
        <v>3.5</v>
      </c>
      <c r="B44" s="68" t="s">
        <v>233</v>
      </c>
      <c r="C44" s="67">
        <v>20</v>
      </c>
      <c r="D44" s="146">
        <f>SUM('Qn (34m)'!M19)</f>
        <v>0</v>
      </c>
      <c r="E44" s="147"/>
    </row>
    <row r="45" spans="1:5" ht="30" customHeight="1" x14ac:dyDescent="0.25">
      <c r="A45" s="154" t="s">
        <v>275</v>
      </c>
      <c r="B45" s="154"/>
      <c r="C45" s="74">
        <f>SUM(C40:C44)</f>
        <v>80</v>
      </c>
      <c r="D45" s="189">
        <f>SUM(D40:D44)</f>
        <v>115</v>
      </c>
      <c r="E45" s="189"/>
    </row>
    <row r="46" spans="1:5" ht="34.5" customHeight="1" x14ac:dyDescent="0.25">
      <c r="A46" s="153">
        <f>D45/C45</f>
        <v>1.4375</v>
      </c>
      <c r="B46" s="153"/>
      <c r="C46" s="153"/>
      <c r="D46" s="153"/>
      <c r="E46" s="153"/>
    </row>
    <row r="47" spans="1:5" ht="27.95" customHeight="1" x14ac:dyDescent="0.25">
      <c r="A47" s="138" t="s">
        <v>234</v>
      </c>
      <c r="B47" s="138"/>
      <c r="C47" s="138"/>
      <c r="D47" s="138"/>
      <c r="E47" s="138"/>
    </row>
    <row r="48" spans="1:5" ht="27" customHeight="1" x14ac:dyDescent="0.25">
      <c r="A48" s="67">
        <v>4.0999999999999996</v>
      </c>
      <c r="B48" s="68" t="s">
        <v>235</v>
      </c>
      <c r="C48" s="67">
        <v>10</v>
      </c>
      <c r="D48" s="146">
        <f>SUM('Qn (34m)'!M20)</f>
        <v>40</v>
      </c>
      <c r="E48" s="147"/>
    </row>
    <row r="49" spans="1:5" ht="27" customHeight="1" x14ac:dyDescent="0.25">
      <c r="A49" s="67">
        <v>4.3</v>
      </c>
      <c r="B49" s="68" t="s">
        <v>237</v>
      </c>
      <c r="C49" s="67">
        <v>10</v>
      </c>
      <c r="D49" s="146">
        <f>SUM('Qn (34m)'!M21)</f>
        <v>20</v>
      </c>
      <c r="E49" s="147"/>
    </row>
    <row r="50" spans="1:5" ht="27" customHeight="1" x14ac:dyDescent="0.25">
      <c r="A50" s="67">
        <v>4.4000000000000004</v>
      </c>
      <c r="B50" s="68" t="s">
        <v>238</v>
      </c>
      <c r="C50" s="67">
        <v>20</v>
      </c>
      <c r="D50" s="146">
        <f>SUM('Qn (34m)'!M22)</f>
        <v>0</v>
      </c>
      <c r="E50" s="147"/>
    </row>
    <row r="51" spans="1:5" ht="27.95" customHeight="1" thickBot="1" x14ac:dyDescent="0.3">
      <c r="A51" s="148" t="s">
        <v>275</v>
      </c>
      <c r="B51" s="149"/>
      <c r="C51" s="75">
        <f>SUM(C48:C50)</f>
        <v>40</v>
      </c>
      <c r="D51" s="191">
        <f>SUM(D48:D50)</f>
        <v>60</v>
      </c>
      <c r="E51" s="192"/>
    </row>
    <row r="52" spans="1:5" ht="37.5" customHeight="1" x14ac:dyDescent="0.25">
      <c r="A52" s="135">
        <f>D51/C51</f>
        <v>1.5</v>
      </c>
      <c r="B52" s="135"/>
      <c r="C52" s="135"/>
      <c r="D52" s="135"/>
      <c r="E52" s="135"/>
    </row>
    <row r="53" spans="1:5" ht="27.95" customHeight="1" x14ac:dyDescent="0.25">
      <c r="A53" s="138" t="s">
        <v>239</v>
      </c>
      <c r="B53" s="138"/>
      <c r="C53" s="138"/>
      <c r="D53" s="138"/>
      <c r="E53" s="138"/>
    </row>
    <row r="54" spans="1:5" ht="27.95" customHeight="1" x14ac:dyDescent="0.25">
      <c r="A54" s="67">
        <v>5.0999999999999996</v>
      </c>
      <c r="B54" s="68" t="s">
        <v>240</v>
      </c>
      <c r="C54" s="67">
        <v>50</v>
      </c>
      <c r="D54" s="146">
        <f>SUM('Qn (34m)'!M23:M26)</f>
        <v>120</v>
      </c>
      <c r="E54" s="147"/>
    </row>
    <row r="55" spans="1:5" ht="27.95" customHeight="1" x14ac:dyDescent="0.25">
      <c r="A55" s="67">
        <v>5.2</v>
      </c>
      <c r="B55" s="68" t="s">
        <v>241</v>
      </c>
      <c r="C55" s="67">
        <v>30</v>
      </c>
      <c r="D55" s="146">
        <f>SUM('Qn (34m)'!M27:M28)</f>
        <v>100</v>
      </c>
      <c r="E55" s="147"/>
    </row>
    <row r="56" spans="1:5" ht="27.95" customHeight="1" x14ac:dyDescent="0.25">
      <c r="A56" s="67">
        <v>5.3</v>
      </c>
      <c r="B56" s="68" t="s">
        <v>242</v>
      </c>
      <c r="C56" s="67">
        <v>50</v>
      </c>
      <c r="D56" s="146">
        <f>SUM('Qn (34m)'!M29:M30)</f>
        <v>25</v>
      </c>
      <c r="E56" s="147"/>
    </row>
    <row r="57" spans="1:5" ht="30" customHeight="1" x14ac:dyDescent="0.25">
      <c r="A57" s="148" t="s">
        <v>275</v>
      </c>
      <c r="B57" s="149"/>
      <c r="C57" s="76">
        <f>SUM(C54:C56)</f>
        <v>130</v>
      </c>
      <c r="D57" s="187">
        <f>SUM(D54:D56)</f>
        <v>245</v>
      </c>
      <c r="E57" s="188"/>
    </row>
    <row r="58" spans="1:5" ht="35.25" customHeight="1" x14ac:dyDescent="0.25">
      <c r="A58" s="158">
        <f>D57/C57</f>
        <v>1.8846153846153846</v>
      </c>
      <c r="B58" s="158"/>
      <c r="C58" s="158"/>
      <c r="D58" s="158"/>
      <c r="E58" s="158"/>
    </row>
    <row r="59" spans="1:5" ht="27.95" customHeight="1" x14ac:dyDescent="0.25">
      <c r="A59" s="138" t="s">
        <v>244</v>
      </c>
      <c r="B59" s="138"/>
      <c r="C59" s="138"/>
      <c r="D59" s="138"/>
      <c r="E59" s="138"/>
    </row>
    <row r="60" spans="1:5" ht="27.95" customHeight="1" x14ac:dyDescent="0.25">
      <c r="A60" s="67">
        <v>6.2</v>
      </c>
      <c r="B60" s="68" t="s">
        <v>246</v>
      </c>
      <c r="C60" s="67">
        <v>4</v>
      </c>
      <c r="D60" s="146">
        <f>SUM('Qn (34m)'!M31)</f>
        <v>16</v>
      </c>
      <c r="E60" s="147"/>
    </row>
    <row r="61" spans="1:5" ht="27.95" customHeight="1" x14ac:dyDescent="0.25">
      <c r="A61" s="67">
        <v>6.3</v>
      </c>
      <c r="B61" s="68" t="s">
        <v>247</v>
      </c>
      <c r="C61" s="67">
        <v>27</v>
      </c>
      <c r="D61" s="146">
        <f>SUM('Qn (34m)'!M32:M33)</f>
        <v>0</v>
      </c>
      <c r="E61" s="147"/>
    </row>
    <row r="62" spans="1:5" ht="27.95" customHeight="1" x14ac:dyDescent="0.25">
      <c r="A62" s="67">
        <v>6.5</v>
      </c>
      <c r="B62" s="68" t="s">
        <v>249</v>
      </c>
      <c r="C62" s="67">
        <v>15</v>
      </c>
      <c r="D62" s="146">
        <f>SUM('Qn (34m)'!M34)</f>
        <v>45</v>
      </c>
      <c r="E62" s="147"/>
    </row>
    <row r="63" spans="1:5" ht="31.5" customHeight="1" thickBot="1" x14ac:dyDescent="0.3">
      <c r="A63" s="159" t="s">
        <v>275</v>
      </c>
      <c r="B63" s="160"/>
      <c r="C63" s="77">
        <f>SUM(C60:C62)</f>
        <v>46</v>
      </c>
      <c r="D63" s="182">
        <f>SUM(D60:D62)</f>
        <v>61</v>
      </c>
      <c r="E63" s="183"/>
    </row>
    <row r="64" spans="1:5" ht="34.5" customHeight="1" thickBot="1" x14ac:dyDescent="0.3">
      <c r="A64" s="140">
        <f>D63/C63</f>
        <v>1.326086956521739</v>
      </c>
      <c r="B64" s="141"/>
      <c r="C64" s="141"/>
      <c r="D64" s="141"/>
      <c r="E64" s="142"/>
    </row>
    <row r="65" spans="1:5" ht="27.95" customHeight="1" x14ac:dyDescent="0.25">
      <c r="A65" s="138" t="s">
        <v>250</v>
      </c>
      <c r="B65" s="138"/>
      <c r="C65" s="138"/>
      <c r="D65" s="138"/>
      <c r="E65" s="138"/>
    </row>
    <row r="66" spans="1:5" ht="27.95" customHeight="1" x14ac:dyDescent="0.25">
      <c r="A66" s="67">
        <v>7.1</v>
      </c>
      <c r="B66" s="68" t="s">
        <v>251</v>
      </c>
      <c r="C66" s="67">
        <v>30</v>
      </c>
      <c r="D66" s="146">
        <f>SUM('Qn (34m)'!M35:M36)</f>
        <v>100</v>
      </c>
      <c r="E66" s="147"/>
    </row>
    <row r="67" spans="1:5" ht="27.95" customHeight="1" x14ac:dyDescent="0.25">
      <c r="A67" s="148" t="s">
        <v>275</v>
      </c>
      <c r="B67" s="149"/>
      <c r="C67" s="78">
        <f>SUM(C66:C66)</f>
        <v>30</v>
      </c>
      <c r="D67" s="178">
        <f>SUM(D66:D66)</f>
        <v>100</v>
      </c>
      <c r="E67" s="179"/>
    </row>
    <row r="68" spans="1:5" ht="34.5" customHeight="1" x14ac:dyDescent="0.25">
      <c r="A68" s="153">
        <f>D67/C67</f>
        <v>3.3333333333333335</v>
      </c>
      <c r="B68" s="153"/>
      <c r="C68" s="153"/>
      <c r="D68" s="153"/>
      <c r="E68" s="153"/>
    </row>
    <row r="69" spans="1:5" ht="27.95" customHeight="1" thickBot="1" x14ac:dyDescent="0.3">
      <c r="A69" s="163" t="s">
        <v>276</v>
      </c>
      <c r="B69" s="164"/>
      <c r="C69" s="104">
        <f>SUM(C28,C37,C45,C51,C57,C63,C67)</f>
        <v>621</v>
      </c>
      <c r="D69" s="165">
        <f>SUM(D28,D37,D45,D51,D57,D63,D67)</f>
        <v>1246</v>
      </c>
      <c r="E69" s="166"/>
    </row>
    <row r="70" spans="1:5" ht="71.25" customHeight="1" thickBot="1" x14ac:dyDescent="0.3">
      <c r="A70" s="140">
        <f>D69/C69</f>
        <v>2.0064412238325282</v>
      </c>
      <c r="B70" s="141"/>
      <c r="C70" s="141"/>
      <c r="D70" s="141"/>
      <c r="E70" s="142"/>
    </row>
    <row r="71" spans="1:5" ht="33" customHeight="1" thickBot="1" x14ac:dyDescent="0.3">
      <c r="A71" s="131" t="str">
        <f>IF(AND($A$70&lt;=4,$A$70&gt;=3.51),"A++",IF(AND($A$70&lt;=3.5,$A$70&gt;=3.26),"A+",IF(AND($A$70&lt;=3.25,$A$70&gt;3.01),"A",IF(AND($A$70&lt;=3,$A$70&gt;=2.76),"B++",IF(AND($A$70&lt;=2.75,$A$70&gt;=2.51),"B+",IF(AND($A$70&lt;=2.5,$A$70&gt;=2),"B",IF(AND($A$70&lt;=2,$A$70&gt;=1.51),"C","D")))))))</f>
        <v>B</v>
      </c>
      <c r="B71" s="132"/>
      <c r="C71" s="132"/>
      <c r="D71" s="132"/>
      <c r="E71" s="133"/>
    </row>
  </sheetData>
  <mergeCells count="73">
    <mergeCell ref="A69:B69"/>
    <mergeCell ref="D69:E69"/>
    <mergeCell ref="A70:E70"/>
    <mergeCell ref="A4:B4"/>
    <mergeCell ref="C4:E4"/>
    <mergeCell ref="A19:E19"/>
    <mergeCell ref="A20:B20"/>
    <mergeCell ref="A24:E24"/>
    <mergeCell ref="A13:B13"/>
    <mergeCell ref="A15:E15"/>
    <mergeCell ref="A17:E17"/>
    <mergeCell ref="D23:E23"/>
    <mergeCell ref="C20:E20"/>
    <mergeCell ref="A21:B21"/>
    <mergeCell ref="C21:E21"/>
    <mergeCell ref="A22:B22"/>
    <mergeCell ref="A1:E1"/>
    <mergeCell ref="A2:B2"/>
    <mergeCell ref="C2:E2"/>
    <mergeCell ref="A3:B3"/>
    <mergeCell ref="C3:E3"/>
    <mergeCell ref="C22:E22"/>
    <mergeCell ref="D25:E25"/>
    <mergeCell ref="D26:E26"/>
    <mergeCell ref="D27:E27"/>
    <mergeCell ref="D28:E28"/>
    <mergeCell ref="A28:B28"/>
    <mergeCell ref="A51:B51"/>
    <mergeCell ref="A57:B57"/>
    <mergeCell ref="A38:E38"/>
    <mergeCell ref="A46:E46"/>
    <mergeCell ref="D48:E48"/>
    <mergeCell ref="D49:E49"/>
    <mergeCell ref="D50:E50"/>
    <mergeCell ref="D51:E51"/>
    <mergeCell ref="A52:E52"/>
    <mergeCell ref="D54:E54"/>
    <mergeCell ref="D55:E55"/>
    <mergeCell ref="D56:E56"/>
    <mergeCell ref="D57:E57"/>
    <mergeCell ref="A39:E39"/>
    <mergeCell ref="A47:E47"/>
    <mergeCell ref="A59:E59"/>
    <mergeCell ref="A30:E30"/>
    <mergeCell ref="A37:B37"/>
    <mergeCell ref="A45:B45"/>
    <mergeCell ref="A31:E31"/>
    <mergeCell ref="D37:E37"/>
    <mergeCell ref="D40:E40"/>
    <mergeCell ref="D41:E41"/>
    <mergeCell ref="D42:E42"/>
    <mergeCell ref="D43:E43"/>
    <mergeCell ref="D32:E32"/>
    <mergeCell ref="D33:E33"/>
    <mergeCell ref="D34:E34"/>
    <mergeCell ref="D35:E35"/>
    <mergeCell ref="D36:E36"/>
    <mergeCell ref="A71:E71"/>
    <mergeCell ref="A53:E53"/>
    <mergeCell ref="D44:E44"/>
    <mergeCell ref="A64:E64"/>
    <mergeCell ref="D66:E66"/>
    <mergeCell ref="D67:E67"/>
    <mergeCell ref="D45:E45"/>
    <mergeCell ref="A68:E68"/>
    <mergeCell ref="A58:E58"/>
    <mergeCell ref="D60:E60"/>
    <mergeCell ref="D61:E61"/>
    <mergeCell ref="D62:E62"/>
    <mergeCell ref="D63:E63"/>
    <mergeCell ref="A63:B63"/>
    <mergeCell ref="A67:B67"/>
    <mergeCell ref="A65:E65"/>
  </mergeCells>
  <printOptions horizontalCentered="1"/>
  <pageMargins left="0.19685039370078741" right="0.19685039370078741" top="0.70866141732283472" bottom="0.39370078740157483" header="0.31496062992125984" footer="0.31496062992125984"/>
  <pageSetup paperSize="9" scale="76" fitToHeight="0" orientation="portrait" r:id="rId1"/>
  <headerFooter>
    <oddHeader>&amp;C
&amp;G</oddHeader>
  </headerFooter>
  <rowBreaks count="2" manualBreakCount="2">
    <brk id="18" max="16383" man="1"/>
    <brk id="52" max="16383" man="1"/>
  </rowBreaks>
  <colBreaks count="1" manualBreakCount="1">
    <brk id="5" max="1048575" man="1"/>
  </colBreaks>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86"/>
  <sheetViews>
    <sheetView tabSelected="1" topLeftCell="D1" zoomScaleNormal="100" workbookViewId="0">
      <selection activeCell="J3" sqref="J3:J23"/>
    </sheetView>
  </sheetViews>
  <sheetFormatPr defaultRowHeight="15" x14ac:dyDescent="0.25"/>
  <cols>
    <col min="1" max="1" width="3.5703125" style="1" bestFit="1" customWidth="1"/>
    <col min="2" max="3" width="16.28515625" style="6" hidden="1" customWidth="1"/>
    <col min="4" max="4" width="7" bestFit="1" customWidth="1"/>
    <col min="5" max="5" width="7.28515625" bestFit="1" customWidth="1"/>
    <col min="6" max="6" width="41.140625" customWidth="1"/>
    <col min="7" max="7" width="17" customWidth="1"/>
    <col min="8" max="8" width="3.5703125" bestFit="1" customWidth="1"/>
    <col min="9" max="9" width="4.42578125" bestFit="1" customWidth="1"/>
    <col min="10" max="10" width="10.85546875" style="25" bestFit="1" customWidth="1"/>
    <col min="11" max="11" width="8.85546875" style="1" bestFit="1" customWidth="1"/>
    <col min="12" max="12" width="9.28515625" style="1" bestFit="1" customWidth="1"/>
    <col min="13" max="13" width="7.7109375" style="1" bestFit="1" customWidth="1"/>
    <col min="14" max="14" width="9.28515625" style="1" hidden="1" customWidth="1"/>
    <col min="15" max="15" width="8.42578125" style="1" hidden="1" customWidth="1"/>
    <col min="16" max="16" width="8" style="1" hidden="1" customWidth="1"/>
    <col min="17" max="17" width="9.140625" customWidth="1"/>
    <col min="20" max="20" width="13" customWidth="1"/>
  </cols>
  <sheetData>
    <row r="2" spans="1:16" s="1" customFormat="1" ht="66" x14ac:dyDescent="0.25">
      <c r="A2" s="13" t="s">
        <v>1</v>
      </c>
      <c r="B2" s="13" t="s">
        <v>168</v>
      </c>
      <c r="C2" s="13" t="s">
        <v>170</v>
      </c>
      <c r="D2" s="13" t="s">
        <v>169</v>
      </c>
      <c r="E2" s="13" t="s">
        <v>171</v>
      </c>
      <c r="F2" s="13" t="s">
        <v>180</v>
      </c>
      <c r="G2" s="13" t="s">
        <v>178</v>
      </c>
      <c r="H2" s="13" t="s">
        <v>179</v>
      </c>
      <c r="I2" s="13" t="s">
        <v>167</v>
      </c>
      <c r="J2" s="23" t="s">
        <v>165</v>
      </c>
      <c r="K2" s="17" t="s">
        <v>177</v>
      </c>
      <c r="L2" s="18" t="s">
        <v>176</v>
      </c>
      <c r="M2" s="17" t="s">
        <v>172</v>
      </c>
      <c r="N2" s="17" t="s">
        <v>173</v>
      </c>
      <c r="O2" s="17" t="s">
        <v>175</v>
      </c>
      <c r="P2" s="19" t="s">
        <v>174</v>
      </c>
    </row>
    <row r="3" spans="1:16" ht="63.75" x14ac:dyDescent="0.25">
      <c r="A3" s="39">
        <f>SUBTOTAL(3,$B$3:B3)</f>
        <v>1</v>
      </c>
      <c r="B3" s="9" t="s">
        <v>141</v>
      </c>
      <c r="C3" s="9" t="s">
        <v>109</v>
      </c>
      <c r="D3" s="38" t="s">
        <v>107</v>
      </c>
      <c r="E3" s="38" t="s">
        <v>52</v>
      </c>
      <c r="F3" s="2" t="s">
        <v>3</v>
      </c>
      <c r="G3" s="38">
        <v>20</v>
      </c>
      <c r="H3" s="39">
        <f t="shared" ref="H3:H8" si="0">G3</f>
        <v>20</v>
      </c>
      <c r="I3" s="122">
        <v>30</v>
      </c>
      <c r="J3" s="24">
        <f>VLOOKUP(E3,'Affiliated(55m)'!$E$3:$J$57,6,0)</f>
        <v>0</v>
      </c>
      <c r="K3" s="39">
        <f t="shared" ref="K3:K23" si="1">IF(J3&gt;80,4,IF(AND(J3&lt;=80,J3&gt;60),3,IF(AND(J3&lt;=60,J3&gt;40),2,IF(AND(J3&lt;=40,J3&gt;20),1,IF(J3&lt;=20,0)))))</f>
        <v>0</v>
      </c>
      <c r="L3" s="39">
        <f t="shared" ref="L3:L23" si="2">K3*G3</f>
        <v>0</v>
      </c>
      <c r="M3" s="39">
        <f t="shared" ref="M3:M8" si="3">L3</f>
        <v>0</v>
      </c>
      <c r="N3" s="39">
        <f t="shared" ref="N3:N9" si="4">M3/H3</f>
        <v>0</v>
      </c>
      <c r="O3" s="122">
        <f>M3+M4</f>
        <v>0</v>
      </c>
      <c r="P3" s="122">
        <f>O3/I3</f>
        <v>0</v>
      </c>
    </row>
    <row r="4" spans="1:16" ht="51" x14ac:dyDescent="0.25">
      <c r="A4" s="39">
        <f>SUBTOTAL(3,$B$3:B4)</f>
        <v>2</v>
      </c>
      <c r="B4" s="9" t="s">
        <v>141</v>
      </c>
      <c r="C4" s="9" t="s">
        <v>111</v>
      </c>
      <c r="D4" s="38" t="s">
        <v>107</v>
      </c>
      <c r="E4" s="38" t="s">
        <v>55</v>
      </c>
      <c r="F4" s="2" t="s">
        <v>6</v>
      </c>
      <c r="G4" s="38">
        <v>10</v>
      </c>
      <c r="H4" s="39">
        <f t="shared" si="0"/>
        <v>10</v>
      </c>
      <c r="I4" s="124"/>
      <c r="J4" s="24">
        <f>VLOOKUP(E4,'Affiliated(55m)'!$E$3:$J$57,6,0)</f>
        <v>0</v>
      </c>
      <c r="K4" s="39">
        <f t="shared" si="1"/>
        <v>0</v>
      </c>
      <c r="L4" s="39">
        <f t="shared" si="2"/>
        <v>0</v>
      </c>
      <c r="M4" s="39">
        <f t="shared" si="3"/>
        <v>0</v>
      </c>
      <c r="N4" s="39">
        <f t="shared" si="4"/>
        <v>0</v>
      </c>
      <c r="O4" s="124"/>
      <c r="P4" s="124"/>
    </row>
    <row r="5" spans="1:16" ht="51" x14ac:dyDescent="0.25">
      <c r="A5" s="39">
        <f>SUBTOTAL(3,$B$3:B5)</f>
        <v>3</v>
      </c>
      <c r="B5" s="9" t="s">
        <v>142</v>
      </c>
      <c r="C5" s="9" t="s">
        <v>115</v>
      </c>
      <c r="D5" s="38" t="s">
        <v>107</v>
      </c>
      <c r="E5" s="38" t="s">
        <v>61</v>
      </c>
      <c r="F5" s="2" t="s">
        <v>11</v>
      </c>
      <c r="G5" s="38">
        <v>40</v>
      </c>
      <c r="H5" s="39">
        <f t="shared" si="0"/>
        <v>40</v>
      </c>
      <c r="I5" s="122">
        <v>125</v>
      </c>
      <c r="J5" s="24">
        <f>VLOOKUP(E5,'Affiliated(55m)'!$E$3:$J$57,6,0)</f>
        <v>0</v>
      </c>
      <c r="K5" s="39">
        <f t="shared" si="1"/>
        <v>0</v>
      </c>
      <c r="L5" s="39">
        <f t="shared" si="2"/>
        <v>0</v>
      </c>
      <c r="M5" s="39">
        <f t="shared" si="3"/>
        <v>0</v>
      </c>
      <c r="N5" s="39">
        <f t="shared" si="4"/>
        <v>0</v>
      </c>
      <c r="O5" s="122">
        <f>SUM(M5:M7)</f>
        <v>0</v>
      </c>
      <c r="P5" s="122">
        <f>O5/I5</f>
        <v>0</v>
      </c>
    </row>
    <row r="6" spans="1:16" ht="45" x14ac:dyDescent="0.25">
      <c r="A6" s="39">
        <f>SUBTOTAL(3,$B$3:B6)</f>
        <v>4</v>
      </c>
      <c r="B6" s="9" t="s">
        <v>142</v>
      </c>
      <c r="C6" s="9" t="s">
        <v>117</v>
      </c>
      <c r="D6" s="38" t="s">
        <v>107</v>
      </c>
      <c r="E6" s="38" t="s">
        <v>64</v>
      </c>
      <c r="F6" s="2" t="s">
        <v>14</v>
      </c>
      <c r="G6" s="38">
        <v>40</v>
      </c>
      <c r="H6" s="39">
        <f t="shared" si="0"/>
        <v>40</v>
      </c>
      <c r="I6" s="123"/>
      <c r="J6" s="24">
        <f>VLOOKUP(E6,'Affiliated(55m)'!$E$3:$J$57,6,0)</f>
        <v>0</v>
      </c>
      <c r="K6" s="39">
        <f t="shared" si="1"/>
        <v>0</v>
      </c>
      <c r="L6" s="39">
        <f t="shared" si="2"/>
        <v>0</v>
      </c>
      <c r="M6" s="39">
        <f t="shared" si="3"/>
        <v>0</v>
      </c>
      <c r="N6" s="39">
        <f t="shared" si="4"/>
        <v>0</v>
      </c>
      <c r="O6" s="123"/>
      <c r="P6" s="123"/>
    </row>
    <row r="7" spans="1:16" ht="63.75" x14ac:dyDescent="0.25">
      <c r="A7" s="39">
        <f>SUBTOTAL(3,$B$3:B7)</f>
        <v>5</v>
      </c>
      <c r="B7" s="9" t="s">
        <v>142</v>
      </c>
      <c r="C7" s="9" t="s">
        <v>118</v>
      </c>
      <c r="D7" s="38" t="s">
        <v>107</v>
      </c>
      <c r="E7" s="38" t="s">
        <v>65</v>
      </c>
      <c r="F7" s="2" t="s">
        <v>15</v>
      </c>
      <c r="G7" s="38">
        <v>45</v>
      </c>
      <c r="H7" s="39">
        <f t="shared" si="0"/>
        <v>45</v>
      </c>
      <c r="I7" s="124"/>
      <c r="J7" s="24">
        <f>VLOOKUP(E7,'Affiliated(55m)'!$E$3:$J$57,6,0)</f>
        <v>0</v>
      </c>
      <c r="K7" s="39">
        <f t="shared" si="1"/>
        <v>0</v>
      </c>
      <c r="L7" s="39">
        <f t="shared" si="2"/>
        <v>0</v>
      </c>
      <c r="M7" s="39">
        <f t="shared" si="3"/>
        <v>0</v>
      </c>
      <c r="N7" s="39">
        <f t="shared" si="4"/>
        <v>0</v>
      </c>
      <c r="O7" s="124"/>
      <c r="P7" s="124"/>
    </row>
    <row r="8" spans="1:16" ht="63.75" x14ac:dyDescent="0.25">
      <c r="A8" s="39">
        <f>SUBTOTAL(3,$B$3:B8)</f>
        <v>6</v>
      </c>
      <c r="B8" s="9" t="s">
        <v>143</v>
      </c>
      <c r="C8" s="9" t="s">
        <v>121</v>
      </c>
      <c r="D8" s="38" t="s">
        <v>107</v>
      </c>
      <c r="E8" s="38" t="s">
        <v>69</v>
      </c>
      <c r="F8" s="2" t="s">
        <v>19</v>
      </c>
      <c r="G8" s="38">
        <v>10</v>
      </c>
      <c r="H8" s="39">
        <f t="shared" si="0"/>
        <v>10</v>
      </c>
      <c r="I8" s="122">
        <v>30</v>
      </c>
      <c r="J8" s="24">
        <f>VLOOKUP(E8,'Affiliated(55m)'!$E$3:$J$57,6,0)</f>
        <v>0</v>
      </c>
      <c r="K8" s="39">
        <f t="shared" si="1"/>
        <v>0</v>
      </c>
      <c r="L8" s="39">
        <f t="shared" si="2"/>
        <v>0</v>
      </c>
      <c r="M8" s="39">
        <f t="shared" si="3"/>
        <v>0</v>
      </c>
      <c r="N8" s="39">
        <f t="shared" si="4"/>
        <v>0</v>
      </c>
      <c r="O8" s="122">
        <f>SUM(M8:M10)</f>
        <v>0</v>
      </c>
      <c r="P8" s="122">
        <f>O8/I8</f>
        <v>0</v>
      </c>
    </row>
    <row r="9" spans="1:16" ht="63.75" x14ac:dyDescent="0.25">
      <c r="A9" s="39">
        <f>SUBTOTAL(3,$B$3:B9)</f>
        <v>7</v>
      </c>
      <c r="B9" s="9" t="s">
        <v>143</v>
      </c>
      <c r="C9" s="9" t="s">
        <v>123</v>
      </c>
      <c r="D9" s="38" t="s">
        <v>107</v>
      </c>
      <c r="E9" s="38" t="s">
        <v>73</v>
      </c>
      <c r="F9" s="2" t="s">
        <v>23</v>
      </c>
      <c r="G9" s="38">
        <v>10</v>
      </c>
      <c r="H9" s="122">
        <v>20</v>
      </c>
      <c r="I9" s="123"/>
      <c r="J9" s="24">
        <f>VLOOKUP(E9,'Affiliated(55m)'!$E$3:$J$57,6,0)</f>
        <v>0</v>
      </c>
      <c r="K9" s="39">
        <f t="shared" si="1"/>
        <v>0</v>
      </c>
      <c r="L9" s="39">
        <f t="shared" si="2"/>
        <v>0</v>
      </c>
      <c r="M9" s="122">
        <f>L9+L10</f>
        <v>0</v>
      </c>
      <c r="N9" s="122">
        <f t="shared" si="4"/>
        <v>0</v>
      </c>
      <c r="O9" s="123"/>
      <c r="P9" s="123"/>
    </row>
    <row r="10" spans="1:16" ht="45" x14ac:dyDescent="0.25">
      <c r="A10" s="39">
        <f>SUBTOTAL(3,$B$3:B10)</f>
        <v>8</v>
      </c>
      <c r="B10" s="9" t="s">
        <v>143</v>
      </c>
      <c r="C10" s="9" t="s">
        <v>123</v>
      </c>
      <c r="D10" s="38" t="s">
        <v>107</v>
      </c>
      <c r="E10" s="38" t="s">
        <v>74</v>
      </c>
      <c r="F10" s="2" t="s">
        <v>24</v>
      </c>
      <c r="G10" s="38">
        <v>10</v>
      </c>
      <c r="H10" s="124"/>
      <c r="I10" s="124"/>
      <c r="J10" s="24">
        <f>VLOOKUP(E10,'Affiliated(55m)'!$E$3:$J$57,6,0)</f>
        <v>0</v>
      </c>
      <c r="K10" s="39">
        <f t="shared" si="1"/>
        <v>0</v>
      </c>
      <c r="L10" s="39">
        <f t="shared" si="2"/>
        <v>0</v>
      </c>
      <c r="M10" s="124"/>
      <c r="N10" s="124"/>
      <c r="O10" s="124"/>
      <c r="P10" s="124"/>
    </row>
    <row r="11" spans="1:16" ht="51" x14ac:dyDescent="0.25">
      <c r="A11" s="39">
        <f>SUBTOTAL(3,$B$3:B11)</f>
        <v>9</v>
      </c>
      <c r="B11" s="9" t="s">
        <v>144</v>
      </c>
      <c r="C11" s="9" t="s">
        <v>125</v>
      </c>
      <c r="D11" s="38" t="s">
        <v>107</v>
      </c>
      <c r="E11" s="38" t="s">
        <v>77</v>
      </c>
      <c r="F11" s="2" t="s">
        <v>26</v>
      </c>
      <c r="G11" s="38">
        <v>20</v>
      </c>
      <c r="H11" s="39">
        <f t="shared" ref="H11:H19" si="5">G11</f>
        <v>20</v>
      </c>
      <c r="I11" s="122">
        <v>60</v>
      </c>
      <c r="J11" s="24">
        <f>VLOOKUP(E11,'Affiliated(55m)'!$E$3:$J$57,6,0)</f>
        <v>0</v>
      </c>
      <c r="K11" s="39">
        <f t="shared" si="1"/>
        <v>0</v>
      </c>
      <c r="L11" s="39">
        <f t="shared" si="2"/>
        <v>0</v>
      </c>
      <c r="M11" s="39">
        <f>L11</f>
        <v>0</v>
      </c>
      <c r="N11" s="39">
        <f t="shared" ref="N11:N20" si="6">M11/H11</f>
        <v>0</v>
      </c>
      <c r="O11" s="122">
        <f>SUM(M11:M13)</f>
        <v>0</v>
      </c>
      <c r="P11" s="122">
        <f>O11/I11</f>
        <v>0</v>
      </c>
    </row>
    <row r="12" spans="1:16" ht="51" x14ac:dyDescent="0.25">
      <c r="A12" s="39">
        <f>SUBTOTAL(3,$B$3:B12)</f>
        <v>10</v>
      </c>
      <c r="B12" s="9" t="s">
        <v>144</v>
      </c>
      <c r="C12" s="9" t="s">
        <v>126</v>
      </c>
      <c r="D12" s="38" t="s">
        <v>107</v>
      </c>
      <c r="E12" s="38" t="s">
        <v>79</v>
      </c>
      <c r="F12" s="2" t="s">
        <v>28</v>
      </c>
      <c r="G12" s="38">
        <v>20</v>
      </c>
      <c r="H12" s="39">
        <f t="shared" si="5"/>
        <v>20</v>
      </c>
      <c r="I12" s="123"/>
      <c r="J12" s="24">
        <f>VLOOKUP(E12,'Affiliated(55m)'!$E$3:$J$57,6,0)</f>
        <v>0</v>
      </c>
      <c r="K12" s="39">
        <f t="shared" si="1"/>
        <v>0</v>
      </c>
      <c r="L12" s="39">
        <f t="shared" si="2"/>
        <v>0</v>
      </c>
      <c r="M12" s="39">
        <f t="shared" ref="M12:M19" si="7">L12</f>
        <v>0</v>
      </c>
      <c r="N12" s="39">
        <f t="shared" si="6"/>
        <v>0</v>
      </c>
      <c r="O12" s="123"/>
      <c r="P12" s="123"/>
    </row>
    <row r="13" spans="1:16" ht="45" x14ac:dyDescent="0.25">
      <c r="A13" s="39">
        <f>SUBTOTAL(3,$B$3:B13)</f>
        <v>11</v>
      </c>
      <c r="B13" s="9" t="s">
        <v>144</v>
      </c>
      <c r="C13" s="9" t="s">
        <v>127</v>
      </c>
      <c r="D13" s="38" t="s">
        <v>107</v>
      </c>
      <c r="E13" s="38" t="s">
        <v>80</v>
      </c>
      <c r="F13" s="2" t="s">
        <v>29</v>
      </c>
      <c r="G13" s="38">
        <v>20</v>
      </c>
      <c r="H13" s="39">
        <f t="shared" si="5"/>
        <v>20</v>
      </c>
      <c r="I13" s="124"/>
      <c r="J13" s="24">
        <f>VLOOKUP(E13,'Affiliated(55m)'!$E$3:$J$57,6,0)</f>
        <v>0</v>
      </c>
      <c r="K13" s="39">
        <f t="shared" si="1"/>
        <v>0</v>
      </c>
      <c r="L13" s="39">
        <f t="shared" si="2"/>
        <v>0</v>
      </c>
      <c r="M13" s="39">
        <f t="shared" si="7"/>
        <v>0</v>
      </c>
      <c r="N13" s="39">
        <f t="shared" si="6"/>
        <v>0</v>
      </c>
      <c r="O13" s="124"/>
      <c r="P13" s="124"/>
    </row>
    <row r="14" spans="1:16" ht="51" x14ac:dyDescent="0.25">
      <c r="A14" s="39">
        <f>SUBTOTAL(3,$B$3:B14)</f>
        <v>12</v>
      </c>
      <c r="B14" s="10" t="s">
        <v>145</v>
      </c>
      <c r="C14" s="9" t="s">
        <v>132</v>
      </c>
      <c r="D14" s="38" t="s">
        <v>107</v>
      </c>
      <c r="E14" s="38" t="s">
        <v>91</v>
      </c>
      <c r="F14" s="2" t="s">
        <v>38</v>
      </c>
      <c r="G14" s="38">
        <v>10</v>
      </c>
      <c r="H14" s="39">
        <f t="shared" si="5"/>
        <v>10</v>
      </c>
      <c r="I14" s="16">
        <v>10</v>
      </c>
      <c r="J14" s="24">
        <f>VLOOKUP(E14,'Affiliated(55m)'!$E$3:$J$57,6,0)</f>
        <v>0</v>
      </c>
      <c r="K14" s="39">
        <f t="shared" si="1"/>
        <v>0</v>
      </c>
      <c r="L14" s="39">
        <f t="shared" si="2"/>
        <v>0</v>
      </c>
      <c r="M14" s="39">
        <f t="shared" si="7"/>
        <v>0</v>
      </c>
      <c r="N14" s="39">
        <f t="shared" si="6"/>
        <v>0</v>
      </c>
      <c r="O14" s="39">
        <f>M14</f>
        <v>0</v>
      </c>
      <c r="P14" s="39">
        <f>O14/I14</f>
        <v>0</v>
      </c>
    </row>
    <row r="15" spans="1:16" ht="76.5" x14ac:dyDescent="0.25">
      <c r="A15" s="39">
        <f>SUBTOTAL(3,$B$3:B15)</f>
        <v>13</v>
      </c>
      <c r="B15" s="9" t="s">
        <v>146</v>
      </c>
      <c r="C15" s="9" t="s">
        <v>133</v>
      </c>
      <c r="D15" s="38" t="s">
        <v>107</v>
      </c>
      <c r="E15" s="38" t="s">
        <v>92</v>
      </c>
      <c r="F15" s="2" t="s">
        <v>152</v>
      </c>
      <c r="G15" s="38">
        <v>10</v>
      </c>
      <c r="H15" s="39">
        <f t="shared" si="5"/>
        <v>10</v>
      </c>
      <c r="I15" s="122">
        <v>54</v>
      </c>
      <c r="J15" s="24">
        <f>VLOOKUP(E15,'Affiliated(55m)'!$E$3:$J$57,6,0)</f>
        <v>0</v>
      </c>
      <c r="K15" s="39">
        <f t="shared" si="1"/>
        <v>0</v>
      </c>
      <c r="L15" s="39">
        <f t="shared" si="2"/>
        <v>0</v>
      </c>
      <c r="M15" s="39">
        <f t="shared" si="7"/>
        <v>0</v>
      </c>
      <c r="N15" s="39">
        <f t="shared" si="6"/>
        <v>0</v>
      </c>
      <c r="O15" s="122">
        <f>SUM(M15:M19)</f>
        <v>0</v>
      </c>
      <c r="P15" s="122">
        <f>O15/I15</f>
        <v>0</v>
      </c>
    </row>
    <row r="16" spans="1:16" ht="76.5" x14ac:dyDescent="0.25">
      <c r="A16" s="39">
        <f>SUBTOTAL(3,$B$3:B16)</f>
        <v>14</v>
      </c>
      <c r="B16" s="9" t="s">
        <v>146</v>
      </c>
      <c r="C16" s="9" t="s">
        <v>134</v>
      </c>
      <c r="D16" s="38" t="s">
        <v>107</v>
      </c>
      <c r="E16" s="38" t="s">
        <v>93</v>
      </c>
      <c r="F16" s="2" t="s">
        <v>153</v>
      </c>
      <c r="G16" s="38">
        <v>6</v>
      </c>
      <c r="H16" s="39">
        <f t="shared" si="5"/>
        <v>6</v>
      </c>
      <c r="I16" s="123"/>
      <c r="J16" s="24">
        <f>VLOOKUP(E16,'Affiliated(55m)'!$E$3:$J$57,6,0)</f>
        <v>0</v>
      </c>
      <c r="K16" s="39">
        <f t="shared" si="1"/>
        <v>0</v>
      </c>
      <c r="L16" s="39">
        <f t="shared" si="2"/>
        <v>0</v>
      </c>
      <c r="M16" s="39">
        <f t="shared" si="7"/>
        <v>0</v>
      </c>
      <c r="N16" s="39">
        <f t="shared" si="6"/>
        <v>0</v>
      </c>
      <c r="O16" s="123"/>
      <c r="P16" s="123"/>
    </row>
    <row r="17" spans="1:20" ht="45" x14ac:dyDescent="0.25">
      <c r="A17" s="39">
        <f>SUBTOTAL(3,$B$3:B17)</f>
        <v>15</v>
      </c>
      <c r="B17" s="9" t="s">
        <v>146</v>
      </c>
      <c r="C17" s="9" t="s">
        <v>135</v>
      </c>
      <c r="D17" s="38" t="s">
        <v>107</v>
      </c>
      <c r="E17" s="38" t="s">
        <v>95</v>
      </c>
      <c r="F17" s="2" t="s">
        <v>40</v>
      </c>
      <c r="G17" s="38">
        <v>8</v>
      </c>
      <c r="H17" s="39">
        <f t="shared" si="5"/>
        <v>8</v>
      </c>
      <c r="I17" s="123"/>
      <c r="J17" s="24">
        <f>VLOOKUP(E17,'Affiliated(55m)'!$E$3:$J$57,6,0)</f>
        <v>0</v>
      </c>
      <c r="K17" s="39">
        <f t="shared" si="1"/>
        <v>0</v>
      </c>
      <c r="L17" s="39">
        <f t="shared" si="2"/>
        <v>0</v>
      </c>
      <c r="M17" s="39">
        <f t="shared" si="7"/>
        <v>0</v>
      </c>
      <c r="N17" s="39">
        <f t="shared" si="6"/>
        <v>0</v>
      </c>
      <c r="O17" s="123"/>
      <c r="P17" s="123"/>
    </row>
    <row r="18" spans="1:20" ht="63.75" x14ac:dyDescent="0.25">
      <c r="A18" s="39">
        <f>SUBTOTAL(3,$B$3:B18)</f>
        <v>16</v>
      </c>
      <c r="B18" s="9" t="s">
        <v>146</v>
      </c>
      <c r="C18" s="9" t="s">
        <v>136</v>
      </c>
      <c r="D18" s="38" t="s">
        <v>107</v>
      </c>
      <c r="E18" s="38" t="s">
        <v>98</v>
      </c>
      <c r="F18" s="2" t="s">
        <v>43</v>
      </c>
      <c r="G18" s="38">
        <v>15</v>
      </c>
      <c r="H18" s="39">
        <f t="shared" si="5"/>
        <v>15</v>
      </c>
      <c r="I18" s="123"/>
      <c r="J18" s="24">
        <f>VLOOKUP(E18,'Affiliated(55m)'!$E$3:$J$57,6,0)</f>
        <v>0</v>
      </c>
      <c r="K18" s="39">
        <f t="shared" si="1"/>
        <v>0</v>
      </c>
      <c r="L18" s="39">
        <f t="shared" si="2"/>
        <v>0</v>
      </c>
      <c r="M18" s="39">
        <f t="shared" si="7"/>
        <v>0</v>
      </c>
      <c r="N18" s="39">
        <f t="shared" si="6"/>
        <v>0</v>
      </c>
      <c r="O18" s="123"/>
      <c r="P18" s="123"/>
    </row>
    <row r="19" spans="1:20" ht="102" x14ac:dyDescent="0.25">
      <c r="A19" s="39">
        <f>SUBTOTAL(3,$B$3:B19)</f>
        <v>17</v>
      </c>
      <c r="B19" s="9" t="s">
        <v>146</v>
      </c>
      <c r="C19" s="9" t="s">
        <v>137</v>
      </c>
      <c r="D19" s="38" t="s">
        <v>107</v>
      </c>
      <c r="E19" s="38" t="s">
        <v>99</v>
      </c>
      <c r="F19" s="2" t="s">
        <v>44</v>
      </c>
      <c r="G19" s="38">
        <v>15</v>
      </c>
      <c r="H19" s="39">
        <f t="shared" si="5"/>
        <v>15</v>
      </c>
      <c r="I19" s="124"/>
      <c r="J19" s="24">
        <f>VLOOKUP(E19,'Affiliated(55m)'!$E$3:$J$57,6,0)</f>
        <v>0</v>
      </c>
      <c r="K19" s="39">
        <f t="shared" si="1"/>
        <v>0</v>
      </c>
      <c r="L19" s="39">
        <f t="shared" si="2"/>
        <v>0</v>
      </c>
      <c r="M19" s="39">
        <f t="shared" si="7"/>
        <v>0</v>
      </c>
      <c r="N19" s="39">
        <f t="shared" si="6"/>
        <v>0</v>
      </c>
      <c r="O19" s="124"/>
      <c r="P19" s="124"/>
    </row>
    <row r="20" spans="1:20" ht="102" x14ac:dyDescent="0.25">
      <c r="A20" s="39">
        <f>SUBTOTAL(3,$B$3:B20)</f>
        <v>18</v>
      </c>
      <c r="B20" s="9" t="s">
        <v>147</v>
      </c>
      <c r="C20" s="9" t="s">
        <v>138</v>
      </c>
      <c r="D20" s="38" t="s">
        <v>107</v>
      </c>
      <c r="E20" s="38" t="s">
        <v>101</v>
      </c>
      <c r="F20" s="2" t="s">
        <v>46</v>
      </c>
      <c r="G20" s="38">
        <v>10</v>
      </c>
      <c r="H20" s="122">
        <v>20</v>
      </c>
      <c r="I20" s="122">
        <v>70</v>
      </c>
      <c r="J20" s="24">
        <f>VLOOKUP(E20,'Affiliated(55m)'!$E$3:$J$57,6,0)</f>
        <v>0</v>
      </c>
      <c r="K20" s="39">
        <f t="shared" si="1"/>
        <v>0</v>
      </c>
      <c r="L20" s="39">
        <f t="shared" si="2"/>
        <v>0</v>
      </c>
      <c r="M20" s="122">
        <f>L20+L21</f>
        <v>0</v>
      </c>
      <c r="N20" s="122">
        <f t="shared" si="6"/>
        <v>0</v>
      </c>
      <c r="O20" s="122">
        <f>SUM(M20:M23)</f>
        <v>0</v>
      </c>
      <c r="P20" s="122">
        <f>O20/I20</f>
        <v>0</v>
      </c>
    </row>
    <row r="21" spans="1:20" ht="102" x14ac:dyDescent="0.25">
      <c r="A21" s="39">
        <f>SUBTOTAL(3,$B$3:B21)</f>
        <v>19</v>
      </c>
      <c r="B21" s="9" t="s">
        <v>147</v>
      </c>
      <c r="C21" s="9" t="s">
        <v>138</v>
      </c>
      <c r="D21" s="38" t="s">
        <v>107</v>
      </c>
      <c r="E21" s="38" t="s">
        <v>104</v>
      </c>
      <c r="F21" s="2" t="s">
        <v>49</v>
      </c>
      <c r="G21" s="38">
        <v>10</v>
      </c>
      <c r="H21" s="124"/>
      <c r="I21" s="123"/>
      <c r="J21" s="24">
        <f>VLOOKUP(E21,'Affiliated(55m)'!$E$3:$J$57,6,0)</f>
        <v>0</v>
      </c>
      <c r="K21" s="39">
        <f t="shared" si="1"/>
        <v>0</v>
      </c>
      <c r="L21" s="39">
        <f t="shared" si="2"/>
        <v>0</v>
      </c>
      <c r="M21" s="124"/>
      <c r="N21" s="124"/>
      <c r="O21" s="123"/>
      <c r="P21" s="123"/>
    </row>
    <row r="22" spans="1:20" ht="45" x14ac:dyDescent="0.25">
      <c r="A22" s="39">
        <f>SUBTOTAL(3,$B$3:B22)</f>
        <v>20</v>
      </c>
      <c r="B22" s="9" t="s">
        <v>147</v>
      </c>
      <c r="C22" s="9" t="s">
        <v>139</v>
      </c>
      <c r="D22" s="38" t="s">
        <v>107</v>
      </c>
      <c r="E22" s="38" t="s">
        <v>105</v>
      </c>
      <c r="F22" s="2" t="s">
        <v>50</v>
      </c>
      <c r="G22" s="38">
        <v>30</v>
      </c>
      <c r="H22" s="39">
        <f>G22</f>
        <v>30</v>
      </c>
      <c r="I22" s="123"/>
      <c r="J22" s="24">
        <f>VLOOKUP(E22,'Affiliated(55m)'!$E$3:$J$57,6,0)</f>
        <v>0</v>
      </c>
      <c r="K22" s="39">
        <f t="shared" si="1"/>
        <v>0</v>
      </c>
      <c r="L22" s="39">
        <f t="shared" si="2"/>
        <v>0</v>
      </c>
      <c r="M22" s="39">
        <f>L22</f>
        <v>0</v>
      </c>
      <c r="N22" s="39">
        <f>M22/H22</f>
        <v>0</v>
      </c>
      <c r="O22" s="123"/>
      <c r="P22" s="123"/>
    </row>
    <row r="23" spans="1:20" ht="45" x14ac:dyDescent="0.25">
      <c r="A23" s="39">
        <f>SUBTOTAL(3,$B$3:B23)</f>
        <v>21</v>
      </c>
      <c r="B23" s="9" t="s">
        <v>147</v>
      </c>
      <c r="C23" s="9" t="s">
        <v>140</v>
      </c>
      <c r="D23" s="38" t="s">
        <v>107</v>
      </c>
      <c r="E23" s="38" t="s">
        <v>106</v>
      </c>
      <c r="F23" s="2" t="s">
        <v>51</v>
      </c>
      <c r="G23" s="38">
        <v>20</v>
      </c>
      <c r="H23" s="39">
        <f>G23</f>
        <v>20</v>
      </c>
      <c r="I23" s="124"/>
      <c r="J23" s="24">
        <f>VLOOKUP(E23,'Affiliated(55m)'!$E$3:$J$57,6,0)</f>
        <v>0</v>
      </c>
      <c r="K23" s="39">
        <f t="shared" si="1"/>
        <v>0</v>
      </c>
      <c r="L23" s="39">
        <f t="shared" si="2"/>
        <v>0</v>
      </c>
      <c r="M23" s="39">
        <f>L23</f>
        <v>0</v>
      </c>
      <c r="N23" s="39">
        <f>M23/H23</f>
        <v>0</v>
      </c>
      <c r="O23" s="124"/>
      <c r="P23" s="124"/>
    </row>
    <row r="26" spans="1:20" ht="15.75" thickBot="1" x14ac:dyDescent="0.3"/>
    <row r="27" spans="1:20" ht="23.25" thickBot="1" x14ac:dyDescent="0.3">
      <c r="I27" s="125" t="s">
        <v>282</v>
      </c>
      <c r="J27" s="126"/>
      <c r="K27" s="126"/>
      <c r="L27" s="126"/>
      <c r="M27" s="126"/>
      <c r="N27" s="126"/>
      <c r="O27" s="126"/>
      <c r="P27" s="126"/>
      <c r="Q27" s="126"/>
      <c r="R27" s="126"/>
      <c r="S27" s="126"/>
      <c r="T27" s="127"/>
    </row>
    <row r="30" spans="1:20" ht="15.75" thickBot="1" x14ac:dyDescent="0.3"/>
    <row r="31" spans="1:20" ht="19.5" thickBot="1" x14ac:dyDescent="0.35">
      <c r="I31" s="128" t="s">
        <v>287</v>
      </c>
      <c r="J31" s="129"/>
      <c r="K31" s="129"/>
      <c r="L31" s="129"/>
      <c r="M31" s="129"/>
      <c r="N31" s="129"/>
      <c r="O31" s="129"/>
      <c r="P31" s="129"/>
      <c r="Q31" s="129"/>
      <c r="R31" s="129"/>
      <c r="S31" s="129"/>
      <c r="T31" s="130"/>
    </row>
    <row r="32" spans="1:20" x14ac:dyDescent="0.25">
      <c r="F32" s="93" t="s">
        <v>280</v>
      </c>
      <c r="G32" t="s">
        <v>281</v>
      </c>
    </row>
    <row r="33" spans="6:7" x14ac:dyDescent="0.25">
      <c r="F33" s="94" t="s">
        <v>52</v>
      </c>
      <c r="G33" s="95">
        <v>0</v>
      </c>
    </row>
    <row r="34" spans="6:7" x14ac:dyDescent="0.25">
      <c r="F34" s="94" t="s">
        <v>55</v>
      </c>
      <c r="G34" s="95">
        <v>0</v>
      </c>
    </row>
    <row r="35" spans="6:7" x14ac:dyDescent="0.25">
      <c r="F35" s="94" t="s">
        <v>61</v>
      </c>
      <c r="G35" s="95">
        <v>0</v>
      </c>
    </row>
    <row r="36" spans="6:7" x14ac:dyDescent="0.25">
      <c r="F36" s="94" t="s">
        <v>64</v>
      </c>
      <c r="G36" s="95">
        <v>0</v>
      </c>
    </row>
    <row r="37" spans="6:7" x14ac:dyDescent="0.25">
      <c r="F37" s="94" t="s">
        <v>65</v>
      </c>
      <c r="G37" s="95">
        <v>0</v>
      </c>
    </row>
    <row r="38" spans="6:7" x14ac:dyDescent="0.25">
      <c r="F38" s="94" t="s">
        <v>69</v>
      </c>
      <c r="G38" s="95">
        <v>0</v>
      </c>
    </row>
    <row r="39" spans="6:7" x14ac:dyDescent="0.25">
      <c r="F39" s="94" t="s">
        <v>73</v>
      </c>
      <c r="G39" s="95">
        <v>0</v>
      </c>
    </row>
    <row r="40" spans="6:7" x14ac:dyDescent="0.25">
      <c r="F40" s="94" t="s">
        <v>74</v>
      </c>
      <c r="G40" s="95">
        <v>0</v>
      </c>
    </row>
    <row r="41" spans="6:7" x14ac:dyDescent="0.25">
      <c r="F41" s="94" t="s">
        <v>77</v>
      </c>
      <c r="G41" s="95">
        <v>0</v>
      </c>
    </row>
    <row r="42" spans="6:7" x14ac:dyDescent="0.25">
      <c r="F42" s="94" t="s">
        <v>79</v>
      </c>
      <c r="G42" s="95">
        <v>0</v>
      </c>
    </row>
    <row r="43" spans="6:7" x14ac:dyDescent="0.25">
      <c r="F43" s="94" t="s">
        <v>80</v>
      </c>
      <c r="G43" s="95">
        <v>0</v>
      </c>
    </row>
    <row r="44" spans="6:7" x14ac:dyDescent="0.25">
      <c r="F44" s="94" t="s">
        <v>91</v>
      </c>
      <c r="G44" s="95">
        <v>0</v>
      </c>
    </row>
    <row r="45" spans="6:7" x14ac:dyDescent="0.25">
      <c r="F45" s="94" t="s">
        <v>92</v>
      </c>
      <c r="G45" s="95">
        <v>0</v>
      </c>
    </row>
    <row r="46" spans="6:7" x14ac:dyDescent="0.25">
      <c r="F46" s="94" t="s">
        <v>93</v>
      </c>
      <c r="G46" s="95">
        <v>0</v>
      </c>
    </row>
    <row r="47" spans="6:7" x14ac:dyDescent="0.25">
      <c r="F47" s="94" t="s">
        <v>95</v>
      </c>
      <c r="G47" s="95">
        <v>0</v>
      </c>
    </row>
    <row r="48" spans="6:7" x14ac:dyDescent="0.25">
      <c r="F48" s="94" t="s">
        <v>98</v>
      </c>
      <c r="G48" s="95">
        <v>0</v>
      </c>
    </row>
    <row r="49" spans="6:20" ht="15.75" thickBot="1" x14ac:dyDescent="0.3">
      <c r="F49" s="94" t="s">
        <v>99</v>
      </c>
      <c r="G49" s="95">
        <v>0</v>
      </c>
    </row>
    <row r="50" spans="6:20" ht="19.5" thickBot="1" x14ac:dyDescent="0.35">
      <c r="F50" s="94" t="s">
        <v>101</v>
      </c>
      <c r="G50" s="95">
        <v>0</v>
      </c>
      <c r="I50" s="128" t="s">
        <v>288</v>
      </c>
      <c r="J50" s="129"/>
      <c r="K50" s="129"/>
      <c r="L50" s="129"/>
      <c r="M50" s="129"/>
      <c r="N50" s="129"/>
      <c r="O50" s="129"/>
      <c r="P50" s="129"/>
      <c r="Q50" s="129"/>
      <c r="R50" s="129"/>
      <c r="S50" s="129"/>
      <c r="T50" s="130"/>
    </row>
    <row r="51" spans="6:20" x14ac:dyDescent="0.25">
      <c r="F51" s="94" t="s">
        <v>104</v>
      </c>
      <c r="G51" s="95">
        <v>0</v>
      </c>
    </row>
    <row r="52" spans="6:20" x14ac:dyDescent="0.25">
      <c r="F52" s="94" t="s">
        <v>105</v>
      </c>
      <c r="G52" s="95">
        <v>0</v>
      </c>
    </row>
    <row r="53" spans="6:20" x14ac:dyDescent="0.25">
      <c r="F53" s="94" t="s">
        <v>106</v>
      </c>
      <c r="G53" s="95">
        <v>0</v>
      </c>
    </row>
    <row r="54" spans="6:20" x14ac:dyDescent="0.25">
      <c r="F54" s="94" t="s">
        <v>276</v>
      </c>
      <c r="G54" s="95">
        <v>0</v>
      </c>
    </row>
    <row r="56" spans="6:20" x14ac:dyDescent="0.25">
      <c r="F56" s="93" t="s">
        <v>280</v>
      </c>
      <c r="G56" t="s">
        <v>281</v>
      </c>
    </row>
    <row r="57" spans="6:20" x14ac:dyDescent="0.25">
      <c r="F57" s="94" t="s">
        <v>109</v>
      </c>
      <c r="G57" s="95">
        <v>0</v>
      </c>
    </row>
    <row r="58" spans="6:20" x14ac:dyDescent="0.25">
      <c r="F58" s="94" t="s">
        <v>111</v>
      </c>
      <c r="G58" s="95">
        <v>0</v>
      </c>
    </row>
    <row r="59" spans="6:20" x14ac:dyDescent="0.25">
      <c r="F59" s="94" t="s">
        <v>115</v>
      </c>
      <c r="G59" s="95">
        <v>0</v>
      </c>
    </row>
    <row r="60" spans="6:20" x14ac:dyDescent="0.25">
      <c r="F60" s="94" t="s">
        <v>117</v>
      </c>
      <c r="G60" s="95">
        <v>0</v>
      </c>
    </row>
    <row r="61" spans="6:20" x14ac:dyDescent="0.25">
      <c r="F61" s="94" t="s">
        <v>118</v>
      </c>
      <c r="G61" s="95">
        <v>0</v>
      </c>
    </row>
    <row r="62" spans="6:20" x14ac:dyDescent="0.25">
      <c r="F62" s="94" t="s">
        <v>121</v>
      </c>
      <c r="G62" s="95">
        <v>0</v>
      </c>
    </row>
    <row r="63" spans="6:20" x14ac:dyDescent="0.25">
      <c r="F63" s="94" t="s">
        <v>123</v>
      </c>
      <c r="G63" s="95">
        <v>0</v>
      </c>
    </row>
    <row r="64" spans="6:20" x14ac:dyDescent="0.25">
      <c r="F64" s="94" t="s">
        <v>125</v>
      </c>
      <c r="G64" s="95">
        <v>0</v>
      </c>
    </row>
    <row r="65" spans="6:20" x14ac:dyDescent="0.25">
      <c r="F65" s="94" t="s">
        <v>126</v>
      </c>
      <c r="G65" s="95">
        <v>0</v>
      </c>
    </row>
    <row r="66" spans="6:20" x14ac:dyDescent="0.25">
      <c r="F66" s="94" t="s">
        <v>127</v>
      </c>
      <c r="G66" s="95">
        <v>0</v>
      </c>
    </row>
    <row r="67" spans="6:20" x14ac:dyDescent="0.25">
      <c r="F67" s="94" t="s">
        <v>132</v>
      </c>
      <c r="G67" s="95">
        <v>0</v>
      </c>
    </row>
    <row r="68" spans="6:20" x14ac:dyDescent="0.25">
      <c r="F68" s="94" t="s">
        <v>133</v>
      </c>
      <c r="G68" s="95">
        <v>0</v>
      </c>
    </row>
    <row r="69" spans="6:20" x14ac:dyDescent="0.25">
      <c r="F69" s="94" t="s">
        <v>134</v>
      </c>
      <c r="G69" s="95">
        <v>0</v>
      </c>
    </row>
    <row r="70" spans="6:20" x14ac:dyDescent="0.25">
      <c r="F70" s="94" t="s">
        <v>135</v>
      </c>
      <c r="G70" s="95">
        <v>0</v>
      </c>
    </row>
    <row r="71" spans="6:20" ht="15.75" thickBot="1" x14ac:dyDescent="0.3">
      <c r="F71" s="94" t="s">
        <v>136</v>
      </c>
      <c r="G71" s="95">
        <v>0</v>
      </c>
    </row>
    <row r="72" spans="6:20" ht="19.5" thickBot="1" x14ac:dyDescent="0.35">
      <c r="F72" s="94" t="s">
        <v>137</v>
      </c>
      <c r="G72" s="95">
        <v>0</v>
      </c>
      <c r="I72" s="128" t="s">
        <v>286</v>
      </c>
      <c r="J72" s="129"/>
      <c r="K72" s="129"/>
      <c r="L72" s="129"/>
      <c r="M72" s="129"/>
      <c r="N72" s="129"/>
      <c r="O72" s="129"/>
      <c r="P72" s="129"/>
      <c r="Q72" s="129"/>
      <c r="R72" s="129"/>
      <c r="S72" s="129"/>
      <c r="T72" s="130"/>
    </row>
    <row r="73" spans="6:20" x14ac:dyDescent="0.25">
      <c r="F73" s="94" t="s">
        <v>138</v>
      </c>
      <c r="G73" s="95">
        <v>0</v>
      </c>
    </row>
    <row r="74" spans="6:20" x14ac:dyDescent="0.25">
      <c r="F74" s="94" t="s">
        <v>139</v>
      </c>
      <c r="G74" s="95">
        <v>0</v>
      </c>
    </row>
    <row r="75" spans="6:20" x14ac:dyDescent="0.25">
      <c r="F75" s="94" t="s">
        <v>140</v>
      </c>
      <c r="G75" s="95">
        <v>0</v>
      </c>
    </row>
    <row r="76" spans="6:20" x14ac:dyDescent="0.25">
      <c r="F76" s="94" t="s">
        <v>276</v>
      </c>
      <c r="G76" s="95">
        <v>0</v>
      </c>
    </row>
    <row r="78" spans="6:20" x14ac:dyDescent="0.25">
      <c r="F78" s="93" t="s">
        <v>280</v>
      </c>
      <c r="G78" t="s">
        <v>281</v>
      </c>
    </row>
    <row r="79" spans="6:20" x14ac:dyDescent="0.25">
      <c r="F79" s="94" t="s">
        <v>141</v>
      </c>
      <c r="G79" s="95">
        <v>0</v>
      </c>
    </row>
    <row r="80" spans="6:20" x14ac:dyDescent="0.25">
      <c r="F80" s="94" t="s">
        <v>142</v>
      </c>
      <c r="G80" s="95">
        <v>0</v>
      </c>
    </row>
    <row r="81" spans="6:7" x14ac:dyDescent="0.25">
      <c r="F81" s="94" t="s">
        <v>143</v>
      </c>
      <c r="G81" s="95">
        <v>0</v>
      </c>
    </row>
    <row r="82" spans="6:7" x14ac:dyDescent="0.25">
      <c r="F82" s="94" t="s">
        <v>144</v>
      </c>
      <c r="G82" s="95">
        <v>0</v>
      </c>
    </row>
    <row r="83" spans="6:7" x14ac:dyDescent="0.25">
      <c r="F83" s="94" t="s">
        <v>145</v>
      </c>
      <c r="G83" s="95">
        <v>0</v>
      </c>
    </row>
    <row r="84" spans="6:7" x14ac:dyDescent="0.25">
      <c r="F84" s="94" t="s">
        <v>146</v>
      </c>
      <c r="G84" s="95">
        <v>0</v>
      </c>
    </row>
    <row r="85" spans="6:7" x14ac:dyDescent="0.25">
      <c r="F85" s="94" t="s">
        <v>147</v>
      </c>
      <c r="G85" s="95">
        <v>0</v>
      </c>
    </row>
    <row r="86" spans="6:7" x14ac:dyDescent="0.25">
      <c r="F86" s="94" t="s">
        <v>276</v>
      </c>
      <c r="G86" s="95">
        <v>0</v>
      </c>
    </row>
  </sheetData>
  <mergeCells count="28">
    <mergeCell ref="H9:H10"/>
    <mergeCell ref="H20:H21"/>
    <mergeCell ref="I3:I4"/>
    <mergeCell ref="I5:I7"/>
    <mergeCell ref="I8:I10"/>
    <mergeCell ref="I11:I13"/>
    <mergeCell ref="I15:I19"/>
    <mergeCell ref="I20:I23"/>
    <mergeCell ref="P3:P4"/>
    <mergeCell ref="P5:P7"/>
    <mergeCell ref="P8:P10"/>
    <mergeCell ref="P11:P13"/>
    <mergeCell ref="P15:P19"/>
    <mergeCell ref="M9:M10"/>
    <mergeCell ref="M20:M21"/>
    <mergeCell ref="O3:O4"/>
    <mergeCell ref="O5:O7"/>
    <mergeCell ref="O8:O10"/>
    <mergeCell ref="O11:O13"/>
    <mergeCell ref="O15:O19"/>
    <mergeCell ref="O20:O23"/>
    <mergeCell ref="N9:N10"/>
    <mergeCell ref="N20:N21"/>
    <mergeCell ref="I72:T72"/>
    <mergeCell ref="I50:T50"/>
    <mergeCell ref="I31:T31"/>
    <mergeCell ref="P20:P23"/>
    <mergeCell ref="I27:T27"/>
  </mergeCells>
  <pageMargins left="0.7" right="0.7" top="0.75" bottom="0.75" header="0.3" footer="0.3"/>
  <pageSetup paperSize="9" orientation="portrait" verticalDpi="0" r:id="rId4"/>
  <rowBreaks count="2" manualBreakCount="2">
    <brk id="25" max="16383" man="1"/>
    <brk id="71" max="16383" man="1"/>
  </rowBreaks>
  <colBreaks count="1" manualBreakCount="1">
    <brk id="8" max="1048575" man="1"/>
  </colBreaks>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view="pageBreakPreview" topLeftCell="A61" zoomScaleNormal="100" zoomScaleSheetLayoutView="100" workbookViewId="0">
      <selection activeCell="A67" sqref="A67:E67"/>
    </sheetView>
  </sheetViews>
  <sheetFormatPr defaultColWidth="9.140625" defaultRowHeight="14.25" x14ac:dyDescent="0.25"/>
  <cols>
    <col min="1" max="1" width="5.140625" style="56" bestFit="1" customWidth="1"/>
    <col min="2" max="2" width="62.28515625" style="54" bestFit="1" customWidth="1"/>
    <col min="3" max="3" width="16.42578125" style="56" customWidth="1"/>
    <col min="4" max="4" width="19.140625" style="56" customWidth="1"/>
    <col min="5" max="5" width="15.85546875" style="56" customWidth="1"/>
    <col min="6" max="6" width="1.5703125" style="54" customWidth="1"/>
    <col min="7" max="7" width="20.28515625" style="54" hidden="1" customWidth="1"/>
    <col min="8" max="8" width="0" style="54" hidden="1" customWidth="1"/>
    <col min="9" max="9" width="14.42578125" style="54" hidden="1" customWidth="1"/>
    <col min="10" max="16384" width="9.140625" style="54"/>
  </cols>
  <sheetData>
    <row r="1" spans="1:9" ht="23.25" x14ac:dyDescent="0.25">
      <c r="A1" s="206" t="s">
        <v>265</v>
      </c>
      <c r="B1" s="206"/>
      <c r="C1" s="206"/>
      <c r="D1" s="206"/>
      <c r="E1" s="206"/>
    </row>
    <row r="2" spans="1:9" s="55" customFormat="1" ht="20.100000000000001" customHeight="1" x14ac:dyDescent="0.25">
      <c r="A2" s="207" t="s">
        <v>262</v>
      </c>
      <c r="B2" s="207"/>
      <c r="C2" s="207" t="str">
        <f>'Affiliated(55m)'!$J$2</f>
        <v>Institute
Name</v>
      </c>
      <c r="D2" s="207"/>
      <c r="E2" s="207"/>
    </row>
    <row r="3" spans="1:9" s="55" customFormat="1" ht="20.100000000000001" customHeight="1" x14ac:dyDescent="0.25">
      <c r="A3" s="207" t="s">
        <v>263</v>
      </c>
      <c r="B3" s="207"/>
      <c r="C3" s="207" t="str">
        <f>'Affiliated(55m)'!K$1</f>
        <v>Affiliated</v>
      </c>
      <c r="D3" s="207"/>
      <c r="E3" s="207"/>
    </row>
    <row r="4" spans="1:9" s="55" customFormat="1" ht="20.100000000000001" customHeight="1" x14ac:dyDescent="0.25">
      <c r="A4" s="204" t="s">
        <v>264</v>
      </c>
      <c r="B4" s="204"/>
      <c r="C4" s="205"/>
      <c r="D4" s="205"/>
      <c r="E4" s="205"/>
    </row>
    <row r="5" spans="1:9" s="56" customFormat="1" ht="113.25" customHeight="1" x14ac:dyDescent="0.25">
      <c r="A5" s="87" t="s">
        <v>220</v>
      </c>
      <c r="B5" s="87" t="s">
        <v>164</v>
      </c>
      <c r="C5" s="88" t="s">
        <v>187</v>
      </c>
      <c r="D5" s="88" t="s">
        <v>217</v>
      </c>
      <c r="E5" s="88" t="s">
        <v>274</v>
      </c>
      <c r="G5" s="57" t="s">
        <v>210</v>
      </c>
      <c r="H5" s="57" t="s">
        <v>211</v>
      </c>
      <c r="I5" s="58" t="s">
        <v>195</v>
      </c>
    </row>
    <row r="6" spans="1:9" s="62" customFormat="1" ht="50.1" customHeight="1" x14ac:dyDescent="0.25">
      <c r="A6" s="79">
        <v>1</v>
      </c>
      <c r="B6" s="80" t="s">
        <v>188</v>
      </c>
      <c r="C6" s="79">
        <v>30</v>
      </c>
      <c r="D6" s="79">
        <f>SUM('Ql (21m)'!O3:O4)</f>
        <v>0</v>
      </c>
      <c r="E6" s="81">
        <f>D6/C6</f>
        <v>0</v>
      </c>
      <c r="G6" s="64" t="s">
        <v>196</v>
      </c>
      <c r="H6" s="64" t="s">
        <v>197</v>
      </c>
      <c r="I6" s="64" t="s">
        <v>198</v>
      </c>
    </row>
    <row r="7" spans="1:9" s="62" customFormat="1" ht="50.1" customHeight="1" x14ac:dyDescent="0.25">
      <c r="A7" s="79">
        <v>2</v>
      </c>
      <c r="B7" s="80" t="s">
        <v>189</v>
      </c>
      <c r="C7" s="79">
        <v>125</v>
      </c>
      <c r="D7" s="79">
        <f>SUM('Ql (21m)'!O5:O7)</f>
        <v>0</v>
      </c>
      <c r="E7" s="81">
        <f t="shared" ref="E7:E12" si="0">D7/C7</f>
        <v>0</v>
      </c>
      <c r="G7" s="64" t="s">
        <v>199</v>
      </c>
      <c r="H7" s="64" t="s">
        <v>206</v>
      </c>
      <c r="I7" s="64" t="s">
        <v>198</v>
      </c>
    </row>
    <row r="8" spans="1:9" s="62" customFormat="1" ht="50.1" customHeight="1" x14ac:dyDescent="0.25">
      <c r="A8" s="79">
        <v>3</v>
      </c>
      <c r="B8" s="80" t="s">
        <v>190</v>
      </c>
      <c r="C8" s="79">
        <v>30</v>
      </c>
      <c r="D8" s="79">
        <f>SUM('Ql (21m)'!O8:O10)</f>
        <v>0</v>
      </c>
      <c r="E8" s="81">
        <f t="shared" si="0"/>
        <v>0</v>
      </c>
      <c r="G8" s="64" t="s">
        <v>200</v>
      </c>
      <c r="H8" s="64" t="s">
        <v>182</v>
      </c>
      <c r="I8" s="64" t="s">
        <v>198</v>
      </c>
    </row>
    <row r="9" spans="1:9" s="62" customFormat="1" ht="50.1" customHeight="1" x14ac:dyDescent="0.25">
      <c r="A9" s="79">
        <v>4</v>
      </c>
      <c r="B9" s="80" t="s">
        <v>191</v>
      </c>
      <c r="C9" s="79">
        <v>60</v>
      </c>
      <c r="D9" s="79">
        <f>SUM('Ql (21m)'!O11:O13)</f>
        <v>0</v>
      </c>
      <c r="E9" s="81">
        <f t="shared" si="0"/>
        <v>0</v>
      </c>
      <c r="G9" s="64" t="s">
        <v>201</v>
      </c>
      <c r="H9" s="64" t="s">
        <v>207</v>
      </c>
      <c r="I9" s="64" t="s">
        <v>198</v>
      </c>
    </row>
    <row r="10" spans="1:9" s="62" customFormat="1" ht="50.1" customHeight="1" x14ac:dyDescent="0.25">
      <c r="A10" s="79">
        <v>5</v>
      </c>
      <c r="B10" s="80" t="s">
        <v>192</v>
      </c>
      <c r="C10" s="79">
        <v>10</v>
      </c>
      <c r="D10" s="79">
        <f>SUM('Ql (21m)'!O14)</f>
        <v>0</v>
      </c>
      <c r="E10" s="81">
        <f t="shared" si="0"/>
        <v>0</v>
      </c>
      <c r="G10" s="64" t="s">
        <v>202</v>
      </c>
      <c r="H10" s="64" t="s">
        <v>208</v>
      </c>
      <c r="I10" s="64" t="s">
        <v>198</v>
      </c>
    </row>
    <row r="11" spans="1:9" s="62" customFormat="1" ht="50.1" customHeight="1" x14ac:dyDescent="0.25">
      <c r="A11" s="79">
        <v>6</v>
      </c>
      <c r="B11" s="80" t="s">
        <v>193</v>
      </c>
      <c r="C11" s="79">
        <v>54</v>
      </c>
      <c r="D11" s="79">
        <f>SUM('Ql (21m)'!O15:O19)</f>
        <v>0</v>
      </c>
      <c r="E11" s="81">
        <f t="shared" si="0"/>
        <v>0</v>
      </c>
      <c r="G11" s="64" t="s">
        <v>203</v>
      </c>
      <c r="H11" s="64" t="s">
        <v>183</v>
      </c>
      <c r="I11" s="64" t="s">
        <v>198</v>
      </c>
    </row>
    <row r="12" spans="1:9" s="62" customFormat="1" ht="50.1" customHeight="1" x14ac:dyDescent="0.25">
      <c r="A12" s="79">
        <v>7</v>
      </c>
      <c r="B12" s="80" t="s">
        <v>194</v>
      </c>
      <c r="C12" s="79">
        <v>70</v>
      </c>
      <c r="D12" s="79">
        <f>SUM('Ql (21m)'!O20:O23)</f>
        <v>0</v>
      </c>
      <c r="E12" s="81">
        <f t="shared" si="0"/>
        <v>0</v>
      </c>
      <c r="G12" s="64" t="s">
        <v>205</v>
      </c>
      <c r="H12" s="64" t="s">
        <v>185</v>
      </c>
      <c r="I12" s="64" t="s">
        <v>198</v>
      </c>
    </row>
    <row r="13" spans="1:9" ht="66" customHeight="1" x14ac:dyDescent="0.25">
      <c r="A13" s="139" t="s">
        <v>275</v>
      </c>
      <c r="B13" s="139"/>
      <c r="C13" s="79">
        <f>SUM(C6:C12)</f>
        <v>379</v>
      </c>
      <c r="D13" s="82">
        <f>SUM(D6:D12)</f>
        <v>0</v>
      </c>
      <c r="E13" s="81">
        <f>D13/C13</f>
        <v>0</v>
      </c>
      <c r="G13" s="59" t="s">
        <v>204</v>
      </c>
      <c r="H13" s="59" t="s">
        <v>184</v>
      </c>
      <c r="I13" s="59" t="s">
        <v>209</v>
      </c>
    </row>
    <row r="14" spans="1:9" s="63" customFormat="1" ht="24.95" customHeight="1" thickBot="1" x14ac:dyDescent="0.3">
      <c r="A14" s="83"/>
      <c r="B14" s="84"/>
      <c r="C14" s="83"/>
      <c r="D14" s="83"/>
      <c r="E14" s="85"/>
    </row>
    <row r="15" spans="1:9" ht="73.5" customHeight="1" thickBot="1" x14ac:dyDescent="0.3">
      <c r="A15" s="208">
        <f>D13/C13</f>
        <v>0</v>
      </c>
      <c r="B15" s="209"/>
      <c r="C15" s="209"/>
      <c r="D15" s="209"/>
      <c r="E15" s="210"/>
    </row>
    <row r="16" spans="1:9" ht="18.75" thickBot="1" x14ac:dyDescent="0.3">
      <c r="A16" s="70"/>
      <c r="B16" s="71"/>
      <c r="C16" s="70"/>
      <c r="D16" s="86"/>
      <c r="E16" s="83"/>
    </row>
    <row r="17" spans="1:5" ht="33.75" customHeight="1" thickBot="1" x14ac:dyDescent="0.3">
      <c r="A17" s="131" t="str">
        <f>IF(AND($A$15&lt;=4,$A$15&gt;=3.51),"A++",IF(AND($A$15&lt;=3.5,$A$15&gt;=3.26),"A+",IF(AND($A$15&lt;=3.25,$A$15&gt;3.01),"A",IF(AND($A$15&lt;=3,$A$15&gt;=2.76),"B++",IF(AND($A$15&lt;=2.75,$A$15&gt;=2.51),"B+",IF(AND($A$15&lt;=2.5,$A$15&gt;=2.01),"B",IF(AND($A$15&lt;=2,$A$15&gt;=1.51),"C","D")))))))</f>
        <v>D</v>
      </c>
      <c r="B17" s="132"/>
      <c r="C17" s="132"/>
      <c r="D17" s="132"/>
      <c r="E17" s="133"/>
    </row>
    <row r="18" spans="1:5" x14ac:dyDescent="0.25">
      <c r="D18" s="60"/>
      <c r="E18" s="61"/>
    </row>
    <row r="19" spans="1:5" x14ac:dyDescent="0.25">
      <c r="D19" s="60"/>
      <c r="E19" s="61"/>
    </row>
    <row r="20" spans="1:5" ht="18" x14ac:dyDescent="0.25">
      <c r="A20" s="200" t="s">
        <v>265</v>
      </c>
      <c r="B20" s="200"/>
      <c r="C20" s="200"/>
      <c r="D20" s="200"/>
      <c r="E20" s="200"/>
    </row>
    <row r="21" spans="1:5" s="55" customFormat="1" ht="20.100000000000001" customHeight="1" x14ac:dyDescent="0.25">
      <c r="A21" s="137" t="s">
        <v>262</v>
      </c>
      <c r="B21" s="137"/>
      <c r="C21" s="137" t="str">
        <f>'Affiliated(55m)'!$J$2</f>
        <v>Institute
Name</v>
      </c>
      <c r="D21" s="137"/>
      <c r="E21" s="137"/>
    </row>
    <row r="22" spans="1:5" s="55" customFormat="1" ht="20.100000000000001" customHeight="1" x14ac:dyDescent="0.25">
      <c r="A22" s="137" t="s">
        <v>263</v>
      </c>
      <c r="B22" s="137"/>
      <c r="C22" s="137" t="str">
        <f>'Affiliated(55m)'!$K$1</f>
        <v>Affiliated</v>
      </c>
      <c r="D22" s="137"/>
      <c r="E22" s="137"/>
    </row>
    <row r="23" spans="1:5" s="55" customFormat="1" ht="20.100000000000001" customHeight="1" x14ac:dyDescent="0.25">
      <c r="A23" s="134" t="s">
        <v>264</v>
      </c>
      <c r="B23" s="134"/>
      <c r="C23" s="135"/>
      <c r="D23" s="135"/>
      <c r="E23" s="135"/>
    </row>
    <row r="24" spans="1:5" s="56" customFormat="1" ht="72" x14ac:dyDescent="0.25">
      <c r="A24" s="65" t="s">
        <v>220</v>
      </c>
      <c r="B24" s="65" t="s">
        <v>212</v>
      </c>
      <c r="C24" s="116" t="s">
        <v>266</v>
      </c>
      <c r="D24" s="144" t="s">
        <v>267</v>
      </c>
      <c r="E24" s="145"/>
    </row>
    <row r="25" spans="1:5" s="56" customFormat="1" ht="33" customHeight="1" x14ac:dyDescent="0.25">
      <c r="A25" s="138" t="s">
        <v>218</v>
      </c>
      <c r="B25" s="138"/>
      <c r="C25" s="138"/>
      <c r="D25" s="138"/>
      <c r="E25" s="138"/>
    </row>
    <row r="26" spans="1:5" ht="33" customHeight="1" x14ac:dyDescent="0.25">
      <c r="A26" s="67">
        <v>1.1000000000000001</v>
      </c>
      <c r="B26" s="68" t="s">
        <v>260</v>
      </c>
      <c r="C26" s="67">
        <v>20</v>
      </c>
      <c r="D26" s="146">
        <f>SUM('Ql (21m)'!M7)</f>
        <v>0</v>
      </c>
      <c r="E26" s="147"/>
    </row>
    <row r="27" spans="1:5" ht="33" customHeight="1" x14ac:dyDescent="0.25">
      <c r="A27" s="67">
        <v>1.3</v>
      </c>
      <c r="B27" s="68" t="s">
        <v>258</v>
      </c>
      <c r="C27" s="67">
        <v>10</v>
      </c>
      <c r="D27" s="146">
        <f>SUM('Ql (21m)'!M8)</f>
        <v>0</v>
      </c>
      <c r="E27" s="147"/>
    </row>
    <row r="28" spans="1:5" ht="33" customHeight="1" thickBot="1" x14ac:dyDescent="0.3">
      <c r="A28" s="148" t="s">
        <v>275</v>
      </c>
      <c r="B28" s="149"/>
      <c r="C28" s="109">
        <f>SUM(C26:C27)</f>
        <v>30</v>
      </c>
      <c r="D28" s="195">
        <f>SUM(D26:D27)</f>
        <v>0</v>
      </c>
      <c r="E28" s="196"/>
    </row>
    <row r="29" spans="1:5" ht="33" customHeight="1" thickBot="1" x14ac:dyDescent="0.3">
      <c r="A29" s="140">
        <f>D28/C28</f>
        <v>0</v>
      </c>
      <c r="B29" s="141"/>
      <c r="C29" s="141"/>
      <c r="D29" s="141"/>
      <c r="E29" s="142"/>
    </row>
    <row r="30" spans="1:5" ht="33" customHeight="1" x14ac:dyDescent="0.25">
      <c r="A30" s="152" t="s">
        <v>219</v>
      </c>
      <c r="B30" s="152"/>
      <c r="C30" s="152"/>
      <c r="D30" s="152"/>
      <c r="E30" s="152"/>
    </row>
    <row r="31" spans="1:5" ht="33" customHeight="1" x14ac:dyDescent="0.25">
      <c r="A31" s="67">
        <v>2.2999999999999998</v>
      </c>
      <c r="B31" s="68" t="s">
        <v>227</v>
      </c>
      <c r="C31" s="67">
        <v>40</v>
      </c>
      <c r="D31" s="146">
        <f>SUM('Ql (21m)'!M10)</f>
        <v>0</v>
      </c>
      <c r="E31" s="147"/>
    </row>
    <row r="32" spans="1:5" ht="33" customHeight="1" x14ac:dyDescent="0.25">
      <c r="A32" s="67">
        <v>2.5</v>
      </c>
      <c r="B32" s="68" t="s">
        <v>222</v>
      </c>
      <c r="C32" s="67">
        <v>40</v>
      </c>
      <c r="D32" s="146">
        <f>SUM('Ql (21m)'!M11)</f>
        <v>0</v>
      </c>
      <c r="E32" s="147"/>
    </row>
    <row r="33" spans="1:5" ht="33" customHeight="1" x14ac:dyDescent="0.25">
      <c r="A33" s="67">
        <v>2.6</v>
      </c>
      <c r="B33" s="68" t="s">
        <v>223</v>
      </c>
      <c r="C33" s="67">
        <v>45</v>
      </c>
      <c r="D33" s="146">
        <f>SUM('Ql (21m)'!M12)</f>
        <v>0</v>
      </c>
      <c r="E33" s="147"/>
    </row>
    <row r="34" spans="1:5" ht="33" customHeight="1" x14ac:dyDescent="0.25">
      <c r="A34" s="154" t="s">
        <v>275</v>
      </c>
      <c r="B34" s="154"/>
      <c r="C34" s="109">
        <f>SUM(C31:C33)</f>
        <v>125</v>
      </c>
      <c r="D34" s="189">
        <f>SUM(D31:D33)</f>
        <v>0</v>
      </c>
      <c r="E34" s="189"/>
    </row>
    <row r="35" spans="1:5" ht="33" customHeight="1" x14ac:dyDescent="0.25">
      <c r="A35" s="155">
        <f>D34/C34</f>
        <v>0</v>
      </c>
      <c r="B35" s="155"/>
      <c r="C35" s="155"/>
      <c r="D35" s="155"/>
      <c r="E35" s="155"/>
    </row>
    <row r="36" spans="1:5" ht="33" customHeight="1" x14ac:dyDescent="0.25">
      <c r="A36" s="138" t="s">
        <v>228</v>
      </c>
      <c r="B36" s="138"/>
      <c r="C36" s="138"/>
      <c r="D36" s="138"/>
      <c r="E36" s="138"/>
    </row>
    <row r="37" spans="1:5" ht="33" customHeight="1" x14ac:dyDescent="0.25">
      <c r="A37" s="67">
        <v>3.2</v>
      </c>
      <c r="B37" s="68" t="s">
        <v>230</v>
      </c>
      <c r="C37" s="67">
        <v>10</v>
      </c>
      <c r="D37" s="146">
        <f>SUM('Ql (21m)'!M13)</f>
        <v>0</v>
      </c>
      <c r="E37" s="147"/>
    </row>
    <row r="38" spans="1:5" ht="33" customHeight="1" x14ac:dyDescent="0.25">
      <c r="A38" s="67">
        <v>3.4</v>
      </c>
      <c r="B38" s="68" t="s">
        <v>232</v>
      </c>
      <c r="C38" s="67">
        <v>20</v>
      </c>
      <c r="D38" s="146">
        <f>SUM('Ql (21m)'!M14:M15)</f>
        <v>0</v>
      </c>
      <c r="E38" s="147"/>
    </row>
    <row r="39" spans="1:5" ht="33" customHeight="1" x14ac:dyDescent="0.25">
      <c r="A39" s="154" t="s">
        <v>275</v>
      </c>
      <c r="B39" s="154"/>
      <c r="C39" s="109">
        <f>SUM(C37:C38)</f>
        <v>30</v>
      </c>
      <c r="D39" s="189">
        <f>SUM(D37:D38)</f>
        <v>0</v>
      </c>
      <c r="E39" s="189"/>
    </row>
    <row r="40" spans="1:5" ht="33" customHeight="1" x14ac:dyDescent="0.25">
      <c r="A40" s="211">
        <f>D39/C39</f>
        <v>0</v>
      </c>
      <c r="B40" s="211"/>
      <c r="C40" s="211"/>
      <c r="D40" s="211"/>
      <c r="E40" s="211"/>
    </row>
    <row r="41" spans="1:5" ht="33" customHeight="1" x14ac:dyDescent="0.25">
      <c r="A41" s="138" t="s">
        <v>234</v>
      </c>
      <c r="B41" s="138"/>
      <c r="C41" s="138"/>
      <c r="D41" s="138"/>
      <c r="E41" s="138"/>
    </row>
    <row r="42" spans="1:5" ht="33" customHeight="1" x14ac:dyDescent="0.25">
      <c r="A42" s="67">
        <v>4.0999999999999996</v>
      </c>
      <c r="B42" s="68" t="s">
        <v>235</v>
      </c>
      <c r="C42" s="67">
        <v>20</v>
      </c>
      <c r="D42" s="146">
        <f>SUM('Ql (21m)'!M16)</f>
        <v>0</v>
      </c>
      <c r="E42" s="147"/>
    </row>
    <row r="43" spans="1:5" ht="33" customHeight="1" x14ac:dyDescent="0.25">
      <c r="A43" s="67">
        <v>4.2</v>
      </c>
      <c r="B43" s="68" t="s">
        <v>236</v>
      </c>
      <c r="C43" s="67">
        <v>20</v>
      </c>
      <c r="D43" s="146">
        <f>SUM('Ql (21m)'!M17)</f>
        <v>0</v>
      </c>
      <c r="E43" s="147"/>
    </row>
    <row r="44" spans="1:5" ht="33" customHeight="1" x14ac:dyDescent="0.25">
      <c r="A44" s="67">
        <v>4.3</v>
      </c>
      <c r="B44" s="68" t="s">
        <v>237</v>
      </c>
      <c r="C44" s="67">
        <v>20</v>
      </c>
      <c r="D44" s="146">
        <f>SUM('Ql (21m)'!M18)</f>
        <v>0</v>
      </c>
      <c r="E44" s="147"/>
    </row>
    <row r="45" spans="1:5" ht="33" customHeight="1" thickBot="1" x14ac:dyDescent="0.3">
      <c r="A45" s="148" t="s">
        <v>275</v>
      </c>
      <c r="B45" s="149"/>
      <c r="C45" s="114">
        <f>SUM(C42:C44)</f>
        <v>60</v>
      </c>
      <c r="D45" s="191">
        <f>SUM(D42:D44)</f>
        <v>0</v>
      </c>
      <c r="E45" s="192"/>
    </row>
    <row r="46" spans="1:5" ht="33" customHeight="1" x14ac:dyDescent="0.25">
      <c r="A46" s="135">
        <f>D45/C45</f>
        <v>0</v>
      </c>
      <c r="B46" s="135"/>
      <c r="C46" s="135"/>
      <c r="D46" s="135"/>
      <c r="E46" s="135"/>
    </row>
    <row r="47" spans="1:5" ht="33" customHeight="1" x14ac:dyDescent="0.25">
      <c r="A47" s="138" t="s">
        <v>239</v>
      </c>
      <c r="B47" s="138"/>
      <c r="C47" s="138"/>
      <c r="D47" s="138"/>
      <c r="E47" s="138"/>
    </row>
    <row r="48" spans="1:5" ht="33" customHeight="1" x14ac:dyDescent="0.25">
      <c r="A48" s="67">
        <v>5.4</v>
      </c>
      <c r="B48" s="68" t="s">
        <v>243</v>
      </c>
      <c r="C48" s="67">
        <v>10</v>
      </c>
      <c r="D48" s="146">
        <f>SUM('Ql (21m)'!M19)</f>
        <v>0</v>
      </c>
      <c r="E48" s="147"/>
    </row>
    <row r="49" spans="1:5" ht="33" customHeight="1" x14ac:dyDescent="0.25">
      <c r="A49" s="148" t="s">
        <v>275</v>
      </c>
      <c r="B49" s="149"/>
      <c r="C49" s="112">
        <f>SUM(C48:C48)</f>
        <v>10</v>
      </c>
      <c r="D49" s="187">
        <f>SUM(D48:D48)</f>
        <v>0</v>
      </c>
      <c r="E49" s="188"/>
    </row>
    <row r="50" spans="1:5" ht="33" customHeight="1" x14ac:dyDescent="0.25">
      <c r="A50" s="158">
        <f>D49/C49</f>
        <v>0</v>
      </c>
      <c r="B50" s="158"/>
      <c r="C50" s="158"/>
      <c r="D50" s="158"/>
      <c r="E50" s="158"/>
    </row>
    <row r="51" spans="1:5" ht="33" customHeight="1" x14ac:dyDescent="0.25">
      <c r="A51" s="138" t="s">
        <v>244</v>
      </c>
      <c r="B51" s="138"/>
      <c r="C51" s="138"/>
      <c r="D51" s="138"/>
      <c r="E51" s="138"/>
    </row>
    <row r="52" spans="1:5" ht="33" customHeight="1" x14ac:dyDescent="0.25">
      <c r="A52" s="67">
        <v>6.1</v>
      </c>
      <c r="B52" s="68" t="s">
        <v>245</v>
      </c>
      <c r="C52" s="67">
        <v>10</v>
      </c>
      <c r="D52" s="146">
        <f>SUM('Ql (21m)'!M20)</f>
        <v>0</v>
      </c>
      <c r="E52" s="147"/>
    </row>
    <row r="53" spans="1:5" ht="33" customHeight="1" x14ac:dyDescent="0.25">
      <c r="A53" s="67">
        <v>6.2</v>
      </c>
      <c r="B53" s="68" t="s">
        <v>246</v>
      </c>
      <c r="C53" s="67">
        <v>6</v>
      </c>
      <c r="D53" s="146">
        <f>SUM('Ql (21m)'!M21)</f>
        <v>0</v>
      </c>
      <c r="E53" s="147"/>
    </row>
    <row r="54" spans="1:5" ht="33" customHeight="1" x14ac:dyDescent="0.25">
      <c r="A54" s="67">
        <v>6.3</v>
      </c>
      <c r="B54" s="68" t="s">
        <v>247</v>
      </c>
      <c r="C54" s="67">
        <v>8</v>
      </c>
      <c r="D54" s="146">
        <f>SUM('Ql (21m)'!M22)</f>
        <v>0</v>
      </c>
      <c r="E54" s="147"/>
    </row>
    <row r="55" spans="1:5" ht="33" customHeight="1" x14ac:dyDescent="0.25">
      <c r="A55" s="67">
        <v>6.4</v>
      </c>
      <c r="B55" s="68" t="s">
        <v>248</v>
      </c>
      <c r="C55" s="67">
        <v>15</v>
      </c>
      <c r="D55" s="146">
        <f>SUM('Ql (21m)'!M23)</f>
        <v>0</v>
      </c>
      <c r="E55" s="147"/>
    </row>
    <row r="56" spans="1:5" ht="33" customHeight="1" x14ac:dyDescent="0.25">
      <c r="A56" s="67">
        <v>6.5</v>
      </c>
      <c r="B56" s="68" t="s">
        <v>249</v>
      </c>
      <c r="C56" s="67">
        <v>15</v>
      </c>
      <c r="D56" s="146">
        <f>SUM('Ql (21m)'!M24)</f>
        <v>0</v>
      </c>
      <c r="E56" s="147"/>
    </row>
    <row r="57" spans="1:5" ht="33" customHeight="1" thickBot="1" x14ac:dyDescent="0.3">
      <c r="A57" s="159" t="s">
        <v>275</v>
      </c>
      <c r="B57" s="160"/>
      <c r="C57" s="113">
        <f>SUM(C52:C56)</f>
        <v>54</v>
      </c>
      <c r="D57" s="182">
        <f>SUM(D52:D54)</f>
        <v>0</v>
      </c>
      <c r="E57" s="183"/>
    </row>
    <row r="58" spans="1:5" ht="33" customHeight="1" thickBot="1" x14ac:dyDescent="0.3">
      <c r="A58" s="140">
        <f>D57/C57</f>
        <v>0</v>
      </c>
      <c r="B58" s="141"/>
      <c r="C58" s="141"/>
      <c r="D58" s="141"/>
      <c r="E58" s="142"/>
    </row>
    <row r="59" spans="1:5" ht="33" customHeight="1" x14ac:dyDescent="0.25">
      <c r="A59" s="138" t="s">
        <v>250</v>
      </c>
      <c r="B59" s="138"/>
      <c r="C59" s="138"/>
      <c r="D59" s="138"/>
      <c r="E59" s="138"/>
    </row>
    <row r="60" spans="1:5" ht="33" customHeight="1" x14ac:dyDescent="0.25">
      <c r="A60" s="67">
        <v>7.1</v>
      </c>
      <c r="B60" s="68" t="s">
        <v>251</v>
      </c>
      <c r="C60" s="67">
        <v>20</v>
      </c>
      <c r="D60" s="146">
        <f>SUM('Ql (21m)'!M31:M32)</f>
        <v>0</v>
      </c>
      <c r="E60" s="147"/>
    </row>
    <row r="61" spans="1:5" ht="33" customHeight="1" x14ac:dyDescent="0.25">
      <c r="A61" s="67">
        <v>7.2</v>
      </c>
      <c r="B61" s="68" t="s">
        <v>186</v>
      </c>
      <c r="C61" s="67">
        <v>30</v>
      </c>
      <c r="D61" s="146">
        <f>SUM('Ql (21m)'!M33)</f>
        <v>0</v>
      </c>
      <c r="E61" s="147"/>
    </row>
    <row r="62" spans="1:5" ht="33" customHeight="1" x14ac:dyDescent="0.25">
      <c r="A62" s="67">
        <v>7.3</v>
      </c>
      <c r="B62" s="68" t="s">
        <v>252</v>
      </c>
      <c r="C62" s="67">
        <v>20</v>
      </c>
      <c r="D62" s="146">
        <f>SUM('Ql (21m)'!M34)</f>
        <v>0</v>
      </c>
      <c r="E62" s="147"/>
    </row>
    <row r="63" spans="1:5" ht="33" customHeight="1" x14ac:dyDescent="0.25">
      <c r="A63" s="148" t="s">
        <v>275</v>
      </c>
      <c r="B63" s="149"/>
      <c r="C63" s="114">
        <f>SUM(C60:C62)</f>
        <v>70</v>
      </c>
      <c r="D63" s="178">
        <f>SUM(D60:D60)</f>
        <v>0</v>
      </c>
      <c r="E63" s="179"/>
    </row>
    <row r="64" spans="1:5" ht="33" customHeight="1" x14ac:dyDescent="0.25">
      <c r="A64" s="153">
        <f>D63/C63</f>
        <v>0</v>
      </c>
      <c r="B64" s="153"/>
      <c r="C64" s="153"/>
      <c r="D64" s="153"/>
      <c r="E64" s="153"/>
    </row>
    <row r="65" spans="1:5" ht="33" customHeight="1" thickBot="1" x14ac:dyDescent="0.3">
      <c r="A65" s="163" t="s">
        <v>276</v>
      </c>
      <c r="B65" s="164"/>
      <c r="C65" s="104">
        <f>SUM(C63,C57,C49,C45,C39,C34,C28)</f>
        <v>379</v>
      </c>
      <c r="D65" s="165">
        <f>SUM(D63,D57,D49,D45,D39,D34,D28)</f>
        <v>0</v>
      </c>
      <c r="E65" s="166"/>
    </row>
    <row r="66" spans="1:5" ht="71.25" customHeight="1" thickBot="1" x14ac:dyDescent="0.3">
      <c r="A66" s="131">
        <f>D65/C65</f>
        <v>0</v>
      </c>
      <c r="B66" s="132"/>
      <c r="C66" s="132"/>
      <c r="D66" s="132"/>
      <c r="E66" s="133"/>
    </row>
    <row r="67" spans="1:5" ht="40.5" customHeight="1" thickBot="1" x14ac:dyDescent="0.3">
      <c r="A67" s="201" t="str">
        <f>IF(AND($A$66&lt;=4,$A$66&gt;=3.51),"A++",IF(AND($A$66&lt;=3.5,$A$66&gt;=3.26),"A+",IF(AND($A$66&lt;=3.25,$A$66&gt;3.01),"A",IF(AND($A$66&lt;=3,$A$66&gt;=2.76),"B++",IF(AND($A$66&lt;=2.75,$A$66&gt;=2.51),"B+",IF(AND($A$66&lt;=2.5,$A$66&gt;=2.01),"B",IF(AND($A$66&lt;=2,$A$66&gt;=1.51),"C","D")))))))</f>
        <v>D</v>
      </c>
      <c r="B67" s="202"/>
      <c r="C67" s="202"/>
      <c r="D67" s="202"/>
      <c r="E67" s="203"/>
    </row>
  </sheetData>
  <mergeCells count="69">
    <mergeCell ref="A65:B65"/>
    <mergeCell ref="D65:E65"/>
    <mergeCell ref="A66:E66"/>
    <mergeCell ref="A58:E58"/>
    <mergeCell ref="A59:E59"/>
    <mergeCell ref="D60:E60"/>
    <mergeCell ref="A63:B63"/>
    <mergeCell ref="D63:E63"/>
    <mergeCell ref="A64:E64"/>
    <mergeCell ref="D61:E61"/>
    <mergeCell ref="D62:E62"/>
    <mergeCell ref="A57:B57"/>
    <mergeCell ref="D57:E57"/>
    <mergeCell ref="D55:E55"/>
    <mergeCell ref="D56:E56"/>
    <mergeCell ref="A46:E46"/>
    <mergeCell ref="A47:E47"/>
    <mergeCell ref="D48:E48"/>
    <mergeCell ref="A49:B49"/>
    <mergeCell ref="D49:E49"/>
    <mergeCell ref="A50:E50"/>
    <mergeCell ref="A51:E51"/>
    <mergeCell ref="D52:E52"/>
    <mergeCell ref="D53:E53"/>
    <mergeCell ref="D54:E54"/>
    <mergeCell ref="A41:E41"/>
    <mergeCell ref="D42:E42"/>
    <mergeCell ref="D43:E43"/>
    <mergeCell ref="D44:E44"/>
    <mergeCell ref="A45:B45"/>
    <mergeCell ref="D45:E45"/>
    <mergeCell ref="A39:B39"/>
    <mergeCell ref="D39:E39"/>
    <mergeCell ref="A40:E40"/>
    <mergeCell ref="A34:B34"/>
    <mergeCell ref="D34:E34"/>
    <mergeCell ref="A35:E35"/>
    <mergeCell ref="A36:E36"/>
    <mergeCell ref="D37:E37"/>
    <mergeCell ref="D38:E38"/>
    <mergeCell ref="D31:E31"/>
    <mergeCell ref="D32:E32"/>
    <mergeCell ref="D33:E33"/>
    <mergeCell ref="D26:E26"/>
    <mergeCell ref="D27:E27"/>
    <mergeCell ref="D28:E28"/>
    <mergeCell ref="A29:E29"/>
    <mergeCell ref="C22:E22"/>
    <mergeCell ref="A23:B23"/>
    <mergeCell ref="C23:E23"/>
    <mergeCell ref="D24:E24"/>
    <mergeCell ref="A30:E30"/>
    <mergeCell ref="A28:B28"/>
    <mergeCell ref="A67:E67"/>
    <mergeCell ref="A4:B4"/>
    <mergeCell ref="C4:E4"/>
    <mergeCell ref="A1:E1"/>
    <mergeCell ref="A2:B2"/>
    <mergeCell ref="C2:E2"/>
    <mergeCell ref="A3:B3"/>
    <mergeCell ref="C3:E3"/>
    <mergeCell ref="A25:E25"/>
    <mergeCell ref="A13:B13"/>
    <mergeCell ref="A15:E15"/>
    <mergeCell ref="A17:E17"/>
    <mergeCell ref="A20:E20"/>
    <mergeCell ref="A21:B21"/>
    <mergeCell ref="C21:E21"/>
    <mergeCell ref="A22:B22"/>
  </mergeCells>
  <printOptions horizontalCentered="1"/>
  <pageMargins left="0.19685039370078741" right="0.19685039370078741" top="0.78740157480314965" bottom="0.39370078740157483" header="0.31496062992125984" footer="0.31496062992125984"/>
  <pageSetup paperSize="9" scale="83" fitToHeight="0" orientation="portrait" verticalDpi="0" r:id="rId1"/>
  <headerFooter>
    <oddHeader>&amp;C
&amp;G</oddHeader>
  </headerFooter>
  <rowBreaks count="2" manualBreakCount="2">
    <brk id="19" max="16383" man="1"/>
    <brk id="46" max="16383" man="1"/>
  </rowBreaks>
  <colBreaks count="1" manualBreakCount="1">
    <brk id="5" max="1048575" man="1"/>
  </colBreaks>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view="pageBreakPreview" topLeftCell="A37" zoomScaleNormal="100" zoomScaleSheetLayoutView="100" workbookViewId="0">
      <selection activeCell="A56" sqref="A56:E58"/>
    </sheetView>
  </sheetViews>
  <sheetFormatPr defaultColWidth="9.140625" defaultRowHeight="15" x14ac:dyDescent="0.25"/>
  <cols>
    <col min="1" max="1" width="5.140625" style="1" bestFit="1" customWidth="1"/>
    <col min="2" max="2" width="52.7109375" style="44" bestFit="1" customWidth="1"/>
    <col min="3" max="3" width="14.140625" style="1" customWidth="1"/>
    <col min="4" max="4" width="16.5703125" style="1" customWidth="1"/>
    <col min="5" max="5" width="17.42578125" style="1" bestFit="1" customWidth="1"/>
    <col min="6" max="6" width="1.5703125" style="44" customWidth="1"/>
    <col min="7" max="7" width="20.28515625" style="44" bestFit="1" customWidth="1"/>
    <col min="8" max="8" width="9.140625" style="44"/>
    <col min="9" max="9" width="14.42578125" style="44" bestFit="1" customWidth="1"/>
    <col min="10" max="16384" width="9.140625" style="44"/>
  </cols>
  <sheetData>
    <row r="1" spans="1:9" ht="23.25" x14ac:dyDescent="0.25">
      <c r="A1" s="216" t="s">
        <v>261</v>
      </c>
      <c r="B1" s="216"/>
      <c r="C1" s="216"/>
      <c r="D1" s="216"/>
      <c r="E1" s="216"/>
    </row>
    <row r="2" spans="1:9" s="47" customFormat="1" ht="20.100000000000001" customHeight="1" x14ac:dyDescent="0.25">
      <c r="A2" s="217" t="s">
        <v>262</v>
      </c>
      <c r="B2" s="217"/>
      <c r="C2" s="219"/>
      <c r="D2" s="219"/>
      <c r="E2" s="219"/>
    </row>
    <row r="3" spans="1:9" s="47" customFormat="1" ht="20.100000000000001" customHeight="1" x14ac:dyDescent="0.25">
      <c r="A3" s="217" t="s">
        <v>263</v>
      </c>
      <c r="B3" s="217"/>
      <c r="C3" s="219"/>
      <c r="D3" s="219"/>
      <c r="E3" s="219"/>
    </row>
    <row r="4" spans="1:9" s="47" customFormat="1" ht="20.100000000000001" customHeight="1" x14ac:dyDescent="0.25">
      <c r="A4" s="218" t="s">
        <v>264</v>
      </c>
      <c r="B4" s="218"/>
      <c r="C4" s="219"/>
      <c r="D4" s="219"/>
      <c r="E4" s="219"/>
    </row>
    <row r="5" spans="1:9" s="1" customFormat="1" ht="60" x14ac:dyDescent="0.25">
      <c r="A5" s="28" t="s">
        <v>220</v>
      </c>
      <c r="B5" s="28" t="s">
        <v>164</v>
      </c>
      <c r="C5" s="29" t="s">
        <v>187</v>
      </c>
      <c r="D5" s="29" t="s">
        <v>217</v>
      </c>
      <c r="E5" s="29" t="s">
        <v>216</v>
      </c>
      <c r="G5" s="26" t="s">
        <v>210</v>
      </c>
      <c r="H5" s="26" t="s">
        <v>211</v>
      </c>
      <c r="I5" s="27" t="s">
        <v>195</v>
      </c>
    </row>
    <row r="6" spans="1:9" ht="24.95" customHeight="1" x14ac:dyDescent="0.25">
      <c r="A6" s="39">
        <v>1</v>
      </c>
      <c r="B6" s="16" t="s">
        <v>188</v>
      </c>
      <c r="C6" s="39">
        <v>30</v>
      </c>
      <c r="D6" s="51">
        <f>SUM('Ql (21m)'!O3:O4)</f>
        <v>0</v>
      </c>
      <c r="E6" s="33">
        <f>D6/C6</f>
        <v>0</v>
      </c>
      <c r="G6" s="39" t="s">
        <v>196</v>
      </c>
      <c r="H6" s="39" t="s">
        <v>197</v>
      </c>
      <c r="I6" s="39" t="s">
        <v>198</v>
      </c>
    </row>
    <row r="7" spans="1:9" ht="24.95" customHeight="1" x14ac:dyDescent="0.25">
      <c r="A7" s="39">
        <v>2</v>
      </c>
      <c r="B7" s="16" t="s">
        <v>189</v>
      </c>
      <c r="C7" s="39">
        <v>125</v>
      </c>
      <c r="D7" s="39">
        <f>SUM('Ql (21m)'!O5:O7)</f>
        <v>0</v>
      </c>
      <c r="E7" s="33">
        <f t="shared" ref="E7:E12" si="0">D7/C7</f>
        <v>0</v>
      </c>
      <c r="G7" s="39" t="s">
        <v>199</v>
      </c>
      <c r="H7" s="39" t="s">
        <v>206</v>
      </c>
      <c r="I7" s="39" t="s">
        <v>198</v>
      </c>
    </row>
    <row r="8" spans="1:9" ht="24.95" customHeight="1" x14ac:dyDescent="0.25">
      <c r="A8" s="39">
        <v>3</v>
      </c>
      <c r="B8" s="16" t="s">
        <v>190</v>
      </c>
      <c r="C8" s="39">
        <v>30</v>
      </c>
      <c r="D8" s="39">
        <f>SUM('Ql (21m)'!O8:O10)</f>
        <v>0</v>
      </c>
      <c r="E8" s="33">
        <f t="shared" si="0"/>
        <v>0</v>
      </c>
      <c r="G8" s="39" t="s">
        <v>200</v>
      </c>
      <c r="H8" s="39" t="s">
        <v>182</v>
      </c>
      <c r="I8" s="39" t="s">
        <v>198</v>
      </c>
    </row>
    <row r="9" spans="1:9" ht="24.95" customHeight="1" x14ac:dyDescent="0.25">
      <c r="A9" s="39">
        <v>4</v>
      </c>
      <c r="B9" s="16" t="s">
        <v>191</v>
      </c>
      <c r="C9" s="39">
        <v>60</v>
      </c>
      <c r="D9" s="39">
        <f>SUM('Ql (21m)'!O11:O13)</f>
        <v>0</v>
      </c>
      <c r="E9" s="33">
        <f t="shared" si="0"/>
        <v>0</v>
      </c>
      <c r="G9" s="39" t="s">
        <v>201</v>
      </c>
      <c r="H9" s="39" t="s">
        <v>207</v>
      </c>
      <c r="I9" s="39" t="s">
        <v>198</v>
      </c>
    </row>
    <row r="10" spans="1:9" ht="24.95" customHeight="1" x14ac:dyDescent="0.25">
      <c r="A10" s="39">
        <v>5</v>
      </c>
      <c r="B10" s="16" t="s">
        <v>192</v>
      </c>
      <c r="C10" s="39">
        <v>10</v>
      </c>
      <c r="D10" s="39">
        <f>SUM('Ql (21m)'!O14)</f>
        <v>0</v>
      </c>
      <c r="E10" s="33">
        <f t="shared" si="0"/>
        <v>0</v>
      </c>
      <c r="G10" s="39" t="s">
        <v>202</v>
      </c>
      <c r="H10" s="39" t="s">
        <v>208</v>
      </c>
      <c r="I10" s="39" t="s">
        <v>198</v>
      </c>
    </row>
    <row r="11" spans="1:9" ht="24.95" customHeight="1" x14ac:dyDescent="0.25">
      <c r="A11" s="39">
        <v>6</v>
      </c>
      <c r="B11" s="16" t="s">
        <v>193</v>
      </c>
      <c r="C11" s="39">
        <v>54</v>
      </c>
      <c r="D11" s="39">
        <f>SUM('Ql (21m)'!O15:O19)</f>
        <v>0</v>
      </c>
      <c r="E11" s="33">
        <f t="shared" si="0"/>
        <v>0</v>
      </c>
      <c r="G11" s="39" t="s">
        <v>203</v>
      </c>
      <c r="H11" s="39" t="s">
        <v>183</v>
      </c>
      <c r="I11" s="39" t="s">
        <v>198</v>
      </c>
    </row>
    <row r="12" spans="1:9" ht="24.95" customHeight="1" x14ac:dyDescent="0.25">
      <c r="A12" s="39">
        <v>7</v>
      </c>
      <c r="B12" s="16" t="s">
        <v>194</v>
      </c>
      <c r="C12" s="39">
        <v>70</v>
      </c>
      <c r="D12" s="39">
        <f>SUM('Ql (21m)'!O20:O23)</f>
        <v>0</v>
      </c>
      <c r="E12" s="33">
        <f t="shared" si="0"/>
        <v>0</v>
      </c>
      <c r="G12" s="39" t="s">
        <v>205</v>
      </c>
      <c r="H12" s="39" t="s">
        <v>185</v>
      </c>
      <c r="I12" s="39" t="s">
        <v>198</v>
      </c>
    </row>
    <row r="13" spans="1:9" ht="24.95" customHeight="1" thickBot="1" x14ac:dyDescent="0.3">
      <c r="C13" s="39">
        <f>SUM(C6:C12)</f>
        <v>379</v>
      </c>
      <c r="D13" s="39">
        <f>SUM(D6:D12)</f>
        <v>0</v>
      </c>
      <c r="E13" s="35">
        <f>D13/C13</f>
        <v>0</v>
      </c>
      <c r="G13" s="39" t="s">
        <v>204</v>
      </c>
      <c r="H13" s="39" t="s">
        <v>184</v>
      </c>
      <c r="I13" s="39" t="s">
        <v>209</v>
      </c>
    </row>
    <row r="14" spans="1:9" ht="24.95" customHeight="1" thickBot="1" x14ac:dyDescent="0.3">
      <c r="D14" s="46" t="s">
        <v>166</v>
      </c>
      <c r="E14" s="37" t="str">
        <f>IF(AND($E$13&lt;=4,$E$13&gt;=3.51),"A++",IF(AND($E$13&lt;=3.5,$E$13&gt;=3.26),"A+",IF(AND($E$13&lt;=3.25,$E$13&gt;3.01),"A",IF(AND($E$13&lt;=3,$E$13&gt;=2.76),"B++",IF(AND($E$13&lt;=2.75,$E$13&gt;=2.51),"B+",IF(AND($E$13&lt;=2.5,$E$13&gt;=2.01),"B",IF(AND($E$13&lt;=2,$E$13&gt;=1.51),"C","D")))))))</f>
        <v>D</v>
      </c>
    </row>
    <row r="15" spans="1:9" x14ac:dyDescent="0.25">
      <c r="D15" s="48"/>
      <c r="E15" s="30"/>
    </row>
    <row r="16" spans="1:9" ht="23.25" x14ac:dyDescent="0.25">
      <c r="A16" s="216" t="s">
        <v>261</v>
      </c>
      <c r="B16" s="216"/>
      <c r="C16" s="216"/>
      <c r="D16" s="216"/>
      <c r="E16" s="216"/>
    </row>
    <row r="17" spans="1:5" s="47" customFormat="1" ht="20.100000000000001" customHeight="1" x14ac:dyDescent="0.25">
      <c r="A17" s="217" t="s">
        <v>262</v>
      </c>
      <c r="B17" s="217"/>
      <c r="C17" s="219"/>
      <c r="D17" s="219"/>
      <c r="E17" s="219"/>
    </row>
    <row r="18" spans="1:5" s="47" customFormat="1" ht="20.100000000000001" customHeight="1" x14ac:dyDescent="0.25">
      <c r="A18" s="217" t="s">
        <v>263</v>
      </c>
      <c r="B18" s="217"/>
      <c r="C18" s="219"/>
      <c r="D18" s="219"/>
      <c r="E18" s="219"/>
    </row>
    <row r="19" spans="1:5" s="47" customFormat="1" ht="20.100000000000001" customHeight="1" x14ac:dyDescent="0.25">
      <c r="A19" s="218" t="s">
        <v>264</v>
      </c>
      <c r="B19" s="218"/>
      <c r="C19" s="219"/>
      <c r="D19" s="219"/>
      <c r="E19" s="219"/>
    </row>
    <row r="20" spans="1:5" s="1" customFormat="1" ht="75" x14ac:dyDescent="0.25">
      <c r="A20" s="28" t="s">
        <v>220</v>
      </c>
      <c r="B20" s="28" t="s">
        <v>212</v>
      </c>
      <c r="C20" s="29" t="s">
        <v>213</v>
      </c>
      <c r="D20" s="29" t="s">
        <v>214</v>
      </c>
      <c r="E20" s="29" t="s">
        <v>215</v>
      </c>
    </row>
    <row r="21" spans="1:5" s="1" customFormat="1" ht="18.95" customHeight="1" x14ac:dyDescent="0.25">
      <c r="A21" s="167" t="s">
        <v>218</v>
      </c>
      <c r="B21" s="167"/>
      <c r="C21" s="167"/>
      <c r="D21" s="167"/>
      <c r="E21" s="167"/>
    </row>
    <row r="22" spans="1:5" ht="18.95" customHeight="1" x14ac:dyDescent="0.25">
      <c r="A22" s="39">
        <v>1.1000000000000001</v>
      </c>
      <c r="B22" s="16" t="s">
        <v>260</v>
      </c>
      <c r="C22" s="39">
        <v>20</v>
      </c>
      <c r="D22" s="212">
        <f>SUM('Ql (21m)'!M3)</f>
        <v>0</v>
      </c>
      <c r="E22" s="213"/>
    </row>
    <row r="23" spans="1:5" ht="18.95" customHeight="1" x14ac:dyDescent="0.25">
      <c r="A23" s="39">
        <v>1.3</v>
      </c>
      <c r="B23" s="16" t="s">
        <v>258</v>
      </c>
      <c r="C23" s="39">
        <v>10</v>
      </c>
      <c r="D23" s="212">
        <f>SUM('Ql (21m)'!M4)</f>
        <v>0</v>
      </c>
      <c r="E23" s="213"/>
    </row>
    <row r="24" spans="1:5" ht="18.95" customHeight="1" thickBot="1" x14ac:dyDescent="0.3">
      <c r="C24" s="39">
        <f>SUM(C22:C23)</f>
        <v>30</v>
      </c>
      <c r="D24" s="214">
        <f>SUM(D22:D23)</f>
        <v>0</v>
      </c>
      <c r="E24" s="215"/>
    </row>
    <row r="25" spans="1:5" ht="18.95" customHeight="1" thickBot="1" x14ac:dyDescent="0.3">
      <c r="D25" s="46" t="s">
        <v>166</v>
      </c>
      <c r="E25" s="37" t="str">
        <f>IF(AND($E$24&lt;=4,$E$24&gt;=3.51),"A++",IF(AND($E$24&lt;=3.5,$E$24&gt;=3.26),"A+",IF(AND($E$24&lt;=3.25,$E$24&gt;3.01),"A",IF(AND($E$24&lt;=3,$E$24&gt;=2.76),"B++",IF(AND($E$24&lt;=2.75,$E$24&gt;=2.51),"B+",IF(AND($E$24&lt;=2.5,$E$24&gt;=2.01),"B",IF(AND($E$24&lt;=2,$E$24&gt;=1.51),"C","D")))))))</f>
        <v>D</v>
      </c>
    </row>
    <row r="26" spans="1:5" ht="18.95" customHeight="1" x14ac:dyDescent="0.25">
      <c r="A26" s="167" t="s">
        <v>219</v>
      </c>
      <c r="B26" s="167"/>
      <c r="C26" s="167"/>
      <c r="D26" s="167"/>
      <c r="E26" s="167"/>
    </row>
    <row r="27" spans="1:5" ht="18.95" customHeight="1" x14ac:dyDescent="0.25">
      <c r="A27" s="39">
        <v>2.2999999999999998</v>
      </c>
      <c r="B27" s="16" t="s">
        <v>227</v>
      </c>
      <c r="C27" s="39">
        <v>40</v>
      </c>
      <c r="D27" s="212">
        <f>SUM('Ql (21m)'!M5)</f>
        <v>0</v>
      </c>
      <c r="E27" s="213"/>
    </row>
    <row r="28" spans="1:5" ht="18.95" customHeight="1" x14ac:dyDescent="0.25">
      <c r="A28" s="39">
        <v>2.5</v>
      </c>
      <c r="B28" s="16" t="s">
        <v>222</v>
      </c>
      <c r="C28" s="39">
        <v>40</v>
      </c>
      <c r="D28" s="212">
        <f>SUM('Ql (21m)'!M6)</f>
        <v>0</v>
      </c>
      <c r="E28" s="213"/>
    </row>
    <row r="29" spans="1:5" ht="18.95" customHeight="1" x14ac:dyDescent="0.25">
      <c r="A29" s="39">
        <v>2.6</v>
      </c>
      <c r="B29" s="16" t="s">
        <v>223</v>
      </c>
      <c r="C29" s="39">
        <v>45</v>
      </c>
      <c r="D29" s="212">
        <f>SUM('Ql (21m)'!M7)</f>
        <v>0</v>
      </c>
      <c r="E29" s="213"/>
    </row>
    <row r="30" spans="1:5" ht="18.95" customHeight="1" thickBot="1" x14ac:dyDescent="0.3">
      <c r="C30" s="40">
        <f>SUM(C27:C29)</f>
        <v>125</v>
      </c>
      <c r="D30" s="214">
        <f>SUM(D27:D29)</f>
        <v>0</v>
      </c>
      <c r="E30" s="215"/>
    </row>
    <row r="31" spans="1:5" ht="18.95" customHeight="1" thickBot="1" x14ac:dyDescent="0.3">
      <c r="D31" s="46" t="s">
        <v>166</v>
      </c>
      <c r="E31" s="37" t="str">
        <f>IF(AND($E$30&lt;=4,$E$30&gt;=3.51),"A++",IF(AND($E$30&lt;=3.5,$E$30&gt;=3.26),"A+",IF(AND($E$30&lt;=3.25,$E$30&gt;3.01),"A",IF(AND($E$30&lt;=3,$E$30&gt;=2.76),"B++",IF(AND($E$30&lt;=2.75,$E$30&gt;=2.51),"B+",IF(AND($E$30&lt;=2.5,$E$30&gt;=2.01),"B",IF(AND($E$30&lt;=2,$E$30&gt;=1.51),"C","D")))))))</f>
        <v>D</v>
      </c>
    </row>
    <row r="32" spans="1:5" ht="18.95" customHeight="1" x14ac:dyDescent="0.25">
      <c r="A32" s="167" t="s">
        <v>228</v>
      </c>
      <c r="B32" s="167"/>
      <c r="C32" s="167"/>
      <c r="D32" s="167"/>
      <c r="E32" s="167"/>
    </row>
    <row r="33" spans="1:5" ht="18.95" customHeight="1" x14ac:dyDescent="0.25">
      <c r="A33" s="39">
        <v>3.2</v>
      </c>
      <c r="B33" s="16" t="s">
        <v>230</v>
      </c>
      <c r="C33" s="39">
        <v>10</v>
      </c>
      <c r="D33" s="212">
        <f>SUM('Ql (21m)'!M8)</f>
        <v>0</v>
      </c>
      <c r="E33" s="213"/>
    </row>
    <row r="34" spans="1:5" ht="18.95" customHeight="1" x14ac:dyDescent="0.25">
      <c r="A34" s="39">
        <v>3.4</v>
      </c>
      <c r="B34" s="16" t="s">
        <v>232</v>
      </c>
      <c r="C34" s="39">
        <v>20</v>
      </c>
      <c r="D34" s="212">
        <f>SUM('Ql (21m)'!M9:M10)</f>
        <v>0</v>
      </c>
      <c r="E34" s="213"/>
    </row>
    <row r="35" spans="1:5" ht="18.95" customHeight="1" thickBot="1" x14ac:dyDescent="0.3">
      <c r="C35" s="40">
        <f>SUM(C33:C34)</f>
        <v>30</v>
      </c>
      <c r="D35" s="214">
        <f>SUM(D33:D34)</f>
        <v>0</v>
      </c>
      <c r="E35" s="215"/>
    </row>
    <row r="36" spans="1:5" ht="18.95" customHeight="1" thickBot="1" x14ac:dyDescent="0.3">
      <c r="D36" s="46" t="s">
        <v>166</v>
      </c>
      <c r="E36" s="37" t="str">
        <f>IF(AND($E$41&lt;=4,$E$41&gt;=3.51),"A++",IF(AND($E$41&lt;=3.5,$E$41&gt;=3.26),"A+",IF(AND($E$41&lt;=3.25,$E$41&gt;3.01),"A",IF(AND($E$41&lt;=3,$E$41&gt;=2.76),"B++",IF(AND($E$41&lt;=2.75,$E$41&gt;=2.51),"B+",IF(AND($E$41&lt;=2.5,$E$41&gt;=2.01),"B",IF(AND($E$41&lt;=2,$E$41&gt;=1.51),"C","D")))))))</f>
        <v>D</v>
      </c>
    </row>
    <row r="37" spans="1:5" ht="18.95" customHeight="1" x14ac:dyDescent="0.25">
      <c r="A37" s="167" t="s">
        <v>234</v>
      </c>
      <c r="B37" s="167"/>
      <c r="C37" s="167"/>
      <c r="D37" s="167"/>
      <c r="E37" s="167"/>
    </row>
    <row r="38" spans="1:5" ht="18.95" customHeight="1" x14ac:dyDescent="0.25">
      <c r="A38" s="39">
        <v>4.0999999999999996</v>
      </c>
      <c r="B38" s="16" t="s">
        <v>235</v>
      </c>
      <c r="C38" s="39">
        <v>20</v>
      </c>
      <c r="D38" s="212">
        <f>SUM('Ql (21m)'!M11)</f>
        <v>0</v>
      </c>
      <c r="E38" s="213"/>
    </row>
    <row r="39" spans="1:5" ht="18.95" customHeight="1" x14ac:dyDescent="0.25">
      <c r="A39" s="39">
        <v>4.2</v>
      </c>
      <c r="B39" s="16" t="s">
        <v>236</v>
      </c>
      <c r="C39" s="39">
        <v>20</v>
      </c>
      <c r="D39" s="212">
        <f>SUM('Ql (21m)'!M12)</f>
        <v>0</v>
      </c>
      <c r="E39" s="213"/>
    </row>
    <row r="40" spans="1:5" ht="18.95" customHeight="1" x14ac:dyDescent="0.25">
      <c r="A40" s="39">
        <v>4.3</v>
      </c>
      <c r="B40" s="16" t="s">
        <v>237</v>
      </c>
      <c r="C40" s="39">
        <v>20</v>
      </c>
      <c r="D40" s="212">
        <f>SUM('Ql (21m)'!M13)</f>
        <v>0</v>
      </c>
      <c r="E40" s="213"/>
    </row>
    <row r="41" spans="1:5" ht="18.95" customHeight="1" thickBot="1" x14ac:dyDescent="0.3">
      <c r="C41" s="40">
        <f>SUM(C38:C40)</f>
        <v>60</v>
      </c>
      <c r="D41" s="214">
        <f>SUM(D38:D40)</f>
        <v>0</v>
      </c>
      <c r="E41" s="215"/>
    </row>
    <row r="42" spans="1:5" ht="18.95" customHeight="1" thickBot="1" x14ac:dyDescent="0.3">
      <c r="D42" s="46" t="s">
        <v>166</v>
      </c>
      <c r="E42" s="37" t="str">
        <f>IF(AND($E$41&lt;=4,$E$41&gt;=3.51),"A++",IF(AND($E$41&lt;=3.5,$E$41&gt;=3.26),"A+",IF(AND($E$41&lt;=3.25,$E$41&gt;3.01),"A",IF(AND($E$41&lt;=3,$E$41&gt;=2.76),"B++",IF(AND($E$41&lt;=2.75,$E$41&gt;=2.51),"B+",IF(AND($E$41&lt;=2.5,$E$41&gt;=2.01),"B",IF(AND($E$41&lt;=2,$E$41&gt;=1.51),"C","D")))))))</f>
        <v>D</v>
      </c>
    </row>
    <row r="43" spans="1:5" ht="18.95" customHeight="1" x14ac:dyDescent="0.25">
      <c r="A43" s="167" t="s">
        <v>239</v>
      </c>
      <c r="B43" s="167"/>
      <c r="C43" s="167"/>
      <c r="D43" s="167"/>
      <c r="E43" s="167"/>
    </row>
    <row r="44" spans="1:5" ht="18.95" customHeight="1" x14ac:dyDescent="0.25">
      <c r="A44" s="39">
        <v>5.4</v>
      </c>
      <c r="B44" s="16" t="s">
        <v>243</v>
      </c>
      <c r="C44" s="39">
        <v>10</v>
      </c>
      <c r="D44" s="212">
        <f>SUM('Ql (21m)'!M14)</f>
        <v>0</v>
      </c>
      <c r="E44" s="213"/>
    </row>
    <row r="45" spans="1:5" ht="18.95" customHeight="1" thickBot="1" x14ac:dyDescent="0.3">
      <c r="C45" s="40">
        <f>SUM(C44:C44)</f>
        <v>10</v>
      </c>
      <c r="D45" s="214">
        <f>SUM(D44:D44)</f>
        <v>0</v>
      </c>
      <c r="E45" s="215"/>
    </row>
    <row r="46" spans="1:5" ht="18.95" customHeight="1" thickBot="1" x14ac:dyDescent="0.3">
      <c r="D46" s="46" t="s">
        <v>166</v>
      </c>
      <c r="E46" s="37" t="str">
        <f>IF(AND($E$45&lt;=4,$E$45&gt;=3.51),"A++",IF(AND($E$45&lt;=3.5,$E$45&gt;=3.26),"A+",IF(AND($E$45&lt;=3.25,$E$45&gt;3.01),"A",IF(AND($E$45&lt;=3,$E$45&gt;=2.76),"B++",IF(AND($E$45&lt;=2.75,$E$45&gt;=2.51),"B+",IF(AND($E$45&lt;=2.5,$E$45&gt;=2.01),"B",IF(AND($E$45&lt;=2,$E$45&gt;=1.51),"C","D")))))))</f>
        <v>D</v>
      </c>
    </row>
    <row r="47" spans="1:5" ht="18.95" customHeight="1" x14ac:dyDescent="0.25">
      <c r="A47" s="167" t="s">
        <v>244</v>
      </c>
      <c r="B47" s="167"/>
      <c r="C47" s="167"/>
      <c r="D47" s="167"/>
      <c r="E47" s="167"/>
    </row>
    <row r="48" spans="1:5" ht="18.95" customHeight="1" x14ac:dyDescent="0.25">
      <c r="A48" s="39">
        <v>6.1</v>
      </c>
      <c r="B48" s="16" t="s">
        <v>245</v>
      </c>
      <c r="C48" s="39">
        <v>10</v>
      </c>
      <c r="D48" s="212">
        <f>SUM('Ql (21m)'!M15)</f>
        <v>0</v>
      </c>
      <c r="E48" s="213"/>
    </row>
    <row r="49" spans="1:5" ht="18.95" customHeight="1" x14ac:dyDescent="0.25">
      <c r="A49" s="39">
        <v>6.2</v>
      </c>
      <c r="B49" s="16" t="s">
        <v>246</v>
      </c>
      <c r="C49" s="39">
        <v>6</v>
      </c>
      <c r="D49" s="212">
        <f>SUM('Ql (21m)'!M16)</f>
        <v>0</v>
      </c>
      <c r="E49" s="213"/>
    </row>
    <row r="50" spans="1:5" ht="18.95" customHeight="1" x14ac:dyDescent="0.25">
      <c r="A50" s="39">
        <v>6.3</v>
      </c>
      <c r="B50" s="16" t="s">
        <v>247</v>
      </c>
      <c r="C50" s="39">
        <v>8</v>
      </c>
      <c r="D50" s="212">
        <f>SUM('Ql (21m)'!M17)</f>
        <v>0</v>
      </c>
      <c r="E50" s="213"/>
    </row>
    <row r="51" spans="1:5" ht="18.95" customHeight="1" x14ac:dyDescent="0.25">
      <c r="A51" s="39">
        <v>6.4</v>
      </c>
      <c r="B51" s="16" t="s">
        <v>248</v>
      </c>
      <c r="C51" s="39">
        <v>15</v>
      </c>
      <c r="D51" s="212">
        <f>SUM('Ql (21m)'!M18)</f>
        <v>0</v>
      </c>
      <c r="E51" s="213"/>
    </row>
    <row r="52" spans="1:5" ht="18.95" customHeight="1" x14ac:dyDescent="0.25">
      <c r="A52" s="39">
        <v>6.5</v>
      </c>
      <c r="B52" s="16" t="s">
        <v>249</v>
      </c>
      <c r="C52" s="39">
        <v>15</v>
      </c>
      <c r="D52" s="212">
        <f>SUM('Ql (21m)'!M19)</f>
        <v>0</v>
      </c>
      <c r="E52" s="213"/>
    </row>
    <row r="53" spans="1:5" ht="18.95" customHeight="1" thickBot="1" x14ac:dyDescent="0.3">
      <c r="C53" s="40">
        <f>SUM(C48:C52)</f>
        <v>54</v>
      </c>
      <c r="D53" s="214">
        <f>SUM(D48:D52)</f>
        <v>0</v>
      </c>
      <c r="E53" s="215"/>
    </row>
    <row r="54" spans="1:5" ht="18.95" customHeight="1" thickBot="1" x14ac:dyDescent="0.3">
      <c r="D54" s="46" t="s">
        <v>166</v>
      </c>
      <c r="E54" s="37" t="str">
        <f>IF(AND($E$53&lt;=4,$E$53&gt;=3.51),"A++",IF(AND($E$53&lt;=3.5,$E$53&gt;=3.26),"A+",IF(AND($E$53&lt;=3.25,$E$53&gt;3.01),"A",IF(AND($E$53&lt;=3,$E$53&gt;=2.76),"B++",IF(AND($E$53&lt;=2.75,$E$53&gt;=2.51),"B+",IF(AND($E$53&lt;=2.5,$E$53&gt;=2.01),"B",IF(AND($E$53&lt;=2,$E$53&gt;=1.51),"C","D")))))))</f>
        <v>D</v>
      </c>
    </row>
    <row r="55" spans="1:5" ht="18.95" customHeight="1" x14ac:dyDescent="0.25">
      <c r="A55" s="167" t="s">
        <v>250</v>
      </c>
      <c r="B55" s="167"/>
      <c r="C55" s="167"/>
      <c r="D55" s="167"/>
      <c r="E55" s="167"/>
    </row>
    <row r="56" spans="1:5" ht="18.95" customHeight="1" x14ac:dyDescent="0.25">
      <c r="A56" s="39">
        <v>7.1</v>
      </c>
      <c r="B56" s="16" t="s">
        <v>251</v>
      </c>
      <c r="C56" s="39">
        <v>20</v>
      </c>
      <c r="D56" s="212">
        <f>SUM('Ql (21m)'!M20:M21)</f>
        <v>0</v>
      </c>
      <c r="E56" s="213"/>
    </row>
    <row r="57" spans="1:5" ht="18.95" customHeight="1" x14ac:dyDescent="0.25">
      <c r="A57" s="39">
        <v>7.2</v>
      </c>
      <c r="B57" s="16" t="s">
        <v>186</v>
      </c>
      <c r="C57" s="39">
        <v>30</v>
      </c>
      <c r="D57" s="212">
        <f>SUM('Ql (21m)'!M22)</f>
        <v>0</v>
      </c>
      <c r="E57" s="213"/>
    </row>
    <row r="58" spans="1:5" ht="18.95" customHeight="1" x14ac:dyDescent="0.25">
      <c r="A58" s="39">
        <v>7.3</v>
      </c>
      <c r="B58" s="16" t="s">
        <v>252</v>
      </c>
      <c r="C58" s="39">
        <v>20</v>
      </c>
      <c r="D58" s="212">
        <f>SUM('Ql (21m)'!M23)</f>
        <v>0</v>
      </c>
      <c r="E58" s="213"/>
    </row>
    <row r="59" spans="1:5" ht="18.95" customHeight="1" thickBot="1" x14ac:dyDescent="0.3">
      <c r="C59" s="40">
        <f>SUM(C56:C58)</f>
        <v>70</v>
      </c>
      <c r="D59" s="214">
        <f>SUM(D56:D58)</f>
        <v>0</v>
      </c>
      <c r="E59" s="215"/>
    </row>
    <row r="60" spans="1:5" ht="18.95" customHeight="1" thickBot="1" x14ac:dyDescent="0.3">
      <c r="D60" s="46" t="s">
        <v>166</v>
      </c>
      <c r="E60" s="37" t="str">
        <f>IF(AND($E$59&lt;=4,$E$59&gt;=3.51),"A++",IF(AND($E$59&lt;=3.5,$E$59&gt;=3.26),"A+",IF(AND($E$59&lt;=3.25,$E$59&gt;3.01),"A",IF(AND($E$59&lt;=3,$E$59&gt;=2.76),"B++",IF(AND($E$59&lt;=2.75,$E$59&gt;=2.51),"B+",IF(AND($E$59&lt;=2.5,$E$59&gt;=2.01),"B",IF(AND($E$59&lt;=2,$E$59&gt;=1.51),"C","D")))))))</f>
        <v>D</v>
      </c>
    </row>
    <row r="61" spans="1:5" x14ac:dyDescent="0.25">
      <c r="C61" s="44"/>
      <c r="D61" s="44"/>
      <c r="E61" s="44"/>
    </row>
  </sheetData>
  <mergeCells count="47">
    <mergeCell ref="D59:E59"/>
    <mergeCell ref="A55:E55"/>
    <mergeCell ref="D52:E52"/>
    <mergeCell ref="D53:E53"/>
    <mergeCell ref="D56:E56"/>
    <mergeCell ref="D57:E57"/>
    <mergeCell ref="D58:E58"/>
    <mergeCell ref="D48:E48"/>
    <mergeCell ref="A47:E47"/>
    <mergeCell ref="D49:E49"/>
    <mergeCell ref="D50:E50"/>
    <mergeCell ref="D51:E51"/>
    <mergeCell ref="D39:E39"/>
    <mergeCell ref="D40:E40"/>
    <mergeCell ref="D41:E41"/>
    <mergeCell ref="D44:E44"/>
    <mergeCell ref="D45:E45"/>
    <mergeCell ref="A1:E1"/>
    <mergeCell ref="A16:E16"/>
    <mergeCell ref="A17:B17"/>
    <mergeCell ref="A18:B18"/>
    <mergeCell ref="A19:B19"/>
    <mergeCell ref="C17:E17"/>
    <mergeCell ref="C4:E4"/>
    <mergeCell ref="C18:E18"/>
    <mergeCell ref="C19:E19"/>
    <mergeCell ref="A2:B2"/>
    <mergeCell ref="C2:E2"/>
    <mergeCell ref="A3:B3"/>
    <mergeCell ref="C3:E3"/>
    <mergeCell ref="A4:B4"/>
    <mergeCell ref="A21:E21"/>
    <mergeCell ref="A26:E26"/>
    <mergeCell ref="A32:E32"/>
    <mergeCell ref="A37:E37"/>
    <mergeCell ref="A43:E43"/>
    <mergeCell ref="D22:E22"/>
    <mergeCell ref="D23:E23"/>
    <mergeCell ref="D24:E24"/>
    <mergeCell ref="D27:E27"/>
    <mergeCell ref="D29:E29"/>
    <mergeCell ref="D28:E28"/>
    <mergeCell ref="D30:E30"/>
    <mergeCell ref="D33:E33"/>
    <mergeCell ref="D34:E34"/>
    <mergeCell ref="D35:E35"/>
    <mergeCell ref="D38:E38"/>
  </mergeCells>
  <printOptions horizontalCentered="1"/>
  <pageMargins left="0.39370078740157483" right="0.39370078740157483" top="0.39370078740157483" bottom="0.39370078740157483" header="0.31496062992125984" footer="0.31496062992125984"/>
  <pageSetup paperSize="9" scale="88" fitToHeight="0" orientation="portrait" verticalDpi="0" r:id="rId1"/>
  <rowBreaks count="1" manualBreakCount="1">
    <brk id="15" max="16383" man="1"/>
  </rowBreaks>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Extended Profile (EP)</vt:lpstr>
      <vt:lpstr>Response Score Calc.</vt:lpstr>
      <vt:lpstr>Affiliated(55m)</vt:lpstr>
      <vt:lpstr>55(Qn&amp;Ql)m-GS</vt:lpstr>
      <vt:lpstr>55m-Gradesheet(GS)</vt:lpstr>
      <vt:lpstr>Qn (34m)</vt:lpstr>
      <vt:lpstr>34</vt:lpstr>
      <vt:lpstr>34 Qnm-GS</vt:lpstr>
      <vt:lpstr>Ql (21m)</vt:lpstr>
      <vt:lpstr>21 Qlm-GS (2)</vt:lpstr>
      <vt:lpstr>21m-GS</vt:lpstr>
      <vt:lpstr>'34'!Print_Area</vt:lpstr>
      <vt:lpstr>'55(Qn&amp;Ql)m-GS'!Print_Area</vt:lpstr>
      <vt:lpstr>'21 Qlm-GS (2)'!Print_Titles</vt:lpstr>
      <vt:lpstr>'21m-GS'!Print_Titles</vt:lpstr>
      <vt:lpstr>'34'!Print_Titles</vt:lpstr>
      <vt:lpstr>'34 Qnm-GS'!Print_Titles</vt:lpstr>
      <vt:lpstr>'55(Qn&amp;Ql)m-GS'!Print_Titles</vt:lpstr>
      <vt:lpstr>'55m-Gradesheet(GS)'!Print_Titles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2022-09-17T09:18:37Z</dcterms:modified>
</cp:coreProperties>
</file>